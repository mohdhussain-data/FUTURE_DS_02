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 Hussain\Downloads\Telco Customer Churn Dataset\"/>
    </mc:Choice>
  </mc:AlternateContent>
  <xr:revisionPtr revIDLastSave="0" documentId="13_ncr:1_{C26548A5-C453-4571-AD50-CA9E47FFD680}" xr6:coauthVersionLast="47" xr6:coauthVersionMax="47" xr10:uidLastSave="{00000000-0000-0000-0000-000000000000}"/>
  <bookViews>
    <workbookView xWindow="-108" yWindow="-108" windowWidth="23256" windowHeight="12456" xr2:uid="{A2346E90-D66B-44E7-85F2-00BCE54A8897}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<sst xmlns="http://schemas.openxmlformats.org/spreadsheetml/2006/main" count="119756" uniqueCount="7085">
  <si>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</si>
  <si>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</si>
  <si>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</si>
  <si>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</si>
  <si>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</si>
  <si>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</si>
  <si>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</si>
  <si>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</si>
  <si>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</si>
  <si>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</si>
  <si>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</si>
  <si>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</si>
  <si>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</si>
  <si>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</si>
  <si>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</si>
  <si>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</si>
  <si>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</si>
  <si>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</si>
  <si>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</si>
  <si>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</si>
  <si>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</si>
  <si>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</si>
  <si>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</si>
  <si>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</si>
  <si>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</si>
  <si>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</si>
  <si>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</si>
  <si>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</si>
  <si>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</si>
  <si>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</si>
  <si>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</si>
  <si>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</si>
  <si>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</si>
  <si>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</si>
  <si>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</si>
  <si>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</si>
  <si>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</si>
  <si>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</si>
  <si>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</si>
  <si>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</si>
  <si>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</si>
  <si>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</si>
  <si>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</si>
  <si>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</si>
  <si>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</si>
  <si>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</si>
  <si>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</si>
  <si>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</si>
  <si>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</si>
  <si>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</si>
  <si>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</si>
  <si>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</si>
  <si>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</si>
  <si>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</si>
  <si>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</si>
  <si>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</si>
  <si>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</si>
  <si>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</si>
  <si>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</si>
  <si>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</si>
  <si>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</si>
  <si>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</si>
  <si>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</si>
  <si>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</si>
  <si>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</si>
  <si>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</si>
  <si>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</si>
  <si>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</si>
  <si>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</si>
  <si>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</si>
  <si>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</si>
  <si>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</si>
  <si>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</si>
  <si>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</si>
  <si>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</si>
  <si>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</si>
  <si>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</si>
  <si>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</si>
  <si>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</si>
  <si>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</si>
  <si>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</si>
  <si>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</si>
  <si>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</si>
  <si>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</si>
  <si>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</si>
  <si>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</si>
  <si>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</si>
  <si>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</si>
  <si>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</si>
  <si>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</si>
  <si>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</si>
  <si>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</si>
  <si>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</si>
  <si>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</si>
  <si>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</si>
  <si>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</si>
  <si>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</si>
  <si>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</si>
  <si>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</si>
  <si>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</si>
  <si>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</si>
  <si>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</si>
  <si>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</si>
  <si>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</si>
  <si>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</si>
  <si>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</si>
  <si>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</si>
  <si>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</si>
  <si>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</si>
  <si>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</si>
  <si>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</si>
  <si>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</si>
  <si>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</si>
  <si>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</si>
  <si>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</si>
  <si>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</si>
  <si>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</si>
  <si>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</si>
  <si>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</si>
  <si>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</si>
  <si>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</si>
  <si>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</si>
  <si>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</si>
  <si>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</si>
  <si>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</si>
  <si>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</si>
  <si>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</si>
  <si>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</si>
  <si>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</si>
  <si>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</si>
  <si>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</si>
  <si>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</si>
  <si>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</si>
  <si>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</si>
  <si>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</si>
  <si>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</si>
  <si>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</si>
  <si>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</si>
  <si>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</si>
  <si>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</si>
  <si>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</si>
  <si>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</si>
  <si>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</si>
  <si>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</si>
  <si>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</si>
  <si>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</si>
  <si>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</si>
  <si>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</si>
  <si>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</si>
  <si>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</si>
  <si>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</si>
  <si>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</si>
  <si>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</si>
  <si>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</si>
  <si>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</si>
  <si>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</si>
  <si>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</si>
  <si>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</si>
  <si>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</si>
  <si>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</si>
  <si>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</si>
  <si>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</si>
  <si>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</si>
  <si>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</si>
  <si>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</si>
  <si>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</si>
  <si>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</si>
  <si>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</si>
  <si>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</si>
  <si>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</si>
  <si>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</si>
  <si>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</si>
  <si>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</si>
  <si>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</si>
  <si>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</si>
  <si>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</si>
  <si>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</si>
  <si>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</si>
  <si>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</si>
  <si>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</si>
  <si>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</si>
  <si>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</si>
  <si>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</si>
  <si>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</si>
  <si>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</si>
  <si>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</si>
  <si>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</si>
  <si>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</si>
  <si>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</si>
  <si>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</si>
  <si>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</si>
  <si>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</si>
  <si>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</si>
  <si>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</si>
  <si>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</si>
  <si>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</si>
  <si>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</si>
  <si>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</si>
  <si>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</si>
  <si>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</si>
  <si>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</si>
  <si>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</si>
  <si>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</si>
  <si>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</si>
  <si>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</si>
  <si>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</si>
  <si>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</si>
  <si>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</si>
  <si>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</si>
  <si>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</si>
  <si>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</si>
  <si>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</si>
  <si>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</si>
  <si>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</si>
  <si>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</si>
  <si>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</si>
  <si>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</si>
  <si>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</si>
  <si>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</si>
  <si>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</si>
  <si>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</si>
  <si>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</si>
  <si>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</si>
  <si>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</si>
  <si>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</si>
  <si>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</si>
  <si>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</si>
  <si>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</si>
  <si>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</si>
  <si>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</si>
  <si>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</si>
  <si>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</si>
  <si>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</si>
  <si>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</si>
  <si>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</si>
  <si>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</si>
  <si>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</si>
  <si>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</si>
  <si>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</si>
  <si>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</si>
  <si>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</si>
  <si>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</si>
  <si>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</si>
  <si>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</si>
  <si>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</si>
  <si>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</si>
  <si>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</si>
  <si>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</si>
  <si>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</si>
  <si>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</si>
  <si>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</si>
  <si>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</si>
  <si>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</si>
  <si>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</si>
  <si>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</si>
  <si>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</si>
  <si>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</si>
  <si>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</si>
  <si>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</si>
  <si>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</si>
  <si>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</si>
  <si>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</si>
  <si>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</si>
  <si>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</si>
  <si>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</si>
  <si>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</si>
  <si>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</si>
  <si>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</si>
  <si>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</si>
  <si>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</si>
  <si>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</si>
  <si>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</si>
  <si>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</si>
  <si>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</si>
  <si>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</si>
  <si>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</si>
  <si>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</si>
  <si>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</si>
  <si>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</si>
  <si>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</si>
  <si>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</si>
  <si>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</si>
  <si>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</si>
  <si>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</si>
  <si>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</si>
  <si>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</si>
  <si>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</si>
  <si>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</si>
  <si>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</si>
  <si>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</si>
  <si>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</si>
  <si>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</si>
  <si>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</si>
  <si>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</si>
  <si>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</si>
  <si>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</si>
  <si>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</si>
  <si>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</si>
  <si>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</si>
  <si>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</si>
  <si>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</si>
  <si>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</si>
  <si>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</si>
  <si>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</si>
  <si>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</si>
  <si>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</si>
  <si>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</si>
  <si>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</si>
  <si>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</si>
  <si>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</si>
  <si>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</si>
  <si>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</si>
  <si>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</si>
  <si>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</si>
  <si>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</si>
  <si>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</si>
  <si>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</si>
  <si>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</si>
  <si>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</si>
  <si>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</si>
  <si>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</si>
  <si>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</si>
  <si>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</si>
  <si>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</si>
  <si>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</si>
  <si>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</si>
  <si>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</si>
  <si>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</si>
  <si>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</si>
  <si>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</si>
  <si>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</si>
  <si>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</si>
  <si>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</si>
  <si>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</si>
  <si>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</si>
  <si>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</si>
  <si>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</si>
  <si>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</si>
  <si>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</si>
  <si>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</si>
  <si>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</si>
  <si>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</si>
  <si>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</si>
  <si>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</si>
  <si>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</si>
  <si>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</si>
  <si>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</si>
  <si>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</si>
  <si>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</si>
  <si>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</si>
  <si>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</si>
  <si>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</si>
  <si>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</si>
  <si>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</si>
  <si>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</si>
  <si>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</si>
  <si>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</si>
  <si>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</si>
  <si>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</si>
  <si>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</si>
  <si>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</si>
  <si>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</si>
  <si>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</si>
  <si>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</si>
  <si>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</si>
  <si>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</si>
  <si>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</si>
  <si>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</si>
  <si>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</si>
  <si>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</si>
  <si>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</si>
  <si>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</si>
  <si>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</si>
  <si>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</si>
  <si>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</si>
  <si>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</si>
  <si>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</si>
  <si>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</si>
  <si>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</si>
  <si>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</si>
  <si>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</si>
  <si>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</si>
  <si>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</si>
  <si>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</si>
  <si>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</si>
  <si>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</si>
  <si>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</si>
  <si>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</si>
  <si>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</si>
  <si>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</si>
  <si>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</si>
  <si>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</si>
  <si>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</si>
  <si>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</si>
  <si>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</si>
  <si>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</si>
  <si>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</si>
  <si>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</si>
  <si>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</si>
  <si>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</si>
  <si>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</si>
  <si>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</si>
  <si>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</si>
  <si>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</si>
  <si>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</si>
  <si>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</si>
  <si>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</si>
  <si>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</si>
  <si>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</si>
  <si>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</si>
  <si>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</si>
  <si>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</si>
  <si>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</si>
  <si>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</si>
  <si>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</si>
  <si>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</si>
  <si>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</si>
  <si>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</si>
  <si>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</si>
  <si>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</si>
  <si>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</si>
  <si>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</si>
  <si>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</si>
  <si>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</si>
  <si>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</si>
  <si>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</si>
  <si>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</si>
  <si>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</si>
  <si>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</si>
  <si>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</si>
  <si>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</si>
  <si>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</si>
  <si>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</si>
  <si>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</si>
  <si>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</si>
  <si>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</si>
  <si>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</si>
  <si>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</si>
  <si>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</si>
  <si>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</si>
  <si>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</si>
  <si>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</si>
  <si>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</si>
  <si>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</si>
  <si>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</si>
  <si>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</si>
  <si>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</si>
  <si>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</si>
  <si>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</si>
  <si>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</si>
  <si>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</si>
  <si>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</si>
  <si>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</si>
  <si>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</si>
  <si>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</si>
  <si>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</si>
  <si>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</si>
  <si>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</si>
  <si>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</si>
  <si>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</si>
  <si>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</si>
  <si>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</si>
  <si>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</si>
  <si>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</si>
  <si>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</si>
  <si>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</si>
  <si>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</si>
  <si>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</si>
  <si>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</si>
  <si>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</si>
  <si>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</si>
  <si>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</si>
  <si>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</si>
  <si>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</si>
  <si>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</si>
  <si>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</si>
  <si>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</si>
  <si>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</si>
  <si>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</si>
  <si>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</si>
  <si>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</si>
  <si>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</si>
  <si>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</si>
  <si>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</si>
  <si>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</si>
  <si>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</si>
  <si>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</si>
  <si>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</si>
  <si>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</si>
  <si>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</si>
  <si>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</si>
  <si>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</si>
  <si>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</si>
  <si>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</si>
  <si>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</si>
  <si>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</si>
  <si>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</si>
  <si>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</si>
  <si>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</si>
  <si>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</si>
  <si>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</si>
  <si>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</si>
  <si>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</si>
  <si>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</si>
  <si>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</si>
  <si>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</si>
  <si>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</si>
  <si>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</si>
  <si>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</si>
  <si>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</si>
  <si>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</si>
  <si>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</si>
  <si>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</si>
  <si>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</si>
  <si>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</si>
  <si>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</si>
  <si>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</si>
  <si>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</si>
  <si>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</si>
  <si>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</si>
  <si>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</si>
  <si>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</si>
  <si>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</si>
  <si>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</si>
  <si>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</si>
  <si>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</si>
  <si>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</si>
  <si>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</si>
  <si>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</si>
  <si>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</si>
  <si>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</si>
  <si>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</si>
  <si>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</si>
  <si>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</si>
  <si>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</si>
  <si>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</si>
  <si>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</si>
  <si>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</si>
  <si>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</si>
  <si>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</si>
  <si>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</si>
  <si>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</si>
  <si>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</si>
  <si>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</si>
  <si>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</si>
  <si>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</si>
  <si>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</si>
  <si>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</si>
  <si>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</si>
  <si>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</si>
  <si>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</si>
  <si>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</si>
  <si>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</si>
  <si>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</si>
  <si>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</si>
  <si>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</si>
  <si>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</si>
  <si>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</si>
  <si>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</si>
  <si>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</si>
  <si>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</si>
  <si>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</si>
  <si>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</si>
  <si>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</si>
  <si>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</si>
  <si>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</si>
  <si>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</si>
  <si>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</si>
  <si>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</si>
  <si>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</si>
  <si>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</si>
  <si>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</si>
  <si>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</si>
  <si>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</si>
  <si>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</si>
  <si>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</si>
  <si>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</si>
  <si>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</si>
  <si>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</si>
  <si>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</si>
  <si>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</si>
  <si>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</si>
  <si>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</si>
  <si>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</si>
  <si>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</si>
  <si>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</si>
  <si>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</si>
  <si>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</si>
  <si>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</si>
  <si>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</si>
  <si>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</si>
  <si>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</si>
  <si>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</si>
  <si>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</si>
  <si>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</si>
  <si>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</si>
  <si>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</si>
  <si>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</si>
  <si>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</si>
  <si>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</si>
  <si>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</si>
  <si>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</si>
  <si>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</si>
  <si>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</si>
  <si>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</si>
  <si>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</si>
  <si>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</si>
  <si>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</si>
  <si>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</si>
  <si>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</si>
  <si>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</si>
  <si>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</si>
  <si>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</si>
  <si>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</si>
  <si>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</si>
  <si>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</si>
  <si>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</si>
  <si>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</si>
  <si>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</si>
  <si>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</si>
  <si>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</si>
  <si>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</si>
  <si>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</si>
  <si>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</si>
  <si>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</si>
  <si>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</si>
  <si>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</si>
  <si>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</si>
  <si>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</si>
  <si>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</si>
  <si>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</si>
  <si>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</si>
  <si>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</si>
  <si>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</si>
  <si>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</si>
  <si>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</si>
  <si>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</si>
  <si>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</si>
  <si>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</si>
  <si>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</si>
  <si>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</si>
  <si>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</si>
  <si>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</si>
  <si>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</si>
  <si>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</si>
  <si>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</si>
  <si>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</si>
  <si>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</si>
  <si>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</si>
  <si>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</si>
  <si>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</si>
  <si>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</si>
  <si>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</si>
  <si>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</si>
  <si>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</si>
  <si>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</si>
  <si>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</si>
  <si>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</si>
  <si>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</si>
  <si>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</si>
  <si>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</si>
  <si>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</si>
  <si>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</si>
  <si>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</si>
  <si>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</si>
  <si>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</si>
  <si>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</si>
  <si>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</si>
  <si>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</si>
  <si>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</si>
  <si>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</si>
  <si>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</si>
  <si>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</si>
  <si>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</si>
  <si>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</si>
  <si>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</si>
  <si>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</si>
  <si>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</si>
  <si>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</si>
  <si>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</si>
  <si>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</si>
  <si>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</si>
  <si>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</si>
  <si>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</si>
  <si>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</si>
  <si>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</si>
  <si>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</si>
  <si>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</si>
  <si>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</si>
  <si>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</si>
  <si>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</si>
  <si>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</si>
  <si>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</si>
  <si>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</si>
  <si>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</si>
  <si>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</si>
  <si>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</si>
  <si>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</si>
  <si>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</si>
  <si>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</si>
  <si>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</si>
  <si>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</si>
  <si>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</si>
  <si>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</si>
  <si>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</si>
  <si>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</si>
  <si>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</si>
  <si>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</si>
  <si>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</si>
  <si>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</si>
  <si>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</si>
  <si>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</si>
  <si>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</si>
  <si>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</si>
  <si>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</si>
  <si>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</si>
  <si>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</si>
  <si>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</si>
  <si>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</si>
  <si>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</si>
  <si>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</si>
  <si>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</si>
  <si>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</si>
  <si>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</si>
  <si>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</si>
  <si>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</si>
  <si>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</si>
  <si>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</si>
  <si>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</si>
  <si>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</si>
  <si>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</si>
  <si>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</si>
  <si>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</si>
  <si>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</si>
  <si>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</si>
  <si>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</si>
  <si>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</si>
  <si>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</si>
  <si>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</si>
  <si>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</si>
  <si>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</si>
  <si>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</si>
  <si>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</si>
  <si>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</si>
  <si>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</si>
  <si>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</si>
  <si>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</si>
  <si>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</si>
  <si>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</si>
  <si>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</si>
  <si>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</si>
  <si>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</si>
  <si>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</si>
  <si>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</si>
  <si>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</si>
  <si>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</si>
  <si>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</si>
  <si>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</si>
  <si>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</si>
  <si>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</si>
  <si>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</si>
  <si>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</si>
  <si>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</si>
  <si>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</si>
  <si>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</si>
  <si>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</si>
  <si>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</si>
  <si>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</si>
  <si>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</si>
  <si>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</si>
  <si>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</si>
  <si>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</si>
  <si>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</si>
  <si>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</si>
  <si>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</si>
  <si>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</si>
  <si>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</si>
  <si>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</si>
  <si>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</si>
  <si>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</si>
  <si>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</si>
  <si>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</si>
  <si>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</si>
  <si>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</si>
  <si>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</si>
  <si>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</si>
  <si>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</si>
  <si>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</si>
  <si>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</si>
  <si>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</si>
  <si>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</si>
  <si>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</si>
  <si>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</si>
  <si>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</si>
  <si>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</si>
  <si>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</si>
  <si>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</si>
  <si>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</si>
  <si>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</si>
  <si>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</si>
  <si>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</si>
  <si>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</si>
  <si>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</si>
  <si>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</si>
  <si>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</si>
  <si>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</si>
  <si>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</si>
  <si>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</si>
  <si>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</si>
  <si>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</si>
  <si>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</si>
  <si>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</si>
  <si>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</si>
  <si>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</si>
  <si>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</si>
  <si>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</si>
  <si>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</si>
  <si>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</si>
  <si>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</si>
  <si>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</si>
  <si>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</si>
  <si>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</si>
  <si>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</si>
  <si>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</si>
  <si>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</si>
  <si>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</si>
  <si>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</si>
  <si>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</si>
  <si>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</si>
  <si>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</si>
  <si>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</si>
  <si>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</si>
  <si>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</si>
  <si>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</si>
  <si>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</si>
  <si>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</si>
  <si>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</si>
  <si>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</si>
  <si>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</si>
  <si>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</si>
  <si>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</si>
  <si>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</si>
  <si>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</si>
  <si>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</si>
  <si>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</si>
  <si>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</si>
  <si>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</si>
  <si>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</si>
  <si>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</si>
  <si>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</si>
  <si>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</si>
  <si>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</si>
  <si>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</si>
  <si>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</si>
  <si>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</si>
  <si>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</si>
  <si>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</si>
  <si>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</si>
  <si>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</si>
  <si>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</si>
  <si>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</si>
  <si>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</si>
  <si>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</si>
  <si>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</si>
  <si>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</si>
  <si>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</si>
  <si>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</si>
  <si>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</si>
  <si>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</si>
  <si>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</si>
  <si>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</si>
  <si>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</si>
  <si>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</si>
  <si>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</si>
  <si>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</si>
  <si>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</si>
  <si>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</si>
  <si>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</si>
  <si>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</si>
  <si>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</si>
  <si>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</si>
  <si>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</si>
  <si>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</si>
  <si>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</si>
  <si>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</si>
  <si>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</si>
  <si>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</si>
  <si>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</si>
  <si>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</si>
  <si>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</si>
  <si>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</si>
  <si>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</si>
  <si>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</si>
  <si>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</si>
  <si>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</si>
  <si>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</si>
  <si>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</si>
  <si>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</si>
  <si>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</si>
  <si>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</si>
  <si>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</si>
  <si>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</si>
  <si>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</si>
  <si>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</si>
  <si>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</si>
  <si>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</si>
  <si>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</si>
  <si>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</si>
  <si>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</si>
  <si>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</si>
  <si>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</si>
  <si>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</si>
  <si>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</si>
  <si>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</si>
  <si>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</si>
  <si>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</si>
  <si>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</si>
  <si>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</si>
  <si>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</si>
  <si>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</si>
  <si>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</si>
  <si>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</si>
  <si>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</si>
  <si>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</si>
  <si>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</si>
  <si>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</si>
  <si>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</si>
  <si>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</si>
  <si>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</si>
  <si>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</si>
  <si>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</si>
  <si>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</si>
  <si>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</si>
  <si>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</si>
  <si>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</si>
  <si>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</si>
  <si>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</si>
  <si>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</si>
  <si>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</si>
  <si>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</si>
  <si>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</si>
  <si>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</si>
  <si>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</si>
  <si>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</si>
  <si>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</si>
  <si>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</si>
  <si>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</si>
  <si>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</si>
  <si>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</si>
  <si>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</si>
  <si>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</si>
  <si>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</si>
  <si>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</si>
  <si>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</si>
  <si>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</si>
  <si>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</si>
  <si>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</si>
  <si>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</si>
  <si>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</si>
  <si>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</si>
  <si>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</si>
  <si>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</si>
  <si>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</si>
  <si>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</si>
  <si>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</si>
  <si>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</si>
  <si>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</si>
  <si>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</si>
  <si>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</si>
  <si>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</si>
  <si>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</si>
  <si>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</si>
  <si>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</si>
  <si>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</si>
  <si>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</si>
  <si>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</si>
  <si>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</si>
  <si>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</si>
  <si>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</si>
  <si>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</si>
  <si>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</si>
  <si>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</si>
  <si>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</si>
  <si>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</si>
  <si>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</si>
  <si>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</si>
  <si>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</si>
  <si>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</si>
  <si>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</si>
  <si>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</si>
  <si>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</si>
  <si>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</si>
  <si>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</si>
  <si>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</si>
  <si>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</si>
  <si>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</si>
  <si>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</si>
  <si>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</si>
  <si>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</si>
  <si>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</si>
  <si>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</si>
  <si>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</si>
  <si>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</si>
  <si>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</si>
  <si>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</si>
  <si>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</si>
  <si>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</si>
  <si>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</si>
  <si>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</si>
  <si>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</si>
  <si>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</si>
  <si>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</si>
  <si>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</si>
  <si>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</si>
  <si>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</si>
  <si>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</si>
  <si>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</si>
  <si>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</si>
  <si>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</si>
  <si>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</si>
  <si>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</si>
  <si>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</si>
  <si>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</si>
  <si>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</si>
  <si>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</si>
  <si>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</si>
  <si>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</si>
  <si>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</si>
  <si>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</si>
  <si>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</si>
  <si>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</si>
  <si>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</si>
  <si>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</si>
  <si>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</si>
  <si>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</si>
  <si>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</si>
  <si>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</si>
  <si>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</si>
  <si>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</si>
  <si>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</si>
  <si>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</si>
  <si>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</si>
  <si>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</si>
  <si>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</si>
  <si>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</si>
  <si>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</si>
  <si>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</si>
  <si>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</si>
  <si>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</si>
  <si>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</si>
  <si>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</si>
  <si>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</si>
  <si>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</si>
  <si>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</si>
  <si>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</si>
  <si>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</si>
  <si>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</si>
  <si>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</si>
  <si>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</si>
  <si>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</si>
  <si>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</si>
  <si>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</si>
  <si>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</si>
  <si>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</si>
  <si>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</si>
  <si>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</si>
  <si>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</si>
  <si>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</si>
  <si>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</si>
  <si>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</si>
  <si>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</si>
  <si>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</si>
  <si>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</si>
  <si>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</si>
  <si>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</si>
  <si>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</si>
  <si>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</si>
  <si>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</si>
  <si>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</si>
  <si>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</si>
  <si>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</si>
  <si>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</si>
  <si>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</si>
  <si>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</si>
  <si>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</si>
  <si>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</si>
  <si>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</si>
  <si>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</si>
  <si>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</si>
  <si>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</si>
  <si>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</si>
  <si>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</si>
  <si>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</si>
  <si>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</si>
  <si>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</si>
  <si>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</si>
  <si>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</si>
  <si>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</si>
  <si>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</si>
  <si>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</si>
  <si>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</si>
  <si>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</si>
  <si>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</si>
  <si>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</si>
  <si>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</si>
  <si>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</si>
  <si>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</si>
  <si>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</si>
  <si>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</si>
  <si>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</si>
  <si>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</si>
  <si>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</si>
  <si>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</si>
  <si>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</si>
  <si>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</si>
  <si>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</si>
  <si>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</si>
  <si>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</si>
  <si>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</si>
  <si>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</si>
  <si>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</si>
  <si>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</si>
  <si>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</si>
  <si>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</si>
  <si>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</si>
  <si>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</si>
  <si>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</si>
  <si>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</si>
  <si>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</si>
  <si>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</si>
  <si>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</si>
  <si>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</si>
  <si>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</si>
  <si>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</si>
  <si>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</si>
  <si>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</si>
  <si>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</si>
  <si>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</si>
  <si>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</si>
  <si>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</si>
  <si>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</si>
  <si>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</si>
  <si>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</si>
  <si>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</si>
  <si>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</si>
  <si>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</si>
  <si>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</si>
  <si>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</si>
  <si>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</si>
  <si>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</si>
  <si>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</si>
  <si>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</si>
  <si>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</si>
  <si>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</si>
  <si>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</si>
  <si>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</si>
  <si>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</si>
  <si>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</si>
  <si>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</si>
  <si>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</si>
  <si>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</si>
  <si>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</si>
  <si>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</si>
  <si>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</si>
  <si>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</si>
  <si>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</si>
  <si>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</si>
  <si>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</si>
  <si>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</si>
  <si>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</si>
  <si>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</si>
  <si>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</si>
  <si>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</si>
  <si>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</si>
  <si>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</si>
  <si>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</si>
  <si>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</si>
  <si>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</si>
  <si>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</si>
  <si>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</si>
  <si>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</si>
  <si>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</si>
  <si>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</si>
  <si>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</si>
  <si>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</si>
  <si>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</si>
  <si>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</si>
  <si>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</si>
  <si>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</si>
  <si>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</si>
  <si>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</si>
  <si>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</si>
  <si>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</si>
  <si>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</si>
  <si>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</si>
  <si>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</si>
  <si>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</si>
  <si>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</si>
  <si>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</si>
  <si>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</si>
  <si>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</si>
  <si>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</si>
  <si>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</si>
  <si>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</si>
  <si>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</si>
  <si>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</si>
  <si>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</si>
  <si>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</si>
  <si>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</si>
  <si>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</si>
  <si>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</si>
  <si>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</si>
  <si>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</si>
  <si>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</si>
  <si>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</si>
  <si>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</si>
  <si>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</si>
  <si>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</si>
  <si>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</si>
  <si>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</si>
  <si>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</si>
  <si>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</si>
  <si>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</si>
  <si>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</si>
  <si>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</si>
  <si>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</si>
  <si>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</si>
  <si>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</si>
  <si>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</si>
  <si>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</si>
  <si>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</si>
  <si>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</si>
  <si>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</si>
  <si>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</si>
  <si>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</si>
  <si>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</si>
  <si>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</si>
  <si>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</si>
  <si>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</si>
  <si>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</si>
  <si>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</si>
  <si>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</si>
  <si>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</si>
  <si>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</si>
  <si>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</si>
  <si>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</si>
  <si>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</si>
  <si>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</si>
  <si>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</si>
  <si>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</si>
  <si>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</si>
  <si>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</si>
  <si>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</si>
  <si>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</si>
  <si>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</si>
  <si>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</si>
  <si>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</si>
  <si>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</si>
  <si>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</si>
  <si>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</si>
  <si>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</si>
  <si>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</si>
  <si>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</si>
  <si>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</si>
  <si>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</si>
  <si>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</si>
  <si>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</si>
  <si>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</si>
  <si>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</si>
  <si>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</si>
  <si>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</si>
  <si>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</si>
  <si>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</si>
  <si>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</si>
  <si>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</si>
  <si>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</si>
  <si>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</si>
  <si>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</si>
  <si>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</si>
  <si>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</si>
  <si>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</si>
  <si>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</si>
  <si>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</si>
  <si>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</si>
  <si>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</si>
  <si>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</si>
  <si>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</si>
  <si>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</si>
  <si>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</si>
  <si>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</si>
  <si>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</si>
  <si>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</si>
  <si>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</si>
  <si>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</si>
  <si>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</si>
  <si>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</si>
  <si>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</si>
  <si>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</si>
  <si>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</si>
  <si>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</si>
  <si>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</si>
  <si>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</si>
  <si>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</si>
  <si>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</si>
  <si>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</si>
  <si>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</si>
  <si>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</si>
  <si>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</si>
  <si>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</si>
  <si>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</si>
  <si>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</si>
  <si>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</si>
  <si>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</si>
  <si>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</si>
  <si>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</si>
  <si>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</si>
  <si>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</si>
  <si>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</si>
  <si>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</si>
  <si>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</si>
  <si>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</si>
  <si>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</si>
  <si>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</si>
  <si>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</si>
  <si>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</si>
  <si>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</si>
  <si>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</si>
  <si>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</si>
  <si>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</si>
  <si>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</si>
  <si>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</si>
  <si>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</si>
  <si>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</si>
  <si>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</si>
  <si>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</si>
  <si>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</si>
  <si>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</si>
  <si>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</si>
  <si>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</si>
  <si>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</si>
  <si>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</si>
  <si>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</si>
  <si>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</si>
  <si>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</si>
  <si>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</si>
  <si>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</si>
  <si>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</si>
  <si>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</si>
  <si>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</si>
  <si>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</si>
  <si>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</si>
  <si>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</si>
  <si>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</si>
  <si>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</si>
  <si>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</si>
  <si>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</si>
  <si>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</si>
  <si>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</si>
  <si>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</si>
  <si>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</si>
  <si>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</si>
  <si>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</si>
  <si>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</si>
  <si>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</si>
  <si>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</si>
  <si>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</si>
  <si>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</si>
  <si>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</si>
  <si>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</si>
  <si>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</si>
  <si>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</si>
  <si>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</si>
  <si>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</si>
  <si>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</si>
  <si>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</si>
  <si>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</si>
  <si>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</si>
  <si>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</si>
  <si>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</si>
  <si>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</si>
  <si>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</si>
  <si>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</si>
  <si>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</si>
  <si>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</si>
  <si>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</si>
  <si>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</si>
  <si>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</si>
  <si>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</si>
  <si>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</si>
  <si>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</si>
  <si>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</si>
  <si>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</si>
  <si>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</si>
  <si>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</si>
  <si>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</si>
  <si>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</si>
  <si>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</si>
  <si>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</si>
  <si>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</si>
  <si>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</si>
  <si>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</si>
  <si>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</si>
  <si>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</si>
  <si>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</si>
  <si>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</si>
  <si>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</si>
  <si>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</si>
  <si>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</si>
  <si>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</si>
  <si>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</si>
  <si>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</si>
  <si>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</si>
  <si>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</si>
  <si>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</si>
  <si>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</si>
  <si>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</si>
  <si>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</si>
  <si>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</si>
  <si>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</si>
  <si>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</si>
  <si>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</si>
  <si>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</si>
  <si>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</si>
  <si>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</si>
  <si>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</si>
  <si>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</si>
  <si>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</si>
  <si>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</si>
  <si>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</si>
  <si>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</si>
  <si>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</si>
  <si>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</si>
  <si>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</si>
  <si>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</si>
  <si>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</si>
  <si>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</si>
  <si>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</si>
  <si>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</si>
  <si>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</si>
  <si>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</si>
  <si>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</si>
  <si>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</si>
  <si>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</si>
  <si>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</si>
  <si>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</si>
  <si>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</si>
  <si>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</si>
  <si>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</si>
  <si>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</si>
  <si>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</si>
  <si>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</si>
  <si>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</si>
  <si>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</si>
  <si>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</si>
  <si>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</si>
  <si>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</si>
  <si>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</si>
  <si>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</si>
  <si>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</si>
  <si>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</si>
  <si>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</si>
  <si>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</si>
  <si>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</si>
  <si>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</si>
  <si>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</si>
  <si>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</si>
  <si>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</si>
  <si>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</si>
  <si>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</si>
  <si>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</si>
  <si>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</si>
  <si>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</si>
  <si>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</si>
  <si>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</si>
  <si>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</si>
  <si>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</si>
  <si>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</si>
  <si>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</si>
  <si>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</si>
  <si>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</si>
  <si>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</si>
  <si>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</si>
  <si>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</si>
  <si>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</si>
  <si>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</si>
  <si>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</si>
  <si>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</si>
  <si>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</si>
  <si>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</si>
  <si>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</si>
  <si>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</si>
  <si>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</si>
  <si>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</si>
  <si>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</si>
  <si>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</si>
  <si>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</si>
  <si>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</si>
  <si>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</si>
  <si>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</si>
  <si>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</si>
  <si>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</si>
  <si>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</si>
  <si>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</si>
  <si>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</si>
  <si>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</si>
  <si>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</si>
  <si>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</si>
  <si>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</si>
  <si>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</si>
  <si>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</si>
  <si>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</si>
  <si>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</si>
  <si>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</si>
  <si>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</si>
  <si>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</si>
  <si>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</si>
  <si>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</si>
  <si>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</si>
  <si>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</si>
  <si>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</si>
  <si>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</si>
  <si>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</si>
  <si>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</si>
  <si>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</si>
  <si>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</si>
  <si>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</si>
  <si>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</si>
  <si>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</si>
  <si>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</si>
  <si>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</si>
  <si>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</si>
  <si>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</si>
  <si>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</si>
  <si>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</si>
  <si>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</si>
  <si>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</si>
  <si>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</si>
  <si>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</si>
  <si>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</si>
  <si>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</si>
  <si>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</si>
  <si>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</si>
  <si>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</si>
  <si>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</si>
  <si>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</si>
  <si>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</si>
  <si>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</si>
  <si>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</si>
  <si>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</si>
  <si>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</si>
  <si>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</si>
  <si>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</si>
  <si>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</si>
  <si>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</si>
  <si>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</si>
  <si>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</si>
  <si>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</si>
  <si>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</si>
  <si>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</si>
  <si>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</si>
  <si>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</si>
  <si>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</si>
  <si>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</si>
  <si>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</si>
  <si>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</si>
  <si>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</si>
  <si>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</si>
  <si>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</si>
  <si>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</si>
  <si>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</si>
  <si>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</si>
  <si>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</si>
  <si>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</si>
  <si>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</si>
  <si>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</si>
  <si>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</si>
  <si>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</si>
  <si>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</si>
  <si>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</si>
  <si>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</si>
  <si>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</si>
  <si>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</si>
  <si>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</si>
  <si>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</si>
  <si>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</si>
  <si>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</si>
  <si>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</si>
  <si>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</si>
  <si>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</si>
  <si>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</si>
  <si>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</si>
  <si>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</si>
  <si>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</si>
  <si>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</si>
  <si>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</si>
  <si>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</si>
  <si>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</si>
  <si>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</si>
  <si>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</si>
  <si>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</si>
  <si>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</si>
  <si>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</si>
  <si>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</si>
  <si>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</si>
  <si>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</si>
  <si>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</si>
  <si>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</si>
  <si>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</si>
  <si>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</si>
  <si>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</si>
  <si>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</si>
  <si>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</si>
  <si>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</si>
  <si>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</si>
  <si>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</si>
  <si>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</si>
  <si>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</si>
  <si>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</si>
  <si>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</si>
  <si>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</si>
  <si>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</si>
  <si>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</si>
  <si>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</si>
  <si>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</si>
  <si>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</si>
  <si>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</si>
  <si>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</si>
  <si>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</si>
  <si>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</si>
  <si>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</si>
  <si>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</si>
  <si>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</si>
  <si>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</si>
  <si>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</si>
  <si>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</si>
  <si>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</si>
  <si>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</si>
  <si>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</si>
  <si>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</si>
  <si>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</si>
  <si>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</si>
  <si>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</si>
  <si>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</si>
  <si>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</si>
  <si>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</si>
  <si>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</si>
  <si>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</si>
  <si>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</si>
  <si>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</si>
  <si>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</si>
  <si>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</si>
  <si>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</si>
  <si>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</si>
  <si>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</si>
  <si>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</si>
  <si>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</si>
  <si>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</si>
  <si>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</si>
  <si>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</si>
  <si>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</si>
  <si>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</si>
  <si>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</si>
  <si>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</si>
  <si>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</si>
  <si>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</si>
  <si>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</si>
  <si>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</si>
  <si>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</si>
  <si>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</si>
  <si>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</si>
  <si>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</si>
  <si>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</si>
  <si>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</si>
  <si>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</si>
  <si>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</si>
  <si>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</si>
  <si>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</si>
  <si>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</si>
  <si>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</si>
  <si>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</si>
  <si>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</si>
  <si>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</si>
  <si>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</si>
  <si>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</si>
  <si>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</si>
  <si>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</si>
  <si>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</si>
  <si>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</si>
  <si>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</si>
  <si>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</si>
  <si>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</si>
  <si>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</si>
  <si>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</si>
  <si>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</si>
  <si>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</si>
  <si>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</si>
  <si>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</si>
  <si>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</si>
  <si>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</si>
  <si>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</si>
  <si>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</si>
  <si>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</si>
  <si>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</si>
  <si>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</si>
  <si>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</si>
  <si>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</si>
  <si>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</si>
  <si>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</si>
  <si>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</si>
  <si>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</si>
  <si>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</si>
  <si>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</si>
  <si>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</si>
  <si>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</si>
  <si>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</si>
  <si>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</si>
  <si>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</si>
  <si>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</si>
  <si>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</si>
  <si>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</si>
  <si>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</si>
  <si>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</si>
  <si>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</si>
  <si>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</si>
  <si>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</si>
  <si>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</si>
  <si>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</si>
  <si>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</si>
  <si>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</si>
  <si>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</si>
  <si>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</si>
  <si>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</si>
  <si>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</si>
  <si>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</si>
  <si>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</si>
  <si>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</si>
  <si>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</si>
  <si>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</si>
  <si>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</si>
  <si>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</si>
  <si>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</si>
  <si>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</si>
  <si>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</si>
  <si>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</si>
  <si>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</si>
  <si>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</si>
  <si>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</si>
  <si>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</si>
  <si>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</si>
  <si>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</si>
  <si>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</si>
  <si>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</si>
  <si>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</si>
  <si>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</si>
  <si>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</si>
  <si>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</si>
  <si>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</si>
  <si>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</si>
  <si>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</si>
  <si>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</si>
  <si>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</si>
  <si>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</si>
  <si>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</si>
  <si>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</si>
  <si>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</si>
  <si>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</si>
  <si>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</si>
  <si>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</si>
  <si>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</si>
  <si>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</si>
  <si>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</si>
  <si>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</si>
  <si>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</si>
  <si>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</si>
  <si>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</si>
  <si>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</si>
  <si>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</si>
  <si>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</si>
  <si>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</si>
  <si>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</si>
  <si>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</si>
  <si>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</si>
  <si>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</si>
  <si>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</si>
  <si>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</si>
  <si>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</si>
  <si>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</si>
  <si>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</si>
  <si>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</si>
  <si>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</si>
  <si>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</si>
  <si>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</si>
  <si>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</si>
  <si>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</si>
  <si>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</si>
  <si>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</si>
  <si>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</si>
  <si>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</si>
  <si>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</si>
  <si>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</si>
  <si>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</si>
  <si>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</si>
  <si>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</si>
  <si>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</si>
  <si>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</si>
  <si>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</si>
  <si>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</si>
  <si>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</si>
  <si>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</si>
  <si>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</si>
  <si>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</si>
  <si>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</si>
  <si>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</si>
  <si>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</si>
  <si>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</si>
  <si>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</si>
  <si>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</si>
  <si>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</si>
  <si>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</si>
  <si>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</si>
  <si>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</si>
  <si>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</si>
  <si>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</si>
  <si>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</si>
  <si>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</si>
  <si>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</si>
  <si>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</si>
  <si>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</si>
  <si>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</si>
  <si>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</si>
  <si>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</si>
  <si>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</si>
  <si>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</si>
  <si>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</si>
  <si>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</si>
  <si>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</si>
  <si>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</si>
  <si>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</si>
  <si>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</si>
  <si>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</si>
  <si>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</si>
  <si>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</si>
  <si>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</si>
  <si>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</si>
  <si>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</si>
  <si>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</si>
  <si>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</si>
  <si>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</si>
  <si>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</si>
  <si>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</si>
  <si>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</si>
  <si>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</si>
  <si>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</si>
  <si>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</si>
  <si>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</si>
  <si>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</si>
  <si>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</si>
  <si>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</si>
  <si>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</si>
  <si>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</si>
  <si>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</si>
  <si>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</si>
  <si>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</si>
  <si>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</si>
  <si>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</si>
  <si>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</si>
  <si>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</si>
  <si>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</si>
  <si>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</si>
  <si>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</si>
  <si>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</si>
  <si>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</si>
  <si>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</si>
  <si>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</si>
  <si>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</si>
  <si>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</si>
  <si>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</si>
  <si>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</si>
  <si>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</si>
  <si>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</si>
  <si>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</si>
  <si>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</si>
  <si>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</si>
  <si>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</si>
  <si>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</si>
  <si>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</si>
  <si>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</si>
  <si>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</si>
  <si>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</si>
  <si>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</si>
  <si>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</si>
  <si>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</si>
  <si>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</si>
  <si>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</si>
  <si>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</si>
  <si>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</si>
  <si>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</si>
  <si>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</si>
  <si>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</si>
  <si>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</si>
  <si>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</si>
  <si>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</si>
  <si>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</si>
  <si>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</si>
  <si>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</si>
  <si>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</si>
  <si>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</si>
  <si>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</si>
  <si>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</si>
  <si>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</si>
  <si>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</si>
  <si>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</si>
  <si>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</si>
  <si>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</si>
  <si>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</si>
  <si>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</si>
  <si>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</si>
  <si>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</si>
  <si>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</si>
  <si>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</si>
  <si>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</si>
  <si>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</si>
  <si>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</si>
  <si>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</si>
  <si>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</si>
  <si>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</si>
  <si>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</si>
  <si>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</si>
  <si>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</si>
  <si>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</si>
  <si>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</si>
  <si>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</si>
  <si>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</si>
  <si>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</si>
  <si>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</si>
  <si>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</si>
  <si>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</si>
  <si>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</si>
  <si>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</si>
  <si>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</si>
  <si>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</si>
  <si>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</si>
  <si>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</si>
  <si>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</si>
  <si>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</si>
  <si>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</si>
  <si>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</si>
  <si>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</si>
  <si>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</si>
  <si>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</si>
  <si>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</si>
  <si>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</si>
  <si>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</si>
  <si>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</si>
  <si>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</si>
  <si>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</si>
  <si>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</si>
  <si>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</si>
  <si>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</si>
  <si>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</si>
  <si>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</si>
  <si>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</si>
  <si>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</si>
  <si>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</si>
  <si>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</si>
  <si>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</si>
  <si>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</si>
  <si>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</si>
  <si>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</si>
  <si>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</si>
  <si>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</si>
  <si>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</si>
  <si>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</si>
  <si>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</si>
  <si>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</si>
  <si>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</si>
  <si>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</si>
  <si>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</si>
  <si>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</si>
  <si>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</si>
  <si>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</si>
  <si>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</si>
  <si>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</si>
  <si>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</si>
  <si>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</si>
  <si>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</si>
  <si>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</si>
  <si>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</si>
  <si>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</si>
  <si>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</si>
  <si>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</si>
  <si>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</si>
  <si>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</si>
  <si>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</si>
  <si>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</si>
  <si>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</si>
  <si>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</si>
  <si>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</si>
  <si>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</si>
  <si>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</si>
  <si>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</si>
  <si>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</si>
  <si>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</si>
  <si>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</si>
  <si>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</si>
  <si>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</si>
  <si>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</si>
  <si>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</si>
  <si>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</si>
  <si>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</si>
  <si>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</si>
  <si>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</si>
  <si>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</si>
  <si>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</si>
  <si>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</si>
  <si>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</si>
  <si>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</si>
  <si>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</si>
  <si>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</si>
  <si>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</si>
  <si>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</si>
  <si>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</si>
  <si>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</si>
  <si>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</si>
  <si>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</si>
  <si>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</si>
  <si>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</si>
  <si>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</si>
  <si>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</si>
  <si>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</si>
  <si>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</si>
  <si>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</si>
  <si>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</si>
  <si>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</si>
  <si>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</si>
  <si>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</si>
  <si>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</si>
  <si>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</si>
  <si>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</si>
  <si>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</si>
  <si>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</si>
  <si>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</si>
  <si>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</si>
  <si>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</si>
  <si>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</si>
  <si>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</si>
  <si>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</si>
  <si>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</si>
  <si>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</si>
  <si>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</si>
  <si>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</si>
  <si>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</si>
  <si>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</si>
  <si>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</si>
  <si>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</si>
  <si>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</si>
  <si>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</si>
  <si>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</si>
  <si>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</si>
  <si>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</si>
  <si>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</si>
  <si>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</si>
  <si>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</si>
  <si>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</si>
  <si>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</si>
  <si>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</si>
  <si>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</si>
  <si>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</si>
  <si>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</si>
  <si>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</si>
  <si>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</si>
  <si>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</si>
  <si>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</si>
  <si>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</si>
  <si>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</si>
  <si>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</si>
  <si>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</si>
  <si>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</si>
  <si>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</si>
  <si>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</si>
  <si>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</si>
  <si>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</si>
  <si>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</si>
  <si>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</si>
  <si>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</si>
  <si>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</si>
  <si>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</si>
  <si>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</si>
  <si>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</si>
  <si>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</si>
  <si>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</si>
  <si>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</si>
  <si>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</si>
  <si>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</si>
  <si>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</si>
  <si>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</si>
  <si>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</si>
  <si>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</si>
  <si>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</si>
  <si>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</si>
  <si>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</si>
  <si>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</si>
  <si>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</si>
  <si>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</si>
  <si>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</si>
  <si>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</si>
  <si>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</si>
  <si>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</si>
  <si>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</si>
  <si>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</si>
  <si>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</si>
  <si>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</si>
  <si>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</si>
  <si>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</si>
  <si>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</si>
  <si>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</si>
  <si>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</si>
  <si>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</si>
  <si>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</si>
  <si>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</si>
  <si>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</si>
  <si>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</si>
  <si>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</si>
  <si>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</si>
  <si>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</si>
  <si>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</si>
  <si>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</si>
  <si>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</si>
  <si>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</si>
  <si>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</si>
  <si>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</si>
  <si>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</si>
  <si>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</si>
  <si>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</si>
  <si>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</si>
  <si>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</si>
  <si>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</si>
  <si>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</si>
  <si>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</si>
  <si>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</si>
  <si>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</si>
  <si>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</si>
  <si>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</si>
  <si>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</si>
  <si>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</si>
  <si>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</si>
  <si>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</si>
  <si>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</si>
  <si>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</si>
  <si>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</si>
  <si>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</si>
  <si>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</si>
  <si>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</si>
  <si>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</si>
  <si>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</si>
  <si>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</si>
  <si>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</si>
  <si>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</si>
  <si>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</si>
  <si>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</si>
  <si>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</si>
  <si>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</si>
  <si>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</si>
  <si>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</si>
  <si>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</si>
  <si>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</si>
  <si>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</si>
  <si>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</si>
  <si>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</si>
  <si>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</si>
  <si>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</si>
  <si>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</si>
  <si>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</si>
  <si>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</si>
  <si>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</si>
  <si>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</si>
  <si>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</si>
  <si>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</si>
  <si>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</si>
  <si>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</si>
  <si>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</si>
  <si>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</si>
  <si>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</si>
  <si>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</si>
  <si>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</si>
  <si>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</si>
  <si>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</si>
  <si>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</si>
  <si>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</si>
  <si>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</si>
  <si>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</si>
  <si>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</si>
  <si>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</si>
  <si>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</si>
  <si>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</si>
  <si>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</si>
  <si>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</si>
  <si>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</si>
  <si>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</si>
  <si>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</si>
  <si>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</si>
  <si>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</si>
  <si>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</si>
  <si>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</si>
  <si>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</si>
  <si>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</si>
  <si>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</si>
  <si>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</si>
  <si>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</si>
  <si>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</si>
  <si>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</si>
  <si>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</si>
  <si>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</si>
  <si>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</si>
  <si>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</si>
  <si>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</si>
  <si>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</si>
  <si>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</si>
  <si>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</si>
  <si>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</si>
  <si>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</si>
  <si>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</si>
  <si>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</si>
  <si>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</si>
  <si>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</si>
  <si>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</si>
  <si>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</si>
  <si>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</si>
  <si>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</si>
  <si>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</si>
  <si>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</si>
  <si>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</si>
  <si>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</si>
  <si>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</si>
  <si>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</si>
  <si>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</si>
  <si>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</si>
  <si>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</si>
  <si>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</si>
  <si>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</si>
  <si>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</si>
  <si>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</si>
  <si>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</si>
  <si>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</si>
  <si>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</si>
  <si>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</si>
  <si>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</si>
  <si>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</si>
  <si>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</si>
  <si>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</si>
  <si>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</si>
  <si>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</si>
  <si>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</si>
  <si>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</si>
  <si>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</si>
  <si>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</si>
  <si>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</si>
  <si>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</si>
  <si>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</si>
  <si>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</si>
  <si>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</si>
  <si>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</si>
  <si>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</si>
  <si>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</si>
  <si>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</si>
  <si>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</si>
  <si>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</si>
  <si>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</si>
  <si>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</si>
  <si>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</si>
  <si>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</si>
  <si>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</si>
  <si>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</si>
  <si>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</si>
  <si>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</si>
  <si>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</si>
  <si>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</si>
  <si>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</si>
  <si>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</si>
  <si>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</si>
  <si>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</si>
  <si>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</si>
  <si>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</si>
  <si>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</si>
  <si>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</si>
  <si>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</si>
  <si>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</si>
  <si>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</si>
  <si>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</si>
  <si>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</si>
  <si>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</si>
  <si>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</si>
  <si>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</si>
  <si>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</si>
  <si>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</si>
  <si>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</si>
  <si>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</si>
  <si>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</si>
  <si>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</si>
  <si>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</si>
  <si>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</si>
  <si>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</si>
  <si>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</si>
  <si>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</si>
  <si>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</si>
  <si>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</si>
  <si>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</si>
  <si>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</si>
  <si>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</si>
  <si>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</si>
  <si>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</si>
  <si>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</si>
  <si>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</si>
  <si>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</si>
  <si>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</si>
  <si>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</si>
  <si>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</si>
  <si>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</si>
  <si>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</si>
  <si>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</si>
  <si>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</si>
  <si>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</si>
  <si>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</si>
  <si>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</si>
  <si>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</si>
  <si>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</si>
  <si>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</si>
  <si>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</si>
  <si>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</si>
  <si>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</si>
  <si>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</si>
  <si>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</si>
  <si>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</si>
  <si>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</si>
  <si>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</si>
  <si>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</si>
  <si>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</si>
  <si>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</si>
  <si>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</si>
  <si>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</si>
  <si>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</si>
  <si>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</si>
  <si>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</si>
  <si>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</si>
  <si>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</si>
  <si>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</si>
  <si>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</si>
  <si>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</si>
  <si>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</si>
  <si>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</si>
  <si>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</si>
  <si>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</si>
  <si>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</si>
  <si>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</si>
  <si>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</si>
  <si>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</si>
  <si>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</si>
  <si>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</si>
  <si>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</si>
  <si>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</si>
  <si>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</si>
  <si>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</si>
  <si>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</si>
  <si>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</si>
  <si>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</si>
  <si>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</si>
  <si>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</si>
  <si>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</si>
  <si>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</si>
  <si>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</si>
  <si>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</si>
  <si>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</si>
  <si>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</si>
  <si>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</si>
  <si>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</si>
  <si>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</si>
  <si>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</si>
  <si>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</si>
  <si>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</si>
  <si>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</si>
  <si>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</si>
  <si>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</si>
  <si>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</si>
  <si>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</si>
  <si>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</si>
  <si>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</si>
  <si>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</si>
  <si>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</si>
  <si>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</si>
  <si>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</si>
  <si>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</si>
  <si>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</si>
  <si>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</si>
  <si>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</si>
  <si>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</si>
  <si>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</si>
  <si>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</si>
  <si>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</si>
  <si>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</si>
  <si>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</si>
  <si>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</si>
  <si>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</si>
  <si>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</si>
  <si>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</si>
  <si>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</si>
  <si>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</si>
  <si>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</si>
  <si>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</si>
  <si>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</si>
  <si>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</si>
  <si>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</si>
  <si>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</si>
  <si>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</si>
  <si>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</si>
  <si>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</si>
  <si>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</si>
  <si>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</si>
  <si>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</si>
  <si>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</si>
  <si>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</si>
  <si>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</si>
  <si>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</si>
  <si>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</si>
  <si>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</si>
  <si>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</si>
  <si>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</si>
  <si>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</si>
  <si>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</si>
  <si>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</si>
  <si>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</si>
  <si>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</si>
  <si>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</si>
  <si>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</si>
  <si>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</si>
  <si>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</si>
  <si>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</si>
  <si>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</si>
  <si>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</si>
  <si>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</si>
  <si>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</si>
  <si>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</si>
  <si>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</si>
  <si>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</si>
  <si>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</si>
  <si>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</si>
  <si>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</si>
  <si>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</si>
  <si>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</si>
  <si>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</si>
  <si>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</si>
  <si>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</si>
  <si>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</si>
  <si>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</si>
  <si>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</si>
  <si>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</si>
  <si>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</si>
  <si>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</si>
  <si>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</si>
  <si>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</si>
  <si>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</si>
  <si>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</si>
  <si>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</si>
  <si>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</si>
  <si>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</si>
  <si>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</si>
  <si>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</si>
  <si>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</si>
  <si>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</si>
  <si>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</si>
  <si>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</si>
  <si>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</si>
  <si>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</si>
  <si>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</si>
  <si>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</si>
  <si>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</si>
  <si>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</si>
  <si>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</si>
  <si>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</si>
  <si>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</si>
  <si>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</si>
  <si>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</si>
  <si>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</si>
  <si>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</si>
  <si>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</si>
  <si>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</si>
  <si>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</si>
  <si>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</si>
  <si>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</si>
  <si>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</si>
  <si>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</si>
  <si>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</si>
  <si>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</si>
  <si>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</si>
  <si>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</si>
  <si>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</si>
  <si>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</si>
  <si>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</si>
  <si>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</si>
  <si>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</si>
  <si>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</si>
  <si>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</si>
  <si>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</si>
  <si>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</si>
  <si>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</si>
  <si>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</si>
  <si>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</si>
  <si>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</si>
  <si>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</si>
  <si>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</si>
  <si>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</si>
  <si>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</si>
  <si>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</si>
  <si>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</si>
  <si>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</si>
  <si>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</si>
  <si>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</si>
  <si>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</si>
  <si>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</si>
  <si>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</si>
  <si>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</si>
  <si>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</si>
  <si>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</si>
  <si>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</si>
  <si>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</si>
  <si>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</si>
  <si>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</si>
  <si>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</si>
  <si>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</si>
  <si>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</si>
  <si>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</si>
  <si>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</si>
  <si>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</si>
  <si>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</si>
  <si>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</si>
  <si>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</si>
  <si>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</si>
  <si>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</si>
  <si>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</si>
  <si>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</si>
  <si>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</si>
  <si>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</si>
  <si>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</si>
  <si>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</si>
  <si>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</si>
  <si>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</si>
  <si>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</si>
  <si>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</si>
  <si>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</si>
  <si>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</si>
  <si>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</si>
  <si>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</si>
  <si>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</si>
  <si>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</si>
  <si>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</si>
  <si>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</si>
  <si>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</si>
  <si>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</si>
  <si>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</si>
  <si>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</si>
  <si>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</si>
  <si>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</si>
  <si>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</si>
  <si>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</si>
  <si>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</si>
  <si>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</si>
  <si>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</si>
  <si>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</si>
  <si>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</si>
  <si>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</si>
  <si>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</si>
  <si>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</si>
  <si>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</si>
  <si>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</si>
  <si>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</si>
  <si>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</si>
  <si>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</si>
  <si>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</si>
  <si>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</si>
  <si>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</si>
  <si>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</si>
  <si>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</si>
  <si>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</si>
  <si>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</si>
  <si>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</si>
  <si>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</si>
  <si>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</si>
  <si>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</si>
  <si>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</si>
  <si>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</si>
  <si>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</si>
  <si>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</si>
  <si>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</si>
  <si>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</si>
  <si>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</si>
  <si>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</si>
  <si>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</si>
  <si>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</si>
  <si>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</si>
  <si>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</si>
  <si>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</si>
  <si>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</si>
  <si>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</si>
  <si>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</si>
  <si>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</si>
  <si>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</si>
  <si>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</si>
  <si>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</si>
  <si>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</si>
  <si>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</si>
  <si>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</si>
  <si>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</si>
  <si>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</si>
  <si>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</si>
  <si>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</si>
  <si>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</si>
  <si>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</si>
  <si>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</si>
  <si>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</si>
  <si>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</si>
  <si>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</si>
  <si>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</si>
  <si>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</si>
  <si>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</si>
  <si>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</si>
  <si>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</si>
  <si>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</si>
  <si>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</si>
  <si>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</si>
  <si>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</si>
  <si>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</si>
  <si>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</si>
  <si>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</si>
  <si>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</si>
  <si>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</si>
  <si>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</si>
  <si>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</si>
  <si>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</si>
  <si>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</si>
  <si>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</si>
  <si>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</si>
  <si>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</si>
  <si>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</si>
  <si>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</si>
  <si>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</si>
  <si>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</si>
  <si>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</si>
  <si>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</si>
  <si>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</si>
  <si>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</si>
  <si>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</si>
  <si>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</si>
  <si>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</si>
  <si>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</si>
  <si>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</si>
  <si>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</si>
  <si>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</si>
  <si>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</si>
  <si>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</si>
  <si>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</si>
  <si>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</si>
  <si>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</si>
  <si>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</si>
  <si>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</si>
  <si>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</si>
  <si>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</si>
  <si>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</si>
  <si>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</si>
  <si>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</si>
  <si>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</si>
  <si>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</si>
  <si>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</si>
  <si>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</si>
  <si>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</si>
  <si>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</si>
  <si>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</si>
  <si>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</si>
  <si>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</si>
  <si>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</si>
  <si>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</si>
  <si>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</si>
  <si>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</si>
  <si>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</si>
  <si>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</si>
  <si>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</si>
  <si>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</si>
  <si>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</si>
  <si>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</si>
  <si>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</si>
  <si>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</si>
  <si>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</si>
  <si>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</si>
  <si>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</si>
  <si>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</si>
  <si>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</si>
  <si>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</si>
  <si>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</si>
  <si>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</si>
  <si>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</si>
  <si>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</si>
  <si>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</si>
  <si>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</si>
  <si>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</si>
  <si>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</si>
  <si>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</si>
  <si>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</si>
  <si>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</si>
  <si>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</si>
  <si>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</si>
  <si>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</si>
  <si>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</si>
  <si>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</si>
  <si>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</si>
  <si>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</si>
  <si>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</si>
  <si>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</si>
  <si>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</si>
  <si>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</si>
  <si>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</si>
  <si>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</si>
  <si>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</si>
  <si>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</si>
  <si>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</si>
  <si>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</si>
  <si>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</si>
  <si>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</si>
  <si>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</si>
  <si>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</si>
  <si>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</si>
  <si>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</si>
  <si>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</si>
  <si>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</si>
  <si>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</si>
  <si>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</si>
  <si>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</si>
  <si>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</si>
  <si>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</si>
  <si>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</si>
  <si>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</si>
  <si>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</si>
  <si>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</si>
  <si>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</si>
  <si>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</si>
  <si>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</si>
  <si>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</si>
  <si>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</si>
  <si>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</si>
  <si>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</si>
  <si>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</si>
  <si>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</si>
  <si>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</si>
  <si>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</si>
  <si>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</si>
  <si>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</si>
  <si>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</si>
  <si>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</si>
  <si>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</si>
  <si>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</si>
  <si>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</si>
  <si>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</si>
  <si>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</si>
  <si>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</si>
  <si>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</si>
  <si>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</si>
  <si>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</si>
  <si>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</si>
  <si>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</si>
  <si>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</si>
  <si>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</si>
  <si>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</si>
  <si>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</si>
  <si>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</si>
  <si>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</si>
  <si>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</si>
  <si>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</si>
  <si>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</si>
  <si>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</si>
  <si>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</si>
  <si>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</si>
  <si>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</si>
  <si>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</si>
  <si>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</si>
  <si>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</si>
  <si>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</si>
  <si>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</si>
  <si>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</si>
  <si>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</si>
  <si>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</si>
  <si>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</si>
  <si>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</si>
  <si>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</si>
  <si>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</si>
  <si>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</si>
  <si>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</si>
  <si>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</si>
  <si>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</si>
  <si>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</si>
  <si>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</si>
  <si>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</si>
  <si>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</si>
  <si>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</si>
  <si>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</si>
  <si>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</si>
  <si>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</si>
  <si>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</si>
  <si>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</si>
  <si>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</si>
  <si>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</si>
  <si>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</si>
  <si>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</si>
  <si>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</si>
  <si>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</si>
  <si>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</si>
  <si>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</si>
  <si>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</si>
  <si>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</si>
  <si>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</si>
  <si>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</si>
  <si>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</si>
  <si>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</si>
  <si>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</si>
  <si>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</si>
  <si>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</si>
  <si>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</si>
  <si>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</si>
  <si>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</si>
  <si>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</si>
  <si>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</si>
  <si>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</si>
  <si>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</si>
  <si>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</si>
  <si>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</si>
  <si>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</si>
  <si>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</si>
  <si>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</si>
  <si>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</si>
  <si>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</si>
  <si>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</si>
  <si>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</si>
  <si>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</si>
  <si>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</si>
  <si>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</si>
  <si>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</si>
  <si>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</si>
  <si>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</si>
  <si>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</si>
  <si>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</si>
  <si>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</si>
  <si>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</si>
  <si>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</si>
  <si>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</si>
  <si>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</si>
  <si>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</si>
  <si>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</si>
  <si>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</si>
  <si>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</si>
  <si>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</si>
  <si>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</si>
  <si>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</si>
  <si>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</si>
  <si>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</si>
  <si>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</si>
  <si>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</si>
  <si>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</si>
  <si>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</si>
  <si>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</si>
  <si>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</si>
  <si>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</si>
  <si>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</si>
  <si>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</si>
  <si>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</si>
  <si>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</si>
  <si>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</si>
  <si>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</si>
  <si>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</si>
  <si>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</si>
  <si>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</si>
  <si>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</si>
  <si>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</si>
  <si>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</si>
  <si>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</si>
  <si>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</si>
  <si>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</si>
  <si>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</si>
  <si>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</si>
  <si>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</si>
  <si>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</si>
  <si>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</si>
  <si>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</si>
  <si>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</si>
  <si>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</si>
  <si>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</si>
  <si>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</si>
  <si>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</si>
  <si>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</si>
  <si>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</si>
  <si>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</si>
  <si>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</si>
  <si>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</si>
  <si>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</si>
  <si>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</si>
  <si>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</si>
  <si>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</si>
  <si>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</si>
  <si>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</si>
  <si>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</si>
  <si>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</si>
  <si>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</si>
  <si>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</si>
  <si>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</si>
  <si>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</si>
  <si>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</si>
  <si>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</si>
  <si>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</si>
  <si>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</si>
  <si>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</si>
  <si>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</si>
  <si>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</si>
  <si>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</si>
  <si>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</si>
  <si>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</si>
  <si>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</si>
  <si>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</si>
  <si>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</si>
  <si>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</si>
  <si>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</si>
  <si>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</si>
  <si>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</si>
  <si>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</si>
  <si>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</si>
  <si>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</si>
  <si>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</si>
  <si>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</si>
  <si>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</si>
  <si>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</si>
  <si>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</si>
  <si>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</si>
  <si>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</si>
  <si>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</si>
  <si>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</si>
  <si>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</si>
  <si>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</si>
  <si>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</si>
  <si>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</si>
  <si>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</si>
  <si>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</si>
  <si>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</si>
  <si>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</si>
  <si>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</si>
  <si>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</si>
  <si>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</si>
  <si>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</si>
  <si>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</si>
  <si>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</si>
  <si>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</si>
  <si>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</si>
  <si>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</si>
  <si>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</si>
  <si>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</si>
  <si>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</si>
  <si>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</si>
  <si>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</si>
  <si>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</si>
  <si>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</si>
  <si>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</si>
  <si>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</si>
  <si>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</si>
  <si>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</si>
  <si>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</si>
  <si>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</si>
  <si>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</si>
  <si>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</si>
  <si>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</si>
  <si>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</si>
  <si>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</si>
  <si>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</si>
  <si>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</si>
  <si>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</si>
  <si>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</si>
  <si>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</si>
  <si>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</si>
  <si>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</si>
  <si>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</si>
  <si>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</si>
  <si>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</si>
  <si>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</si>
  <si>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</si>
  <si>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</si>
  <si>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</si>
  <si>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</si>
  <si>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</si>
  <si>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</si>
  <si>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</si>
  <si>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</si>
  <si>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</si>
  <si>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</si>
  <si>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</si>
  <si>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</si>
  <si>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</si>
  <si>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</si>
  <si>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</si>
  <si>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</si>
  <si>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</si>
  <si>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</si>
  <si>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</si>
  <si>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</si>
  <si>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</si>
  <si>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</si>
  <si>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</si>
  <si>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</si>
  <si>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</si>
  <si>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</si>
  <si>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</si>
  <si>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</si>
  <si>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</si>
  <si>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</si>
  <si>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</si>
  <si>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</si>
  <si>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</si>
  <si>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</si>
  <si>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</si>
  <si>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</si>
  <si>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</si>
  <si>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</si>
  <si>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</si>
  <si>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</si>
  <si>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</si>
  <si>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</si>
  <si>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</si>
  <si>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</si>
  <si>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</si>
  <si>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</si>
  <si>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</si>
  <si>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</si>
  <si>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</si>
  <si>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</si>
  <si>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</si>
  <si>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</si>
  <si>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</si>
  <si>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</si>
  <si>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</si>
  <si>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</si>
  <si>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</si>
  <si>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</si>
  <si>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</si>
  <si>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</si>
  <si>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</si>
  <si>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</si>
  <si>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</si>
  <si>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</si>
  <si>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</si>
  <si>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</si>
  <si>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</si>
  <si>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</si>
  <si>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</si>
  <si>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</si>
  <si>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</si>
  <si>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</si>
  <si>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</si>
  <si>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</si>
  <si>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</si>
  <si>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</si>
  <si>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</si>
  <si>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</si>
  <si>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</si>
  <si>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</si>
  <si>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</si>
  <si>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</si>
  <si>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</si>
  <si>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</si>
  <si>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</si>
  <si>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</si>
  <si>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</si>
  <si>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</si>
  <si>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</si>
  <si>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</si>
  <si>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</si>
  <si>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</si>
  <si>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</si>
  <si>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</si>
  <si>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</si>
  <si>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</si>
  <si>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</si>
  <si>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</si>
  <si>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</si>
  <si>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</si>
  <si>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</si>
  <si>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</si>
  <si>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</si>
  <si>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</si>
  <si>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</si>
  <si>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</si>
  <si>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</si>
  <si>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</si>
  <si>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</si>
  <si>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</si>
  <si>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</si>
  <si>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</si>
  <si>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</si>
  <si>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</si>
  <si>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</si>
  <si>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</si>
  <si>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</si>
  <si>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</si>
  <si>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</si>
  <si>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</si>
  <si>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</si>
  <si>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</si>
  <si>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</si>
  <si>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</si>
  <si>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</si>
  <si>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</si>
  <si>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</si>
  <si>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</si>
  <si>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</si>
  <si>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</si>
  <si>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</si>
  <si>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</si>
  <si>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</si>
  <si>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</si>
  <si>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</si>
  <si>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</si>
  <si>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</si>
  <si>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</si>
  <si>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</si>
  <si>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</si>
  <si>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</si>
  <si>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</si>
  <si>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</si>
  <si>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</si>
  <si>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</si>
  <si>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</si>
  <si>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</si>
  <si>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</si>
  <si>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</si>
  <si>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</si>
  <si>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</si>
  <si>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</si>
  <si>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</si>
  <si>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</si>
  <si>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</si>
  <si>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</si>
  <si>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</si>
  <si>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</si>
  <si>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</si>
  <si>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</si>
  <si>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</si>
  <si>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</si>
  <si>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</si>
  <si>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</si>
  <si>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</si>
  <si>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</si>
  <si>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</si>
  <si>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</si>
  <si>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</si>
  <si>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</si>
  <si>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</si>
  <si>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</si>
  <si>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</si>
  <si>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</si>
  <si>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</si>
  <si>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</si>
  <si>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</si>
  <si>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</si>
  <si>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</si>
  <si>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</si>
  <si>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</si>
  <si>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</si>
  <si>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</si>
  <si>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</si>
  <si>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</si>
  <si>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</si>
  <si>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</si>
  <si>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</si>
  <si>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</si>
  <si>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</si>
  <si>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</si>
  <si>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</si>
  <si>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</si>
  <si>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</si>
  <si>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</si>
  <si>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</si>
  <si>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</si>
  <si>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</si>
  <si>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</si>
  <si>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</si>
  <si>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</si>
  <si>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</si>
  <si>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</si>
  <si>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</si>
  <si>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</si>
  <si>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</si>
  <si>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</si>
  <si>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</si>
  <si>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</si>
  <si>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</si>
  <si>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</si>
  <si>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</si>
  <si>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</si>
  <si>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</si>
  <si>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</si>
  <si>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</si>
  <si>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</si>
  <si>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</si>
  <si>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</si>
  <si>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</si>
  <si>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</si>
  <si>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</si>
  <si>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</si>
  <si>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</si>
  <si>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</si>
  <si>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</si>
  <si>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</si>
  <si>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</si>
  <si>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</si>
  <si>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</si>
  <si>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</si>
  <si>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</si>
  <si>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</si>
  <si>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</si>
  <si>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</si>
  <si>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</si>
  <si>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</si>
  <si>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</si>
  <si>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</si>
  <si>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</si>
  <si>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</si>
  <si>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</si>
  <si>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</si>
  <si>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</si>
  <si>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</si>
  <si>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</si>
  <si>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</si>
  <si>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</si>
  <si>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</si>
  <si>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</si>
  <si>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</si>
  <si>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</si>
  <si>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</si>
  <si>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</si>
  <si>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</si>
  <si>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</si>
  <si>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</si>
  <si>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</si>
  <si>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</si>
  <si>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</si>
  <si>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</si>
  <si>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</si>
  <si>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</si>
  <si>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</si>
  <si>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</si>
  <si>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</si>
  <si>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</si>
  <si>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</si>
  <si>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</si>
  <si>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</si>
  <si>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</si>
  <si>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</si>
  <si>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</si>
  <si>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</si>
  <si>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</si>
  <si>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</si>
  <si>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</si>
  <si>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</si>
  <si>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</si>
  <si>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</si>
  <si>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</si>
  <si>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</si>
  <si>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</si>
  <si>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</si>
  <si>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</si>
  <si>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</si>
  <si>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</si>
  <si>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</si>
  <si>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</si>
  <si>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</si>
  <si>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</si>
  <si>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</si>
  <si>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</si>
  <si>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</si>
  <si>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</si>
  <si>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</si>
  <si>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</si>
  <si>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</si>
  <si>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</si>
  <si>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</si>
  <si>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</si>
  <si>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</si>
  <si>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</si>
  <si>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</si>
  <si>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</si>
  <si>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</si>
  <si>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</si>
  <si>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</si>
  <si>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</si>
  <si>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</si>
  <si>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</si>
  <si>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</si>
  <si>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</si>
  <si>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</si>
  <si>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</si>
  <si>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</si>
  <si>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</si>
  <si>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</si>
  <si>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</si>
  <si>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</si>
  <si>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</si>
  <si>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</si>
  <si>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</si>
  <si>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</si>
  <si>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</si>
  <si>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</si>
  <si>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</si>
  <si>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</si>
  <si>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</si>
  <si>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</si>
  <si>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</si>
  <si>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</si>
  <si>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</si>
  <si>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</si>
  <si>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</si>
  <si>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</si>
  <si>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</si>
  <si>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</si>
  <si>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</si>
  <si>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</si>
  <si>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</si>
  <si>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</si>
  <si>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</si>
  <si>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</si>
  <si>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</si>
  <si>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</si>
  <si>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</si>
  <si>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</si>
  <si>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</si>
  <si>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</si>
  <si>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</si>
  <si>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</si>
  <si>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</si>
  <si>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</si>
  <si>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</si>
  <si>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</si>
  <si>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</si>
  <si>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</si>
  <si>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</si>
  <si>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</si>
  <si>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</si>
  <si>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</si>
  <si>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</si>
  <si>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</si>
  <si>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</si>
  <si>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</si>
  <si>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</si>
  <si>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</si>
  <si>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</si>
  <si>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</si>
  <si>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</si>
  <si>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</si>
  <si>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</si>
  <si>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</si>
  <si>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</si>
  <si>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</si>
  <si>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</si>
  <si>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</si>
  <si>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</si>
  <si>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</si>
  <si>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</si>
  <si>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</si>
  <si>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</si>
  <si>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</si>
  <si>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</si>
  <si>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</si>
  <si>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</si>
  <si>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</si>
  <si>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</si>
  <si>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</si>
  <si>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</si>
  <si>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</si>
  <si>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</si>
  <si>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</si>
  <si>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</si>
  <si>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</si>
  <si>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</si>
  <si>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</si>
  <si>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</si>
  <si>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</si>
  <si>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</si>
  <si>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</si>
  <si>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</si>
  <si>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</si>
  <si>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</si>
  <si>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</si>
  <si>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</si>
  <si>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</si>
  <si>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</si>
  <si>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</si>
  <si>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</si>
  <si>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</si>
  <si>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</si>
  <si>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</si>
  <si>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</si>
  <si>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</si>
  <si>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</si>
  <si>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</si>
  <si>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</si>
  <si>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</si>
  <si>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</si>
  <si>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</si>
  <si>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</si>
  <si>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</si>
  <si>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</si>
  <si>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</si>
  <si>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</si>
  <si>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</si>
  <si>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</si>
  <si>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</si>
  <si>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</si>
  <si>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</si>
  <si>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</si>
  <si>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</si>
  <si>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</si>
  <si>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</si>
  <si>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</si>
  <si>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</si>
  <si>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</si>
  <si>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</si>
  <si>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</si>
  <si>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</si>
  <si>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</si>
  <si>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</si>
  <si>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</si>
  <si>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</si>
  <si>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</si>
  <si>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</si>
  <si>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</si>
  <si>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</si>
  <si>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</si>
  <si>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</si>
  <si>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</si>
  <si>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</si>
  <si>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</si>
  <si>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</si>
  <si>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</si>
  <si>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</si>
  <si>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</si>
  <si>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</si>
  <si>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</si>
  <si>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</si>
  <si>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</si>
  <si>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</si>
  <si>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</si>
  <si>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</si>
  <si>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</si>
  <si>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</si>
  <si>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</si>
  <si>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</si>
  <si>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</si>
  <si>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</si>
  <si>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</si>
  <si>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</si>
  <si>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</si>
  <si>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</si>
  <si>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</si>
  <si>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</si>
  <si>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</si>
  <si>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</si>
  <si>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</si>
  <si>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</si>
  <si>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</si>
  <si>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</si>
  <si>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</si>
  <si>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</si>
  <si>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</si>
  <si>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</si>
  <si>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</si>
  <si>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</si>
  <si>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</si>
  <si>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</si>
  <si>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</si>
  <si>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</si>
  <si>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</si>
  <si>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</si>
  <si>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</si>
  <si>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</si>
  <si>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</si>
  <si>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</si>
  <si>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</si>
  <si>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</si>
  <si>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</si>
  <si>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</si>
  <si>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</si>
  <si>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</si>
  <si>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</si>
  <si>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</si>
  <si>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</si>
  <si>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</si>
  <si>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</si>
  <si>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</si>
  <si>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</si>
  <si>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</si>
  <si>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</si>
  <si>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</si>
  <si>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</si>
  <si>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</si>
  <si>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</si>
  <si>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</si>
  <si>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</si>
  <si>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</si>
  <si>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</si>
  <si>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</si>
  <si>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</si>
  <si>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</si>
  <si>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</si>
  <si>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</si>
  <si>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</si>
  <si>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</si>
  <si>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</si>
  <si>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</si>
  <si>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</si>
  <si>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</si>
  <si>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</si>
  <si>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</si>
  <si>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</si>
  <si>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</si>
  <si>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</si>
  <si>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</si>
  <si>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</si>
  <si>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</si>
  <si>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</si>
  <si>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</si>
  <si>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</si>
  <si>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</si>
  <si>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</si>
  <si>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</si>
  <si>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</si>
  <si>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</si>
  <si>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</si>
  <si>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</si>
  <si>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</si>
  <si>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</si>
  <si>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</si>
  <si>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</si>
  <si>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</si>
  <si>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</si>
  <si>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</si>
  <si>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</si>
  <si>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</si>
  <si>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</si>
  <si>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</si>
  <si>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</si>
  <si>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</si>
  <si>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</si>
  <si>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</si>
  <si>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</si>
  <si>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</si>
  <si>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</si>
  <si>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</si>
  <si>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</si>
  <si>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</si>
  <si>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</si>
  <si>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</si>
  <si>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</si>
  <si>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</si>
  <si>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</si>
  <si>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</si>
  <si>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</si>
  <si>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</si>
  <si>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</si>
  <si>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</si>
  <si>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</si>
  <si>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</si>
  <si>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</si>
  <si>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</si>
  <si>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</si>
  <si>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</si>
  <si>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</si>
  <si>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</si>
  <si>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</si>
  <si>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</si>
  <si>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</si>
  <si>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</si>
  <si>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</si>
  <si>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</si>
  <si>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</si>
  <si>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</si>
  <si>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</si>
  <si>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</si>
  <si>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</si>
  <si>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</si>
  <si>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</si>
  <si>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</si>
  <si>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</si>
  <si>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</si>
  <si>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</si>
  <si>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</si>
  <si>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</si>
  <si>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</si>
  <si>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</si>
  <si>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</si>
  <si>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</si>
  <si>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</si>
  <si>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</si>
  <si>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</si>
  <si>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</si>
  <si>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</si>
  <si>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</si>
  <si>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</si>
  <si>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</si>
  <si>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</si>
  <si>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</si>
  <si>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</si>
  <si>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</si>
  <si>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</si>
  <si>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</si>
  <si>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</si>
  <si>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</si>
  <si>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</si>
  <si>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</si>
  <si>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</si>
  <si>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</si>
  <si>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</si>
  <si>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</si>
  <si>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</si>
  <si>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</si>
  <si>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</si>
  <si>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</si>
  <si>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</si>
  <si>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</si>
  <si>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</si>
  <si>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</si>
  <si>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</si>
  <si>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</si>
  <si>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</si>
  <si>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</si>
  <si>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</si>
  <si>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</si>
  <si>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</si>
  <si>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</si>
  <si>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</si>
  <si>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</si>
  <si>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</si>
  <si>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</si>
  <si>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</si>
  <si>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</si>
  <si>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</si>
  <si>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</si>
  <si>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</si>
  <si>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</si>
  <si>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</si>
  <si>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</si>
  <si>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</si>
  <si>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</si>
  <si>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</si>
  <si>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</si>
  <si>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</si>
  <si>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</si>
  <si>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</si>
  <si>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</si>
  <si>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</si>
  <si>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</si>
  <si>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</si>
  <si>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</si>
  <si>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</si>
  <si>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</si>
  <si>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</si>
  <si>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</si>
  <si>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</si>
  <si>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</si>
  <si>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</si>
  <si>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</si>
  <si>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</si>
  <si>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</si>
  <si>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</si>
  <si>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</si>
  <si>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</si>
  <si>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</si>
  <si>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</si>
  <si>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</si>
  <si>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</si>
  <si>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</si>
  <si>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</si>
  <si>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</si>
  <si>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</si>
  <si>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</si>
  <si>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</si>
  <si>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</si>
  <si>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</si>
  <si>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</si>
  <si>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</si>
  <si>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</si>
  <si>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</si>
  <si>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</si>
  <si>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</si>
  <si>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</si>
  <si>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</si>
  <si>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</si>
  <si>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</si>
  <si>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</si>
  <si>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</si>
  <si>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</si>
  <si>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</si>
  <si>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</si>
  <si>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</si>
  <si>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</si>
  <si>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</si>
  <si>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</si>
  <si>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</si>
  <si>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</si>
  <si>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</si>
  <si>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</si>
  <si>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</si>
  <si>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</si>
  <si>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</si>
  <si>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</si>
  <si>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</si>
  <si>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</si>
  <si>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</si>
  <si>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</si>
  <si>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</si>
  <si>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</si>
  <si>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</si>
  <si>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</si>
  <si>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</si>
  <si>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</si>
  <si>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</si>
  <si>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</si>
  <si>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</si>
  <si>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</si>
  <si>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</si>
  <si>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</si>
  <si>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</si>
  <si>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</si>
  <si>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</si>
  <si>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</si>
  <si>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</si>
  <si>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</si>
  <si>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</si>
  <si>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</si>
  <si>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</si>
  <si>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</si>
  <si>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</si>
  <si>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</si>
  <si>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</si>
  <si>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</si>
  <si>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</si>
  <si>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</si>
  <si>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</si>
  <si>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</si>
  <si>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</si>
  <si>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</si>
  <si>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</si>
  <si>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</si>
  <si>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</si>
  <si>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</si>
  <si>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</si>
  <si>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</si>
  <si>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</si>
  <si>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</si>
  <si>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</si>
  <si>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</si>
  <si>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</si>
  <si>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</si>
  <si>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</si>
  <si>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</si>
  <si>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</si>
  <si>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</si>
  <si>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</si>
  <si>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</si>
  <si>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</si>
  <si>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</si>
  <si>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</si>
  <si>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</si>
  <si>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</si>
  <si>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</si>
  <si>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</si>
  <si>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</si>
  <si>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</si>
  <si>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</si>
  <si>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</si>
  <si>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</si>
  <si>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</si>
  <si>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</si>
  <si>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</si>
  <si>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</si>
  <si>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</si>
  <si>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</si>
  <si>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</si>
  <si>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</si>
  <si>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</si>
  <si>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</si>
  <si>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</si>
  <si>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</si>
  <si>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</si>
  <si>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</si>
  <si>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</si>
  <si>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</si>
  <si>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</si>
  <si>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</si>
  <si>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</si>
  <si>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</si>
  <si>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</si>
  <si>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</si>
  <si>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</si>
  <si>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</si>
  <si>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</si>
  <si>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</si>
  <si>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</si>
  <si>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</si>
  <si>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</si>
  <si>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</si>
  <si>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</si>
  <si>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</si>
  <si>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</si>
  <si>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</si>
  <si>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</si>
  <si>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</si>
  <si>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</si>
  <si>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</si>
  <si>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</si>
  <si>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</si>
  <si>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</si>
  <si>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</si>
  <si>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</si>
  <si>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</si>
  <si>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</si>
  <si>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</si>
  <si>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</si>
  <si>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</si>
  <si>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</si>
  <si>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</si>
  <si>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</si>
  <si>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</si>
  <si>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</si>
  <si>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</si>
  <si>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</si>
  <si>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</si>
  <si>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</si>
  <si>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</si>
  <si>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</si>
  <si>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</si>
  <si>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</si>
  <si>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</si>
  <si>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</si>
  <si>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</si>
  <si>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</si>
  <si>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</si>
  <si>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</si>
  <si>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</si>
  <si>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</si>
  <si>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</si>
  <si>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</si>
  <si>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</si>
  <si>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</si>
  <si>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</si>
  <si>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</si>
  <si>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</si>
  <si>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</si>
  <si>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</si>
  <si>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</si>
  <si>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</si>
  <si>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</si>
  <si>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</si>
  <si>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</si>
  <si>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</si>
  <si>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</si>
  <si>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</si>
  <si>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</si>
  <si>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</si>
  <si>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</si>
  <si>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</si>
  <si>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</si>
  <si>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</si>
  <si>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</si>
  <si>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</si>
  <si>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</si>
  <si>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</si>
  <si>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</si>
  <si>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</si>
  <si>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</si>
  <si>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</si>
  <si>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</si>
  <si>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</si>
  <si>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</si>
  <si>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</si>
  <si>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</si>
  <si>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</si>
  <si>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</si>
  <si>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</si>
  <si>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</si>
  <si>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</si>
  <si>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</si>
  <si>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</si>
  <si>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</si>
  <si>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</si>
  <si>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</si>
  <si>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</si>
  <si>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</si>
  <si>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</si>
  <si>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</si>
  <si>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</si>
  <si>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</si>
  <si>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</si>
  <si>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</si>
  <si>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</si>
  <si>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</si>
  <si>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</si>
  <si>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</si>
  <si>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</si>
  <si>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</si>
  <si>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</si>
  <si>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</si>
  <si>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</si>
  <si>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</si>
  <si>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</si>
  <si>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</si>
  <si>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</si>
  <si>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</si>
  <si>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</si>
  <si>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</si>
  <si>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</si>
  <si>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</si>
  <si>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</si>
  <si>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</si>
  <si>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</si>
  <si>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</si>
  <si>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</si>
  <si>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</si>
  <si>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</si>
  <si>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</si>
  <si>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</si>
  <si>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</si>
  <si>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</si>
  <si>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</si>
  <si>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</si>
  <si>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</si>
  <si>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</si>
  <si>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</si>
  <si>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</si>
  <si>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</si>
  <si>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</si>
  <si>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</si>
  <si>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</si>
  <si>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</si>
  <si>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</si>
  <si>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</si>
  <si>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</si>
  <si>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</si>
  <si>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</si>
  <si>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</si>
  <si>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</si>
  <si>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</si>
  <si>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</si>
  <si>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</si>
  <si>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</si>
  <si>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</si>
  <si>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</si>
  <si>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</si>
  <si>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</si>
  <si>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</si>
  <si>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</si>
  <si>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</si>
  <si>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</si>
  <si>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</si>
  <si>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</si>
  <si>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</si>
  <si>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</si>
  <si>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</si>
  <si>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</si>
  <si>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</si>
  <si>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</si>
  <si>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</si>
  <si>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</si>
  <si>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</si>
  <si>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</si>
  <si>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</si>
  <si>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</si>
  <si>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</si>
  <si>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</si>
  <si>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</si>
  <si>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</si>
  <si>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</si>
  <si>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</si>
  <si>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</si>
  <si>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</si>
  <si>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</si>
  <si>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</si>
  <si>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</si>
  <si>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</si>
  <si>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</si>
  <si>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</si>
  <si>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</si>
  <si>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</si>
  <si>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</si>
  <si>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</si>
  <si>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</si>
  <si>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</si>
  <si>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</si>
  <si>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</si>
  <si>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</si>
  <si>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</si>
  <si>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</si>
  <si>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</si>
  <si>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</si>
  <si>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</si>
  <si>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</si>
  <si>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</si>
  <si>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</si>
  <si>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</si>
  <si>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</si>
  <si>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</si>
  <si>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</si>
  <si>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</si>
  <si>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</si>
  <si>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</si>
  <si>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</si>
  <si>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</si>
  <si>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</si>
  <si>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</si>
  <si>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</si>
  <si>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</si>
  <si>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</si>
  <si>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</si>
  <si>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</si>
  <si>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</si>
  <si>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</si>
  <si>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</si>
  <si>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</si>
  <si>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</si>
  <si>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</si>
  <si>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</si>
  <si>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</si>
  <si>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</si>
  <si>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</si>
  <si>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</si>
  <si>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</si>
  <si>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</si>
  <si>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</si>
  <si>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</si>
  <si>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</si>
  <si>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</si>
  <si>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</si>
  <si>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</si>
  <si>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</si>
  <si>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</si>
  <si>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</si>
  <si>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</si>
  <si>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</si>
  <si>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</si>
  <si>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</si>
  <si>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</si>
  <si>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</si>
  <si>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</si>
  <si>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</si>
  <si>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</si>
  <si>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</si>
  <si>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</si>
  <si>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</si>
  <si>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</si>
  <si>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</si>
  <si>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</si>
  <si>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</si>
  <si>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</si>
  <si>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</si>
  <si>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</si>
  <si>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</si>
  <si>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</si>
  <si>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</si>
  <si>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</si>
  <si>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</si>
  <si>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</si>
  <si>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</si>
  <si>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</si>
  <si>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</si>
  <si>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</si>
  <si>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</si>
  <si>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</si>
  <si>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</si>
  <si>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</si>
  <si>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</si>
  <si>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</si>
  <si>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</si>
  <si>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</si>
  <si>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</si>
  <si>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</si>
  <si>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</si>
  <si>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</si>
  <si>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</si>
  <si>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</si>
  <si>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</si>
  <si>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</si>
  <si>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</si>
  <si>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</si>
  <si>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</si>
  <si>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</si>
  <si>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</si>
  <si>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</si>
  <si>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</si>
  <si>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</si>
  <si>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</si>
  <si>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</si>
  <si>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</si>
  <si>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</si>
  <si>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</si>
  <si>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</si>
  <si>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</si>
  <si>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</si>
  <si>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</si>
  <si>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</si>
  <si>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</si>
  <si>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</si>
  <si>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</si>
  <si>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</si>
  <si>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</si>
  <si>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</si>
  <si>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</si>
  <si>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</si>
  <si>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</si>
  <si>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</si>
  <si>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</si>
  <si>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</si>
  <si>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</si>
  <si>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</si>
  <si>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</si>
  <si>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</si>
  <si>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</si>
  <si>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</si>
  <si>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</si>
  <si>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</si>
  <si>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</si>
  <si>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</si>
  <si>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</si>
  <si>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</si>
  <si>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</si>
  <si>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</si>
  <si>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</si>
  <si>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</si>
  <si>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</si>
  <si>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</si>
  <si>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</si>
  <si>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</si>
  <si>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</si>
  <si>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</si>
  <si>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</si>
  <si>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</si>
  <si>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</si>
  <si>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</si>
  <si>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</si>
  <si>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</si>
  <si>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</si>
  <si>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</si>
  <si>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</si>
  <si>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</si>
  <si>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</si>
  <si>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</si>
  <si>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</si>
  <si>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</si>
  <si>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</si>
  <si>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</si>
  <si>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</si>
  <si>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</si>
  <si>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</si>
  <si>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</si>
  <si>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</si>
  <si>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</si>
  <si>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</si>
  <si>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</si>
  <si>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</si>
  <si>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</si>
  <si>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</si>
  <si>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</si>
  <si>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</si>
  <si>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</si>
  <si>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</si>
  <si>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</si>
  <si>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</si>
  <si>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</si>
  <si>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</si>
  <si>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</si>
  <si>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</si>
  <si>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</si>
  <si>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</si>
  <si>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</si>
  <si>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</si>
  <si>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</si>
  <si>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</si>
  <si>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</si>
  <si>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</si>
  <si>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</si>
  <si>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</si>
  <si>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</si>
  <si>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</si>
  <si>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</si>
  <si>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</si>
  <si>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</si>
  <si>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</si>
  <si>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</si>
  <si>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</si>
  <si>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</si>
  <si>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</si>
  <si>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</si>
  <si>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</si>
  <si>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</si>
  <si>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</si>
  <si>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</si>
  <si>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</si>
  <si>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</si>
  <si>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</si>
  <si>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</si>
  <si>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</si>
  <si>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</si>
  <si>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</si>
  <si>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</si>
  <si>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</si>
  <si>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</si>
  <si>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</si>
  <si>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</si>
  <si>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</si>
  <si>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</si>
  <si>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</si>
  <si>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</si>
  <si>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</si>
  <si>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</si>
  <si>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</si>
  <si>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</si>
  <si>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</si>
  <si>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</si>
  <si>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</si>
  <si>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</si>
  <si>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</si>
  <si>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</si>
  <si>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</si>
  <si>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</si>
  <si>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</si>
  <si>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</si>
  <si>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</si>
  <si>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</si>
  <si>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</si>
  <si>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</si>
  <si>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</si>
  <si>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</si>
  <si>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</si>
  <si>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</si>
  <si>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</si>
  <si>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</si>
  <si>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</si>
  <si>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</si>
  <si>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</si>
  <si>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</si>
  <si>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</si>
  <si>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</si>
  <si>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</si>
  <si>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</si>
  <si>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</si>
  <si>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</si>
  <si>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</si>
  <si>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</si>
  <si>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</si>
  <si>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</si>
  <si>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</si>
  <si>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</si>
  <si>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</si>
  <si>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</si>
  <si>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</si>
  <si>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</si>
  <si>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</si>
  <si>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</si>
  <si>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</si>
  <si>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</si>
  <si>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</si>
  <si>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</si>
  <si>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</si>
  <si>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</si>
  <si>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</si>
  <si>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</si>
  <si>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</si>
  <si>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</si>
  <si>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</si>
  <si>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</si>
  <si>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</si>
  <si>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</si>
  <si>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</si>
  <si>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</si>
  <si>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</si>
  <si>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</si>
  <si>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</si>
  <si>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</si>
  <si>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</si>
  <si>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</si>
  <si>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</si>
  <si>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</si>
  <si>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</si>
  <si>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</si>
  <si>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</si>
  <si>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</si>
  <si>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</si>
  <si>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</si>
  <si>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</si>
  <si>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</si>
  <si>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</si>
  <si>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</si>
  <si>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</si>
  <si>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</si>
  <si>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</si>
  <si>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</si>
  <si>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</si>
  <si>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</si>
  <si>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</si>
  <si>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</si>
  <si>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</si>
  <si>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</si>
  <si>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</si>
  <si>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</si>
  <si>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</si>
  <si>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</si>
  <si>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</si>
  <si>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</si>
  <si>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</si>
  <si>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</si>
  <si>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</si>
  <si>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</si>
  <si>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</si>
  <si>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</si>
  <si>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</si>
  <si>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</si>
  <si>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</si>
  <si>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</si>
  <si>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</si>
  <si>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</si>
  <si>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</si>
  <si>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</si>
  <si>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</si>
  <si>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</si>
  <si>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</si>
  <si>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</si>
  <si>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</si>
  <si>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</si>
  <si>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</si>
  <si>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</si>
  <si>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</si>
  <si>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</si>
  <si>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</si>
  <si>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</si>
  <si>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</si>
  <si>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</si>
  <si>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</si>
  <si>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</si>
  <si>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</si>
  <si>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</si>
  <si>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</si>
  <si>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</si>
  <si>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</si>
  <si>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</si>
  <si>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</si>
  <si>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</si>
  <si>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</si>
  <si>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</si>
  <si>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</si>
  <si>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</si>
  <si>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</si>
  <si>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</si>
  <si>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</si>
  <si>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</si>
  <si>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</si>
  <si>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</si>
  <si>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</si>
  <si>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</si>
  <si>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</si>
  <si>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</si>
  <si>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</si>
  <si>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</si>
  <si>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</si>
  <si>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</si>
  <si>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</si>
  <si>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</si>
  <si>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</si>
  <si>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</si>
  <si>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</si>
  <si>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</si>
  <si>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</si>
  <si>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</si>
  <si>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</si>
  <si>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</si>
  <si>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</si>
  <si>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</si>
  <si>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</si>
  <si>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</si>
  <si>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</si>
  <si>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</si>
  <si>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</si>
  <si>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</si>
  <si>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</si>
  <si>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</si>
  <si>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</si>
  <si>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</si>
  <si>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</si>
  <si>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</si>
  <si>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</si>
  <si>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</si>
  <si>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</si>
  <si>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</si>
  <si>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</si>
  <si>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</si>
  <si>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</si>
  <si>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</si>
  <si>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</si>
  <si>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</si>
  <si>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</si>
  <si>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</si>
  <si>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</si>
  <si>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</si>
  <si>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</si>
  <si>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</si>
  <si>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</si>
  <si>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</si>
  <si>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</si>
  <si>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</si>
  <si>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</si>
  <si>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</si>
  <si>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</si>
  <si>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</si>
  <si>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</si>
  <si>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</si>
  <si>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</si>
  <si>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</si>
  <si>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</si>
  <si>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</si>
  <si>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</si>
  <si>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</si>
  <si>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</si>
  <si>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</si>
  <si>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</si>
  <si>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</si>
  <si>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</si>
  <si>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</si>
  <si>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</si>
  <si>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</si>
  <si>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</si>
  <si>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</si>
  <si>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</si>
  <si>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</si>
  <si>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</si>
  <si>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</si>
  <si>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</si>
  <si>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</si>
  <si>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</si>
  <si>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</si>
  <si>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</si>
  <si>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</si>
  <si>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</si>
  <si>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</si>
  <si>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</si>
  <si>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</si>
  <si>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</si>
  <si>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</si>
  <si>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</si>
  <si>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</si>
  <si>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</si>
  <si>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</si>
  <si>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</si>
  <si>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</si>
  <si>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</si>
  <si>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</si>
  <si>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</si>
  <si>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</si>
  <si>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</si>
  <si>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</si>
  <si>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</si>
  <si>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</si>
  <si>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</si>
  <si>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</si>
  <si>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</si>
  <si>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</si>
  <si>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</si>
  <si>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</si>
  <si>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</si>
  <si>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</si>
  <si>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</si>
  <si>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</si>
  <si>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</si>
  <si>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</si>
  <si>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</si>
  <si>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</si>
  <si>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</si>
  <si>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</si>
  <si>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</si>
  <si>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</si>
  <si>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</si>
  <si>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</si>
  <si>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</si>
  <si>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</si>
  <si>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</si>
  <si>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</si>
  <si>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</si>
  <si>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</si>
  <si>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</si>
  <si>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</si>
  <si>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</si>
  <si>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</si>
  <si>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</si>
  <si>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</si>
  <si>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</si>
  <si>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</si>
  <si>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</si>
  <si>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</si>
  <si>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</si>
  <si>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</si>
  <si>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</si>
  <si>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</si>
  <si>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</si>
  <si>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</si>
  <si>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</si>
  <si>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</si>
  <si>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</si>
  <si>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</si>
  <si>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</si>
  <si>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</si>
  <si>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</si>
  <si>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</si>
  <si>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</si>
  <si>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</si>
  <si>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</si>
  <si>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</si>
  <si>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</si>
  <si>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</si>
  <si>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</si>
  <si>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</si>
  <si>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</si>
  <si>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</si>
  <si>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</si>
  <si>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</si>
  <si>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</si>
  <si>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</si>
  <si>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</si>
  <si>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</si>
  <si>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</si>
  <si>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</si>
  <si>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</si>
  <si>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</si>
  <si>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</si>
  <si>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</si>
  <si>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</si>
  <si>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</si>
  <si>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</si>
  <si>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</si>
  <si>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</si>
  <si>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</si>
  <si>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</si>
  <si>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</si>
  <si>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</si>
  <si>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</si>
  <si>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</si>
  <si>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</si>
  <si>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</si>
  <si>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</si>
  <si>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</si>
  <si>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</si>
  <si>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</si>
  <si>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</si>
  <si>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</si>
  <si>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</si>
  <si>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</si>
  <si>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</si>
  <si>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</si>
  <si>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</si>
  <si>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</si>
  <si>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</si>
  <si>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</si>
  <si>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</si>
  <si>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</si>
  <si>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</si>
  <si>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</si>
  <si>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</si>
  <si>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</si>
  <si>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</si>
  <si>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</si>
  <si>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</si>
  <si>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</si>
  <si>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</si>
  <si>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</si>
  <si>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</si>
  <si>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</si>
  <si>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</si>
  <si>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</si>
  <si>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</si>
  <si>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</si>
  <si>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</si>
  <si>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</si>
  <si>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</si>
  <si>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</si>
  <si>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</si>
  <si>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</si>
  <si>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</si>
  <si>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</si>
  <si>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</si>
  <si>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</si>
  <si>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</si>
  <si>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</si>
  <si>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</si>
  <si>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</si>
  <si>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</si>
  <si>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</si>
  <si>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</si>
  <si>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</si>
  <si>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</si>
  <si>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</si>
  <si>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</si>
  <si>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</si>
  <si>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</si>
  <si>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</si>
  <si>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</si>
  <si>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</si>
  <si>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</si>
  <si>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</si>
  <si>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</si>
  <si>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</si>
  <si>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</si>
  <si>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</si>
  <si>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</si>
  <si>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</si>
  <si>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</si>
  <si>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</si>
  <si>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</si>
  <si>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</si>
  <si>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</si>
  <si>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</si>
  <si>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</si>
  <si>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</si>
  <si>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</si>
  <si>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</si>
  <si>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</si>
  <si>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</si>
  <si>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</si>
  <si>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</si>
  <si>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</si>
  <si>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</si>
  <si>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</si>
  <si>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</si>
  <si>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</si>
  <si>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</si>
  <si>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</si>
  <si>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</si>
  <si>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</si>
  <si>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</si>
  <si>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</si>
  <si>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</si>
  <si>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</si>
  <si>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</si>
  <si>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</si>
  <si>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</si>
  <si>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</si>
  <si>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</si>
  <si>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</si>
  <si>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</si>
  <si>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</si>
  <si>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</si>
  <si>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</si>
  <si>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</si>
  <si>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</si>
  <si>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</si>
  <si>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</si>
  <si>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</si>
  <si>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</si>
  <si>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</si>
  <si>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</si>
  <si>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</si>
  <si>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</si>
  <si>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</si>
  <si>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</si>
  <si>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</si>
  <si>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</si>
  <si>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</si>
  <si>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</si>
  <si>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</si>
  <si>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</si>
  <si>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</si>
  <si>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</si>
  <si>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</si>
  <si>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</si>
  <si>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</si>
  <si>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</si>
  <si>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</si>
  <si>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</si>
  <si>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</si>
  <si>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</si>
  <si>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</si>
  <si>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</si>
  <si>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</si>
  <si>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</si>
  <si>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</si>
  <si>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</si>
  <si>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</si>
  <si>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</si>
  <si>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</si>
  <si>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</si>
  <si>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</si>
  <si>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</si>
  <si>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</si>
  <si>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</si>
  <si>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</si>
  <si>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</si>
  <si>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</si>
  <si>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</si>
  <si>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</si>
  <si>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</si>
  <si>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</si>
  <si>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</si>
  <si>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</si>
  <si>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</si>
  <si>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</si>
  <si>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</si>
  <si>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</si>
  <si>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</si>
  <si>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</si>
  <si>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</si>
  <si>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</si>
  <si>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</si>
  <si>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</si>
  <si>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</si>
  <si>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</si>
  <si>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</si>
  <si>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</si>
  <si>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</si>
  <si>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</si>
  <si>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</si>
  <si>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</si>
  <si>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</si>
  <si>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</si>
  <si>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</si>
  <si>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</si>
  <si>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</si>
  <si>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</si>
  <si>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</si>
  <si>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</si>
  <si>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</si>
  <si>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</si>
  <si>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</si>
  <si>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</si>
  <si>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</si>
  <si>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</si>
  <si>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</si>
  <si>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</si>
  <si>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</si>
  <si>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</si>
  <si>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</si>
  <si>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</si>
  <si>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</si>
  <si>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</si>
  <si>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</si>
  <si>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</si>
  <si>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</si>
  <si>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</si>
  <si>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</si>
  <si>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</si>
  <si>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</si>
  <si>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</si>
  <si>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</si>
  <si>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</si>
  <si>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</si>
  <si>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</si>
  <si>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</si>
  <si>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</si>
  <si>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</si>
  <si>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</si>
  <si>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</si>
  <si>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</si>
  <si>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</si>
  <si>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</si>
  <si>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</si>
  <si>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</si>
  <si>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</si>
  <si>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</si>
  <si>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</si>
  <si>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</si>
  <si>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</si>
  <si>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</si>
  <si>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</si>
  <si>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</si>
  <si>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</si>
  <si>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</si>
  <si>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</si>
  <si>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</si>
  <si>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</si>
  <si>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</si>
  <si>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</si>
  <si>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</si>
  <si>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</si>
  <si>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</si>
  <si>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</si>
  <si>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</si>
  <si>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</si>
  <si>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</si>
  <si>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</si>
  <si>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</si>
  <si>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</si>
  <si>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</si>
  <si>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</si>
  <si>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</si>
  <si>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</si>
  <si>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</si>
  <si>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</si>
  <si>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</si>
  <si>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</si>
  <si>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</si>
  <si>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</si>
  <si>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</si>
  <si>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</si>
  <si>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</si>
  <si>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</si>
  <si>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</si>
  <si>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</si>
  <si>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</si>
  <si>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</si>
  <si>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</si>
  <si>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</si>
  <si>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</si>
  <si>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</si>
  <si>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</si>
  <si>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</si>
  <si>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</si>
  <si>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</si>
  <si>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</si>
  <si>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</si>
  <si>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</si>
  <si>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</si>
  <si>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</si>
  <si>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</si>
  <si>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</si>
  <si>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</si>
  <si>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</si>
  <si>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</si>
  <si>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</si>
  <si>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</si>
  <si>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</si>
  <si>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</si>
  <si>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</si>
  <si>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</si>
  <si>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</si>
  <si>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</si>
  <si>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</si>
  <si>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</si>
  <si>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</si>
  <si>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</si>
  <si>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</si>
  <si>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</si>
  <si>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</si>
  <si>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</si>
  <si>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</si>
  <si>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</si>
  <si>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</si>
  <si>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</si>
  <si>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</si>
  <si>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</si>
  <si>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</si>
  <si>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</si>
  <si>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</si>
  <si>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</si>
  <si>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</si>
  <si>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</si>
  <si>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</si>
  <si>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</si>
  <si>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</si>
  <si>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</si>
  <si>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</si>
  <si>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</si>
  <si>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</si>
  <si>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</si>
  <si>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</si>
  <si>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</si>
  <si>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</si>
  <si>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</si>
  <si>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</si>
  <si>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</si>
  <si>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</si>
  <si>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</si>
  <si>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</si>
  <si>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</si>
  <si>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</si>
  <si>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</si>
  <si>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</si>
  <si>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</si>
  <si>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</si>
  <si>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</si>
  <si>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</si>
  <si>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</si>
  <si>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</si>
  <si>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</si>
  <si>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</si>
  <si>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</si>
  <si>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</si>
  <si>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</si>
  <si>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</si>
  <si>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</si>
  <si>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</si>
  <si>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</si>
  <si>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</si>
  <si>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</si>
  <si>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</si>
  <si>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</si>
  <si>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</si>
  <si>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</si>
  <si>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</si>
  <si>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</si>
  <si>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</si>
  <si>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</si>
  <si>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</si>
  <si>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</si>
  <si>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</si>
  <si>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</si>
  <si>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</si>
  <si>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</si>
  <si>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</si>
  <si>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</si>
  <si>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</si>
  <si>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</si>
  <si>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</si>
  <si>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</si>
  <si>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</si>
  <si>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</si>
  <si>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</si>
  <si>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</si>
  <si>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</si>
  <si>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</si>
  <si>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</si>
  <si>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</si>
  <si>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</si>
  <si>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</si>
  <si>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</si>
  <si>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</si>
  <si>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</si>
  <si>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</si>
  <si>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</si>
  <si>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</si>
  <si>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</si>
  <si>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</si>
  <si>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</si>
  <si>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</si>
  <si>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</si>
  <si>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</si>
  <si>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</si>
  <si>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</si>
  <si>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</si>
  <si>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</si>
  <si>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</si>
  <si>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</si>
  <si>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</si>
  <si>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</si>
  <si>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</si>
  <si>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</si>
  <si>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</si>
  <si>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</si>
  <si>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</si>
  <si>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</si>
  <si>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</si>
  <si>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</si>
  <si>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</si>
  <si>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</si>
  <si>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</si>
  <si>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</si>
  <si>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</si>
  <si>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</si>
  <si>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</si>
  <si>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</si>
  <si>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</si>
  <si>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</si>
  <si>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</si>
  <si>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</si>
  <si>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</si>
  <si>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</si>
  <si>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</si>
  <si>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</si>
  <si>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</si>
  <si>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</si>
  <si>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</si>
  <si>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</si>
  <si>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</si>
  <si>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</si>
  <si>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</si>
  <si>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</si>
  <si>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</si>
  <si>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</si>
  <si>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</si>
  <si>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</si>
  <si>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</si>
  <si>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</si>
  <si>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</si>
  <si>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</si>
  <si>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</si>
  <si>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</si>
  <si>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</si>
  <si>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</si>
  <si>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</si>
  <si>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</si>
  <si>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</si>
  <si>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</si>
  <si>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</si>
  <si>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</si>
  <si>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</si>
  <si>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</si>
  <si>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</si>
  <si>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</si>
  <si>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</si>
  <si>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</si>
  <si>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</si>
  <si>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</si>
  <si>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</si>
  <si>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</si>
  <si>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</si>
  <si>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</si>
  <si>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</si>
  <si>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</si>
  <si>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</si>
  <si>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</si>
  <si>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</si>
  <si>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</si>
  <si>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</si>
  <si>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</si>
  <si>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</si>
  <si>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</si>
  <si>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</si>
  <si>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</si>
  <si>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</si>
  <si>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</si>
  <si>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</si>
  <si>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</si>
  <si>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</si>
  <si>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</si>
  <si>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</si>
  <si>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</si>
  <si>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</si>
  <si>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</si>
  <si>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</si>
  <si>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</si>
  <si>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</si>
  <si>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</si>
  <si>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</si>
  <si>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</si>
  <si>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</si>
  <si>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</si>
  <si>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</si>
  <si>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</si>
  <si>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</si>
  <si>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</si>
  <si>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</si>
  <si>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</si>
  <si>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</si>
  <si>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</si>
  <si>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</si>
  <si>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</si>
  <si>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</si>
  <si>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</si>
  <si>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</si>
  <si>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</si>
  <si>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</si>
  <si>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</si>
  <si>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</si>
  <si>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</si>
  <si>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</si>
  <si>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</si>
  <si>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</si>
  <si>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</si>
  <si>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</si>
  <si>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</si>
  <si>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</si>
  <si>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</si>
  <si>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</si>
  <si>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</si>
  <si>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</si>
  <si>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</si>
  <si>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</si>
  <si>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</si>
  <si>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</si>
  <si>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</si>
  <si>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</si>
  <si>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</si>
  <si>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</si>
  <si>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</si>
  <si>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</si>
  <si>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</si>
  <si>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</si>
  <si>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</si>
  <si>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</si>
  <si>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</si>
  <si>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</si>
  <si>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</si>
  <si>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</si>
  <si>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</si>
  <si>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</si>
  <si>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</si>
  <si>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</si>
  <si>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</si>
  <si>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</si>
  <si>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</si>
  <si>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</si>
  <si>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</si>
  <si>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</si>
  <si>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</si>
  <si>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</si>
  <si>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</si>
  <si>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</si>
  <si>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</si>
  <si>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</si>
  <si>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</si>
  <si>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</si>
  <si>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</si>
  <si>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</si>
  <si>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</si>
  <si>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</si>
  <si>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</si>
  <si>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</si>
  <si>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</si>
  <si>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</si>
  <si>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</si>
  <si>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</si>
  <si>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</si>
  <si>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</si>
  <si>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</si>
  <si>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</si>
  <si>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</si>
  <si>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</si>
  <si>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</si>
  <si>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</si>
  <si>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</si>
  <si>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</si>
  <si>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</si>
  <si>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</si>
  <si>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</si>
  <si>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</si>
  <si>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</si>
  <si>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</si>
  <si>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</si>
  <si>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</si>
  <si>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</si>
  <si>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</si>
  <si>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</si>
  <si>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</si>
  <si>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</si>
  <si>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</si>
  <si>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</si>
  <si>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</si>
  <si>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</si>
  <si>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</si>
  <si>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</si>
  <si>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</si>
  <si>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</si>
  <si>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</si>
  <si>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</si>
  <si>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</si>
  <si>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</si>
  <si>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</si>
  <si>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</si>
  <si>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</si>
  <si>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</si>
  <si>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</si>
  <si>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</si>
  <si>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</si>
  <si>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</si>
  <si>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</si>
  <si>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</si>
  <si>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</si>
  <si>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</si>
  <si>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</si>
  <si>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</si>
  <si>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</si>
  <si>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</si>
  <si>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</si>
  <si>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</si>
  <si>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</si>
  <si>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</si>
  <si>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</si>
  <si>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</si>
  <si>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</si>
  <si>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</si>
  <si>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</si>
  <si>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</si>
  <si>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</si>
  <si>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</si>
  <si>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</si>
  <si>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</si>
  <si>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</si>
  <si>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</si>
  <si>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</si>
  <si>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</si>
  <si>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</si>
  <si>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</si>
  <si>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</si>
  <si>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</si>
  <si>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</si>
  <si>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</si>
  <si>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</si>
  <si>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</si>
  <si>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</si>
  <si>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</si>
  <si>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</si>
  <si>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</si>
  <si>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</si>
  <si>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</si>
  <si>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</si>
  <si>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</si>
  <si>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</si>
  <si>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</si>
  <si>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</si>
  <si>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</si>
  <si>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</si>
  <si>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</si>
  <si>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</si>
  <si>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</si>
  <si>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</si>
  <si>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</si>
  <si>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</si>
  <si>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</si>
  <si>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</si>
  <si>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</si>
  <si>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</si>
  <si>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</si>
  <si>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</si>
  <si>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</si>
  <si>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</si>
  <si>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</si>
  <si>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</si>
  <si>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</si>
  <si>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</si>
  <si>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</si>
  <si>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</si>
  <si>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</si>
  <si>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</si>
  <si>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</si>
  <si>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</si>
  <si>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</si>
  <si>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</si>
  <si>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</si>
  <si>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</si>
  <si>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</si>
  <si>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</si>
  <si>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</si>
  <si>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</si>
  <si>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</si>
  <si>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</si>
  <si>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</si>
  <si>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</si>
  <si>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</si>
  <si>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</si>
  <si>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</si>
  <si>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</si>
  <si>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</si>
  <si>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</si>
  <si>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</si>
  <si>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</si>
  <si>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</si>
  <si>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</si>
  <si>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</si>
  <si>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</si>
  <si>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</si>
  <si>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</si>
  <si>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</si>
  <si>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</si>
  <si>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</si>
  <si>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</si>
  <si>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</si>
  <si>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</si>
  <si>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</si>
  <si>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</si>
  <si>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</si>
  <si>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</si>
  <si>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</si>
  <si>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</si>
  <si>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</si>
  <si>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</si>
  <si>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</si>
  <si>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</si>
  <si>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</si>
  <si>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</si>
  <si>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</si>
  <si>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</si>
  <si>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</si>
  <si>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</si>
  <si>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</si>
  <si>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</si>
  <si>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</si>
  <si>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</si>
  <si>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</si>
  <si>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</si>
  <si>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</si>
  <si>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</si>
  <si>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</si>
  <si>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</si>
  <si>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</si>
  <si>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</si>
  <si>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</si>
  <si>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</si>
  <si>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</si>
  <si>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</si>
  <si>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</si>
  <si>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</si>
  <si>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</si>
  <si>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</si>
  <si>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</si>
  <si>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</si>
  <si>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</si>
  <si>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</si>
  <si>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</si>
  <si>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</si>
  <si>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</si>
  <si>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</si>
  <si>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</si>
  <si>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</si>
  <si>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</si>
  <si>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</si>
  <si>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</si>
  <si>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</si>
  <si>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</si>
  <si>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</si>
  <si>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</si>
  <si>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</si>
  <si>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</si>
  <si>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</si>
  <si>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</si>
  <si>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</si>
  <si>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</si>
  <si>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</si>
  <si>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</si>
  <si>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</si>
  <si>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</si>
  <si>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</si>
  <si>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</si>
  <si>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</si>
  <si>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</si>
  <si>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</si>
  <si>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</si>
  <si>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</si>
  <si>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</si>
  <si>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</si>
  <si>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</si>
  <si>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</si>
  <si>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</si>
  <si>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</si>
  <si>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</si>
  <si>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</si>
  <si>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</si>
  <si>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</si>
  <si>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</si>
  <si>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</si>
  <si>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</si>
  <si>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</si>
  <si>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</si>
  <si>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</si>
  <si>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</si>
  <si>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</si>
  <si>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</si>
  <si>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</si>
  <si>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</si>
  <si>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</si>
  <si>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</si>
  <si>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</si>
  <si>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</si>
  <si>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</si>
  <si>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</si>
  <si>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</si>
  <si>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</si>
  <si>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</si>
  <si>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</si>
  <si>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</si>
  <si>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</si>
  <si>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</si>
  <si>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</si>
  <si>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</si>
  <si>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</si>
  <si>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</si>
  <si>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</si>
  <si>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</si>
  <si>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</si>
  <si>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</si>
  <si>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</si>
  <si>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</si>
  <si>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</si>
  <si>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</si>
  <si>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</si>
  <si>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</si>
  <si>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</si>
  <si>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</si>
  <si>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</si>
  <si>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</si>
  <si>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</si>
  <si>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</si>
  <si>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</si>
  <si>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</si>
  <si>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</si>
  <si>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</si>
  <si>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</si>
  <si>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</si>
  <si>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</si>
  <si>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</si>
  <si>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</si>
  <si>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</si>
  <si>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</si>
  <si>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</si>
  <si>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</si>
  <si>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</si>
  <si>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</si>
  <si>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</si>
  <si>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</si>
  <si>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</si>
  <si>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</si>
  <si>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</si>
  <si>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</si>
  <si>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</si>
  <si>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</si>
  <si>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</si>
  <si>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</si>
  <si>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</si>
  <si>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</si>
  <si>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</si>
  <si>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</si>
  <si>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</si>
  <si>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</si>
  <si>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</si>
  <si>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</si>
  <si>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</si>
  <si>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</si>
  <si>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</si>
  <si>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</si>
  <si>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</si>
  <si>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</si>
  <si>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</si>
  <si>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</si>
  <si>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</si>
  <si>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</si>
  <si>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</si>
  <si>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</si>
  <si>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</si>
  <si>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</si>
  <si>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</si>
  <si>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</si>
  <si>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</si>
  <si>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</si>
  <si>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</si>
  <si>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</si>
  <si>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</si>
  <si>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</si>
  <si>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</si>
  <si>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</si>
  <si>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</si>
  <si>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</si>
  <si>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</si>
  <si>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</si>
  <si>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</si>
  <si>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</si>
  <si>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</si>
  <si>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</si>
  <si>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</si>
  <si>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</si>
  <si>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</si>
  <si>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</si>
  <si>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</si>
  <si>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</si>
  <si>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</si>
  <si>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</si>
  <si>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</si>
  <si>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</si>
  <si>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</si>
  <si>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</si>
  <si>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</si>
  <si>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</si>
  <si>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</si>
  <si>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</si>
  <si>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</si>
  <si>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</si>
  <si>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</si>
  <si>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</si>
  <si>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</si>
  <si>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</si>
  <si>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</si>
  <si>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</si>
  <si>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</si>
  <si>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</si>
  <si>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</si>
  <si>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</si>
  <si>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</si>
  <si>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</si>
  <si>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</si>
  <si>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</si>
  <si>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</si>
  <si>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</si>
  <si>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</si>
  <si>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</si>
  <si>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</si>
  <si>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</si>
  <si>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</si>
  <si>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</si>
  <si>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</si>
  <si>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</si>
  <si>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</si>
  <si>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</si>
  <si>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</si>
  <si>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</si>
  <si>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</si>
  <si>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</si>
  <si>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</si>
  <si>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</si>
  <si>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</si>
  <si>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</si>
  <si>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</si>
  <si>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</si>
  <si>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</si>
  <si>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</si>
  <si>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</si>
  <si>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</si>
  <si>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</si>
  <si>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</si>
  <si>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</si>
  <si>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</si>
  <si>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</si>
  <si>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</si>
  <si>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</si>
  <si>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</si>
  <si>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</si>
  <si>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</si>
  <si>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</si>
  <si>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</si>
  <si>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</si>
  <si>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</si>
  <si>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</si>
  <si>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</si>
  <si>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</si>
  <si>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</si>
  <si>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</si>
  <si>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</si>
  <si>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</si>
  <si>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</si>
  <si>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</si>
  <si>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</si>
  <si>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</si>
  <si>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</si>
  <si>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</si>
  <si>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</si>
  <si>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</si>
  <si>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</si>
  <si>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</si>
  <si>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</si>
  <si>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</si>
  <si>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</si>
  <si>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</si>
  <si>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</si>
  <si>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</si>
  <si>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</si>
  <si>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</si>
  <si>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</si>
  <si>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</si>
  <si>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</si>
  <si>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</si>
  <si>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</si>
  <si>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</si>
  <si>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</si>
  <si>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</si>
  <si>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</si>
  <si>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</si>
  <si>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</si>
  <si>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</si>
  <si>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</si>
  <si>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</si>
  <si>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</si>
  <si>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</si>
  <si>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</si>
  <si>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</si>
  <si>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</si>
  <si>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</si>
  <si>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</si>
  <si>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</si>
  <si>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</si>
  <si>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</si>
  <si>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</si>
  <si>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</si>
  <si>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</si>
  <si>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</si>
  <si>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</si>
  <si>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</si>
  <si>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</si>
  <si>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</si>
  <si>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</si>
  <si>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</si>
  <si>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</si>
  <si>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</si>
  <si>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</si>
  <si>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</si>
  <si>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</si>
  <si>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</si>
  <si>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</si>
  <si>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</si>
  <si>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</si>
  <si>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</si>
  <si>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</si>
  <si>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</si>
  <si>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</si>
  <si>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</si>
  <si>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</si>
  <si>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</si>
  <si>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</si>
  <si>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</si>
  <si>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</si>
  <si>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</si>
  <si>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</si>
  <si>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</si>
  <si>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</si>
  <si>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</si>
  <si>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</si>
  <si>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</si>
  <si>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</si>
  <si>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</si>
  <si>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</si>
  <si>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</si>
  <si>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</si>
  <si>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</si>
  <si>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</si>
  <si>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</si>
  <si>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</si>
  <si>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</si>
  <si>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</si>
  <si>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</si>
  <si>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</si>
  <si>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</si>
  <si>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</si>
  <si>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</si>
  <si>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</si>
  <si>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</si>
  <si>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</si>
  <si>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</si>
  <si>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</si>
  <si>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</si>
  <si>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</si>
  <si>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</si>
  <si>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</si>
  <si>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</si>
  <si>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</si>
  <si>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</si>
  <si>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</si>
  <si>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</si>
  <si>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</si>
  <si>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</si>
  <si>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</si>
  <si>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</si>
  <si>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</si>
  <si>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</si>
  <si>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</si>
  <si>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</si>
  <si>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</si>
  <si>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</si>
  <si>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</si>
  <si>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</si>
  <si>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</si>
  <si>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</si>
  <si>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</si>
  <si>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</si>
  <si>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</si>
  <si>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</si>
  <si>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</si>
  <si>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</si>
  <si>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</si>
  <si>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</si>
  <si>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</si>
  <si>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</si>
  <si>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</si>
  <si>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</si>
  <si>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</si>
  <si>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</si>
  <si>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</si>
  <si>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</si>
  <si>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</si>
  <si>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</si>
  <si>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</si>
  <si>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</si>
  <si>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</si>
  <si>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</si>
  <si>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</si>
  <si>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</si>
  <si>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</si>
  <si>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</si>
  <si>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</si>
  <si>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</si>
  <si>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</si>
  <si>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</si>
  <si>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</si>
  <si>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</si>
  <si>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</si>
  <si>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</si>
  <si>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</si>
  <si>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</si>
  <si>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</si>
  <si>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</si>
  <si>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</si>
  <si>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</si>
  <si>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</si>
  <si>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</si>
  <si>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</si>
  <si>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</si>
  <si>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</si>
  <si>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</si>
  <si>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</si>
  <si>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</si>
  <si>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</si>
  <si>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</si>
  <si>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</si>
  <si>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</si>
  <si>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</si>
  <si>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</si>
  <si>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</si>
  <si>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</si>
  <si>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</si>
  <si>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</si>
  <si>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</si>
  <si>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</si>
  <si>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</si>
  <si>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</si>
  <si>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</si>
  <si>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</si>
  <si>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</si>
  <si>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</si>
  <si>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</si>
  <si>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</si>
  <si>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</si>
  <si>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</si>
  <si>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</si>
  <si>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</si>
  <si>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</si>
  <si>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</si>
  <si>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</si>
  <si>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</si>
  <si>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</si>
  <si>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</si>
  <si>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</si>
  <si>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</si>
  <si>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</si>
  <si>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</si>
  <si>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</si>
  <si>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</si>
  <si>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</si>
  <si>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</si>
  <si>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</si>
  <si>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</si>
  <si>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</si>
  <si>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</si>
  <si>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</si>
  <si>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</si>
  <si>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</si>
  <si>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</si>
  <si>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</si>
  <si>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</si>
  <si>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</si>
  <si>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</si>
  <si>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</si>
  <si>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</si>
  <si>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</si>
  <si>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</si>
  <si>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</si>
  <si>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</si>
  <si>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</si>
  <si>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</si>
  <si>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</si>
  <si>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</si>
  <si>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</si>
  <si>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</si>
  <si>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</si>
  <si>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</si>
  <si>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</si>
  <si>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</si>
  <si>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</si>
  <si>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</si>
  <si>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</si>
  <si>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</si>
  <si>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</si>
  <si>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</si>
  <si>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</si>
  <si>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</si>
  <si>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</si>
  <si>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</si>
  <si>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</si>
  <si>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</si>
  <si>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</si>
  <si>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</si>
  <si>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</si>
  <si>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</si>
  <si>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</si>
  <si>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</si>
  <si>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</si>
  <si>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</si>
  <si>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</si>
  <si>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</si>
  <si>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</si>
  <si>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</si>
  <si>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</si>
  <si>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</si>
  <si>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</si>
  <si>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</si>
  <si>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</si>
  <si>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</si>
  <si>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</si>
  <si>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</si>
  <si>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</si>
  <si>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</si>
  <si>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</si>
  <si>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</si>
  <si>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</si>
  <si>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</si>
  <si>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</si>
  <si>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</si>
  <si>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</si>
  <si>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</si>
  <si>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</si>
  <si>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</si>
  <si>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</si>
  <si>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</si>
  <si>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</si>
  <si>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</si>
  <si>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</si>
  <si>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</si>
  <si>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</si>
  <si>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</si>
  <si>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</si>
  <si>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</si>
  <si>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</si>
  <si>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</si>
  <si>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</si>
  <si>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</si>
  <si>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</si>
  <si>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</si>
  <si>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</si>
  <si>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</si>
  <si>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</si>
  <si>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</si>
  <si>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</si>
  <si>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</si>
  <si>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</si>
  <si>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</si>
  <si>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</si>
  <si>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</si>
  <si>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</si>
  <si>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</si>
  <si>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</si>
  <si>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</si>
  <si>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</si>
  <si>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</si>
  <si>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</si>
  <si>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</si>
  <si>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</si>
  <si>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</si>
  <si>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</si>
  <si>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</si>
  <si>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</si>
  <si>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</si>
  <si>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</si>
  <si>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</si>
  <si>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</si>
  <si>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</si>
  <si>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</si>
  <si>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</si>
  <si>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</si>
  <si>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</si>
  <si>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</si>
  <si>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</si>
  <si>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</si>
  <si>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</si>
  <si>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</si>
  <si>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</si>
  <si>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</si>
  <si>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</si>
  <si>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</si>
  <si>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</si>
  <si>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</si>
  <si>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</si>
  <si>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</si>
  <si>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</si>
  <si>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</si>
  <si>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</si>
  <si>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</si>
  <si>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</si>
  <si>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</si>
  <si>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</si>
  <si>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</si>
  <si>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</si>
  <si>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</si>
  <si>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</si>
  <si>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</si>
  <si>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</si>
  <si>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</si>
  <si>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</si>
  <si>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</si>
  <si>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</si>
  <si>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</si>
  <si>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</si>
  <si>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</si>
  <si>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</si>
  <si>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</si>
  <si>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</si>
  <si>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</si>
  <si>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</si>
  <si>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</si>
  <si>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</si>
  <si>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</si>
  <si>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</si>
  <si>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</si>
  <si>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</si>
  <si>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</si>
  <si>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</si>
  <si>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</si>
  <si>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</si>
  <si>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</si>
  <si>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</si>
  <si>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</si>
  <si>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</si>
  <si>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</si>
  <si>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</si>
  <si>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</si>
  <si>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</si>
  <si>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</si>
  <si>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</si>
  <si>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</si>
  <si>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</si>
  <si>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</si>
  <si>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</si>
  <si>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</si>
  <si>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</si>
  <si>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</si>
  <si>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</si>
  <si>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</si>
  <si>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</si>
  <si>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</si>
  <si>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</si>
  <si>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</si>
  <si>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</si>
  <si>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</si>
  <si>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</si>
  <si>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</si>
  <si>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</si>
  <si>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</si>
  <si>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</si>
  <si>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</si>
  <si>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</si>
  <si>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</si>
  <si>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</si>
  <si>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</si>
  <si>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</si>
  <si>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</si>
  <si>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</si>
  <si>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</si>
  <si>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</si>
  <si>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</si>
  <si>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</si>
  <si>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</si>
  <si>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</si>
  <si>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</si>
  <si>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</si>
  <si>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</si>
  <si>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</si>
  <si>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</si>
  <si>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</si>
  <si>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</si>
  <si>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</si>
  <si>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</si>
  <si>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</si>
  <si>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</si>
  <si>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</si>
  <si>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</si>
  <si>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</si>
  <si>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</si>
  <si>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</si>
  <si>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</si>
  <si>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</si>
  <si>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</si>
  <si>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</si>
  <si>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</si>
  <si>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</si>
  <si>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</si>
  <si>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</si>
  <si>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</si>
  <si>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</si>
  <si>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</si>
  <si>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</si>
  <si>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</si>
  <si>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</si>
  <si>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</si>
  <si>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</si>
  <si>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</si>
  <si>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</si>
  <si>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</si>
  <si>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</si>
  <si>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</si>
  <si>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</si>
  <si>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</si>
  <si>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</si>
  <si>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</si>
  <si>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</si>
  <si>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</si>
  <si>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</si>
  <si>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</si>
  <si>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</si>
  <si>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</si>
  <si>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</si>
  <si>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</si>
  <si>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</si>
  <si>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</si>
  <si>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</si>
  <si>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</si>
  <si>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</si>
  <si>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</si>
  <si>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</si>
  <si>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</si>
  <si>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</si>
  <si>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</si>
  <si>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</si>
  <si>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</si>
  <si>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</si>
  <si>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</si>
  <si>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</si>
  <si>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</si>
  <si>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</si>
  <si>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</si>
  <si>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</si>
  <si>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</si>
  <si>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</si>
  <si>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</si>
  <si>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</si>
  <si>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</si>
  <si>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</si>
  <si>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</si>
  <si>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</si>
  <si>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</si>
  <si>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</si>
  <si>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</si>
  <si>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</si>
  <si>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</si>
  <si>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</si>
  <si>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</si>
  <si>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</si>
  <si>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</si>
  <si>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</si>
  <si>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</si>
  <si>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</si>
  <si>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</si>
  <si>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</si>
  <si>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</si>
  <si>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</si>
  <si>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</si>
  <si>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</si>
  <si>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</si>
  <si>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</si>
  <si>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</si>
  <si>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</si>
  <si>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</si>
  <si>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</si>
  <si>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</si>
  <si>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</si>
  <si>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</si>
  <si>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</si>
  <si>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</si>
  <si>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</si>
  <si>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</si>
  <si>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</si>
  <si>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</si>
  <si>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</si>
  <si>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</si>
  <si>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</si>
  <si>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</si>
  <si>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</si>
  <si>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</si>
  <si>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</si>
  <si>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</si>
  <si>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</si>
  <si>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</si>
  <si>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</si>
  <si>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</si>
  <si>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</si>
  <si>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</si>
  <si>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</si>
  <si>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</si>
  <si>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</si>
  <si>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</si>
  <si>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</si>
  <si>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</si>
  <si>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</si>
  <si>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</si>
  <si>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</si>
  <si>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</si>
  <si>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</si>
  <si>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</si>
  <si>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</si>
  <si>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</si>
  <si>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</si>
  <si>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</si>
  <si>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</si>
  <si>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</si>
  <si>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</si>
  <si>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</si>
  <si>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</si>
  <si>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</si>
  <si>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</si>
  <si>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</si>
  <si>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</si>
  <si>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</si>
  <si>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</si>
  <si>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</si>
  <si>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</si>
  <si>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</si>
  <si>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</si>
  <si>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</si>
  <si>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</si>
  <si>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</si>
  <si>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</si>
  <si>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</si>
  <si>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</si>
  <si>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</si>
  <si>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</si>
  <si>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</si>
  <si>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</si>
  <si>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</si>
  <si>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</si>
  <si>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</si>
  <si>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</si>
  <si>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</si>
  <si>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</si>
  <si>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</si>
  <si>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</si>
  <si>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</si>
  <si>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</si>
  <si>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</si>
  <si>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</si>
  <si>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</si>
  <si>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</si>
  <si>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</si>
  <si>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</si>
  <si>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</si>
  <si>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</si>
  <si>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</si>
  <si>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</si>
  <si>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</si>
  <si>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</si>
  <si>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</si>
  <si>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</si>
  <si>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</si>
  <si>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</si>
  <si>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</si>
  <si>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</si>
  <si>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</si>
  <si>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</si>
  <si>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</si>
  <si>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</si>
  <si>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</si>
  <si>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</si>
  <si>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</si>
  <si>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</si>
  <si>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</si>
  <si>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</si>
  <si>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</si>
  <si>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</si>
  <si>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</si>
  <si>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</si>
  <si>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</si>
  <si>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</si>
  <si>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</si>
  <si>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</si>
  <si>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</si>
  <si>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</si>
  <si>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</si>
  <si>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</si>
  <si>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</si>
  <si>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</si>
  <si>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</si>
  <si>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</si>
  <si>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</si>
  <si>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</si>
  <si>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</si>
  <si>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</si>
  <si>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</si>
  <si>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</si>
  <si>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</si>
  <si>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</si>
  <si>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</si>
  <si>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</si>
  <si>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</si>
  <si>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</si>
  <si>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</si>
  <si>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</si>
  <si>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</si>
  <si>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</si>
  <si>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</si>
  <si>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</si>
  <si>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</si>
  <si>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</si>
  <si>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</si>
  <si>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</si>
  <si>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</si>
  <si>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</si>
  <si>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</si>
  <si>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</si>
  <si>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</si>
  <si>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</si>
  <si>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</si>
  <si>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</si>
  <si>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</si>
  <si>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</si>
  <si>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</si>
  <si>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</si>
  <si>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</si>
  <si>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</si>
  <si>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</si>
  <si>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</si>
  <si>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</si>
  <si>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</si>
  <si>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</si>
  <si>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</si>
  <si>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</si>
  <si>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</si>
  <si>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</si>
  <si>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</si>
  <si>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</si>
  <si>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</si>
  <si>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</si>
  <si>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</si>
  <si>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</si>
  <si>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</si>
  <si>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</si>
  <si>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</si>
  <si>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</si>
  <si>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</si>
  <si>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</si>
  <si>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</si>
  <si>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</si>
  <si>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</si>
  <si>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</si>
  <si>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</si>
  <si>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</si>
  <si>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</si>
  <si>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</si>
  <si>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</si>
  <si>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</si>
  <si>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</si>
  <si>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</si>
  <si>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</si>
  <si>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</si>
  <si>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</si>
  <si>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</si>
  <si>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</si>
  <si>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</si>
  <si>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</si>
  <si>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</si>
  <si>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</si>
  <si>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</si>
  <si>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</si>
  <si>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</si>
  <si>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</si>
  <si>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</si>
  <si>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</si>
  <si>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</si>
  <si>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</si>
  <si>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</si>
  <si>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</si>
  <si>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</si>
  <si>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</si>
  <si>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</si>
  <si>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</si>
  <si>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</si>
  <si>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</si>
  <si>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</si>
  <si>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</si>
  <si>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</si>
  <si>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</si>
  <si>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</si>
  <si>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</si>
  <si>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</si>
  <si>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</si>
  <si>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</si>
  <si>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</si>
  <si>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</si>
  <si>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</si>
  <si>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</si>
  <si>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</si>
  <si>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</si>
  <si>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</si>
  <si>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</si>
  <si>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</si>
  <si>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</si>
  <si>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</si>
  <si>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</si>
  <si>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</si>
  <si>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</si>
  <si>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</si>
  <si>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</si>
  <si>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</si>
  <si>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</si>
  <si>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</si>
  <si>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</si>
  <si>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</si>
  <si>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</si>
  <si>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</si>
  <si>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</si>
  <si>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</si>
  <si>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</si>
  <si>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</si>
  <si>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</si>
  <si>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</si>
  <si>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</si>
  <si>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</si>
  <si>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</si>
  <si>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</si>
  <si>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</si>
  <si>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</si>
  <si>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</si>
  <si>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</si>
  <si>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</si>
  <si>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</si>
  <si>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</si>
  <si>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</si>
  <si>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</si>
  <si>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</si>
  <si>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</si>
  <si>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</si>
  <si>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</si>
  <si>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</si>
  <si>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</si>
  <si>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</si>
  <si>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</si>
  <si>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</si>
  <si>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</si>
  <si>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</si>
  <si>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</si>
  <si>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</si>
  <si>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</si>
  <si>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</si>
  <si>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</si>
  <si>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</si>
  <si>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</si>
  <si>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</si>
  <si>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</si>
  <si>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</si>
  <si>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</si>
  <si>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</si>
  <si>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</si>
  <si>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</si>
  <si>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</si>
  <si>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</si>
  <si>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</si>
  <si>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</si>
  <si>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</si>
  <si>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</si>
  <si>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</si>
  <si>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</si>
  <si>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</si>
  <si>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</si>
  <si>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</si>
  <si>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</si>
  <si>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</si>
  <si>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</si>
  <si>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</si>
  <si>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</si>
  <si>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</si>
  <si>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</si>
  <si>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</si>
  <si>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</si>
  <si>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</si>
  <si>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</si>
  <si>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</si>
  <si>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</si>
  <si>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</si>
  <si>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</si>
  <si>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</si>
  <si>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</si>
  <si>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</si>
  <si>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</si>
  <si>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</si>
  <si>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</si>
  <si>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</si>
  <si>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</si>
  <si>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</si>
  <si>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</si>
  <si>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</si>
  <si>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</si>
  <si>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</si>
  <si>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</si>
  <si>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</si>
  <si>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</si>
  <si>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</si>
  <si>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</si>
  <si>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</si>
  <si>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</si>
  <si>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</si>
  <si>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</si>
  <si>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</si>
  <si>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</si>
  <si>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</si>
  <si>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</si>
  <si>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</si>
  <si>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</si>
  <si>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</si>
  <si>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</si>
  <si>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</si>
  <si>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</si>
  <si>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</si>
  <si>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</si>
  <si>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</si>
  <si>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</si>
  <si>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</si>
  <si>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</si>
  <si>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</si>
  <si>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</si>
  <si>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</si>
  <si>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</si>
  <si>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</si>
  <si>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</si>
  <si>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</si>
  <si>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</si>
  <si>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</si>
  <si>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</si>
  <si>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</si>
  <si>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</si>
  <si>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</si>
  <si>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</si>
  <si>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</si>
  <si>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</si>
  <si>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</si>
  <si>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</si>
  <si>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</si>
  <si>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</si>
  <si>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</si>
  <si>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</si>
  <si>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</si>
  <si>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</si>
  <si>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</si>
  <si>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</si>
  <si>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</si>
  <si>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</si>
  <si>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</si>
  <si>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</si>
  <si>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</si>
  <si>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</si>
  <si>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</si>
  <si>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</si>
  <si>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</si>
  <si>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</si>
  <si>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</si>
  <si>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</si>
  <si>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</si>
  <si>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</si>
  <si>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</si>
  <si>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</si>
  <si>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</si>
  <si>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</si>
  <si>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</si>
  <si>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</si>
  <si>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</si>
  <si>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</si>
  <si>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</si>
  <si>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</si>
  <si>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</si>
  <si>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</si>
  <si>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</si>
  <si>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</si>
  <si>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</si>
  <si>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</si>
  <si>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</si>
  <si>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</si>
  <si>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</si>
  <si>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</si>
  <si>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</si>
  <si>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</si>
  <si>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</si>
  <si>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</si>
  <si>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</si>
  <si>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</si>
  <si>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</si>
  <si>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</si>
  <si>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</si>
  <si>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</si>
  <si>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</si>
  <si>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</si>
  <si>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</si>
  <si>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</si>
  <si>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</si>
  <si>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</si>
  <si>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</si>
  <si>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</si>
  <si>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</si>
  <si>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</si>
  <si>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</si>
  <si>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</si>
  <si>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</si>
  <si>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</si>
  <si>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</si>
  <si>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</si>
  <si>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</si>
  <si>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</si>
  <si>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</si>
  <si>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</si>
  <si>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</si>
  <si>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</si>
  <si>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</si>
  <si>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</si>
  <si>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</si>
  <si>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</si>
  <si>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</si>
  <si>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</si>
  <si>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</si>
  <si>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</si>
  <si>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</si>
  <si>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</si>
  <si>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</si>
  <si>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</si>
  <si>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</si>
  <si>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</si>
  <si>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</si>
  <si>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</si>
  <si>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</si>
  <si>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</si>
  <si>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</si>
  <si>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</si>
  <si>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</si>
  <si>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</si>
  <si>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</si>
  <si>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</si>
  <si>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</si>
  <si>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</si>
  <si>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</si>
  <si>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</si>
  <si>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</si>
  <si>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</si>
  <si>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</si>
  <si>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</si>
  <si>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</si>
  <si>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</si>
  <si>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</si>
  <si>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</si>
  <si>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</si>
  <si>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</si>
  <si>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</si>
  <si>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</si>
  <si>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</si>
  <si>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</si>
  <si>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</si>
  <si>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</si>
  <si>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</si>
  <si>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</si>
  <si>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</si>
  <si>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</si>
  <si>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</si>
  <si>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</si>
  <si>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</si>
  <si>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</si>
  <si>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</si>
  <si>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</si>
  <si>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</si>
  <si>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</si>
  <si>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</si>
  <si>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</si>
  <si>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</si>
  <si>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</si>
  <si>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</si>
  <si>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</si>
  <si>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</si>
  <si>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</si>
  <si>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</si>
  <si>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</si>
  <si>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</si>
  <si>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</si>
  <si>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</si>
  <si>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</si>
  <si>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</si>
  <si>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</si>
  <si>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</si>
  <si>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</si>
  <si>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</si>
  <si>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</si>
  <si>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</si>
  <si>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</si>
  <si>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</si>
  <si>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</si>
  <si>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</si>
  <si>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</si>
  <si>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</si>
  <si>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</si>
  <si>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</si>
  <si>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</si>
  <si>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</si>
  <si>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</si>
  <si>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</si>
  <si>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</si>
  <si>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</si>
  <si>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</si>
  <si>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</si>
  <si>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</si>
  <si>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</si>
  <si>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</si>
  <si>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</si>
  <si>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</si>
  <si>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</si>
  <si>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</si>
  <si>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</si>
  <si>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</si>
  <si>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</si>
  <si>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</si>
  <si>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</si>
  <si>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</si>
  <si>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</si>
  <si>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</si>
  <si>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</si>
  <si>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</si>
  <si>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</si>
  <si>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</si>
  <si>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</si>
  <si>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</si>
  <si>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</si>
  <si>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</si>
  <si>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</si>
  <si>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</si>
  <si>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</si>
  <si>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</si>
  <si>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</si>
  <si>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</si>
  <si>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</si>
  <si>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</si>
  <si>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</si>
  <si>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</si>
  <si>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</si>
  <si>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</si>
  <si>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</si>
  <si>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</si>
  <si>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</si>
  <si>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</si>
  <si>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</si>
  <si>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</si>
  <si>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</si>
  <si>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</si>
  <si>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</si>
  <si>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</si>
  <si>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</si>
  <si>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</si>
  <si>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</si>
  <si>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</si>
  <si>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</si>
  <si>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</si>
  <si>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</si>
  <si>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</si>
  <si>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</si>
  <si>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</si>
  <si>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</si>
  <si>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</si>
  <si>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</si>
  <si>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</si>
  <si>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</si>
  <si>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</si>
  <si>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</si>
  <si>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</si>
  <si>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</si>
  <si>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</si>
  <si>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</si>
  <si>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</si>
  <si>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</si>
  <si>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</si>
  <si>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</si>
  <si>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</si>
  <si>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</si>
  <si>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</si>
  <si>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</si>
  <si>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</si>
  <si>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</si>
  <si>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</si>
  <si>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</si>
  <si>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</si>
  <si>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</si>
  <si>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</si>
  <si>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</si>
  <si>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</si>
  <si>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</si>
  <si>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</si>
  <si>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</si>
  <si>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</si>
  <si>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</si>
  <si>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</si>
  <si>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</si>
  <si>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</si>
  <si>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</si>
  <si>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</si>
  <si>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</si>
  <si>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</si>
  <si>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</si>
  <si>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</si>
  <si>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</si>
  <si>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</si>
  <si>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</si>
  <si>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</si>
  <si>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</si>
  <si>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</si>
  <si>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</si>
  <si>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</si>
  <si>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</si>
  <si>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</si>
  <si>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</si>
  <si>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</si>
  <si>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</si>
  <si>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</si>
  <si>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</si>
  <si>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</si>
  <si>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</si>
  <si>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</si>
  <si>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</si>
  <si>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</si>
  <si>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</si>
  <si>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</si>
  <si>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</si>
  <si>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</si>
  <si>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</si>
  <si>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</si>
  <si>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</si>
  <si>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</si>
  <si>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</si>
  <si>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</si>
  <si>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</si>
  <si>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</si>
  <si>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</si>
  <si>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</si>
  <si>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</si>
  <si>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</si>
  <si>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</si>
  <si>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</si>
  <si>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</si>
  <si>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</si>
  <si>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</si>
  <si>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</si>
  <si>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</si>
  <si>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</si>
  <si>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</si>
  <si>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</si>
  <si>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</si>
  <si>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</si>
  <si>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</si>
  <si>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</si>
  <si>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</si>
  <si>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</si>
  <si>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</si>
  <si>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</si>
  <si>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</si>
  <si>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</si>
  <si>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</si>
  <si>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</si>
  <si>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</si>
  <si>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</si>
  <si>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</si>
  <si>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</si>
  <si>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</si>
  <si>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</si>
  <si>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</si>
  <si>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</si>
  <si>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</si>
  <si>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</si>
  <si>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</si>
  <si>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</si>
  <si>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</si>
  <si>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</si>
  <si>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</si>
  <si>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</si>
  <si>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</si>
  <si>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</si>
  <si>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</si>
  <si>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</si>
  <si>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</si>
  <si>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</si>
  <si>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</si>
  <si>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</si>
  <si>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</si>
  <si>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</si>
  <si>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</si>
  <si>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</si>
  <si>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</si>
  <si>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</si>
  <si>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</si>
  <si>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</si>
  <si>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</si>
  <si>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</si>
  <si>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</si>
  <si>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</si>
  <si>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</si>
  <si>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</si>
  <si>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</si>
  <si>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</si>
  <si>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</si>
  <si>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</si>
  <si>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</si>
  <si>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</si>
  <si>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</si>
  <si>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</si>
  <si>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</si>
  <si>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</si>
  <si>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</si>
  <si>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</si>
  <si>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</si>
  <si>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</si>
  <si>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</si>
  <si>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</si>
  <si>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</si>
  <si>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</si>
  <si>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</si>
  <si>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</si>
  <si>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</si>
  <si>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</si>
  <si>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</si>
  <si>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</si>
  <si>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</si>
  <si>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</si>
  <si>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</si>
  <si>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</si>
  <si>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</si>
  <si>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</si>
  <si>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</si>
  <si>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</si>
  <si>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</si>
  <si>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</si>
  <si>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</si>
  <si>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</si>
  <si>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</si>
  <si>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</si>
  <si>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</si>
  <si>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</si>
  <si>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</si>
  <si>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</si>
  <si>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</si>
  <si>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</si>
  <si>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</si>
  <si>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</si>
  <si>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</si>
  <si>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</si>
  <si>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</si>
  <si>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</si>
  <si>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</si>
  <si>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</si>
  <si>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</si>
  <si>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</si>
  <si>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</si>
  <si>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</si>
  <si>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</si>
  <si>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</si>
  <si>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</si>
  <si>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</si>
  <si>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</si>
  <si>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</si>
  <si>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</si>
  <si>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</si>
  <si>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</si>
  <si>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</si>
  <si>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</si>
  <si>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</si>
  <si>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</si>
  <si>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</si>
  <si>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</si>
  <si>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</si>
  <si>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</si>
  <si>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</si>
  <si>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</si>
  <si>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</si>
  <si>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</si>
  <si>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</si>
  <si>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</si>
  <si>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</si>
  <si>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</si>
  <si>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</si>
  <si>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</si>
  <si>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</si>
  <si>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</si>
  <si>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</si>
  <si>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</si>
  <si>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</si>
  <si>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</si>
  <si>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</si>
  <si>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</si>
  <si>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</si>
  <si>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</si>
  <si>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</si>
  <si>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</si>
  <si>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</si>
  <si>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</si>
  <si>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</si>
  <si>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</si>
  <si>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</si>
  <si>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</si>
  <si>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</si>
  <si>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</si>
  <si>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</si>
  <si>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</si>
  <si>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</si>
  <si>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</si>
  <si>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</si>
  <si>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</si>
  <si>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</si>
  <si>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</si>
  <si>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</si>
  <si>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</si>
  <si>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</si>
  <si>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</si>
  <si>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</si>
  <si>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</si>
  <si>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</si>
  <si>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</si>
  <si>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</si>
  <si>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</si>
  <si>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</si>
  <si>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</si>
  <si>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</si>
  <si>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</si>
  <si>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</si>
  <si>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</si>
  <si>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</si>
  <si>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</si>
  <si>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</si>
  <si>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</si>
  <si>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</si>
  <si>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</si>
  <si>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</si>
  <si>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</si>
  <si>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</si>
  <si>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</si>
  <si>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</si>
  <si>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</si>
  <si>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</si>
  <si>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</si>
  <si>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</si>
  <si>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</si>
  <si>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</si>
  <si>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</si>
  <si>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</si>
  <si>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</si>
  <si>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</si>
  <si>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</si>
  <si>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</si>
  <si>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</si>
  <si>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</si>
  <si>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</si>
  <si>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</si>
  <si>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</si>
  <si>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</si>
  <si>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</si>
  <si>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</si>
  <si>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</si>
  <si>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</si>
  <si>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</si>
  <si>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</si>
  <si>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</si>
  <si>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</si>
  <si>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</si>
  <si>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</si>
  <si>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</si>
  <si>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</si>
  <si>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</si>
  <si>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</si>
  <si>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</si>
  <si>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</si>
  <si>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</si>
  <si>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</si>
  <si>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</si>
  <si>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</si>
  <si>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</si>
  <si>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</si>
  <si>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</si>
  <si>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</si>
  <si>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</si>
  <si>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</si>
  <si>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</si>
  <si>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</si>
  <si>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</si>
  <si>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</si>
  <si>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</si>
  <si>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</si>
  <si>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</si>
  <si>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</si>
  <si>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</si>
  <si>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</si>
  <si>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</si>
  <si>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</si>
  <si>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</si>
  <si>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</si>
  <si>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</si>
  <si>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</si>
  <si>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</si>
  <si>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</si>
  <si>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</si>
  <si>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</si>
  <si>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</si>
  <si>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</si>
  <si>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</si>
  <si>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</si>
  <si>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</si>
  <si>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</si>
  <si>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</si>
  <si>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</si>
  <si>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</si>
  <si>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</si>
  <si>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</si>
  <si>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</si>
  <si>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</si>
  <si>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</si>
  <si>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</si>
  <si>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</si>
  <si>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</si>
  <si>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</si>
  <si>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</si>
  <si>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</si>
  <si>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</si>
  <si>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</si>
  <si>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</si>
  <si>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</si>
  <si>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</si>
  <si>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</si>
  <si>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</si>
  <si>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</si>
  <si>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</si>
  <si>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</si>
  <si>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</si>
  <si>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</si>
  <si>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</si>
  <si>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</si>
  <si>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</si>
  <si>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</si>
  <si>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</si>
  <si>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</si>
  <si>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</si>
  <si>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</si>
  <si>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</si>
  <si>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</si>
  <si>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</si>
  <si>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</si>
  <si>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</si>
  <si>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</si>
  <si>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</si>
  <si>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</si>
  <si>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</si>
  <si>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</si>
  <si>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</si>
  <si>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</si>
  <si>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</si>
  <si>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</si>
  <si>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</si>
  <si>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</si>
  <si>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</si>
  <si>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</si>
  <si>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</si>
  <si>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</si>
  <si>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</si>
  <si>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</si>
  <si>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</si>
  <si>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</si>
  <si>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</si>
  <si>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</si>
  <si>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</si>
  <si>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</si>
  <si>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</si>
  <si>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</si>
  <si>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</si>
  <si>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</si>
  <si>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</si>
  <si>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</si>
  <si>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</si>
  <si>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</si>
  <si>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</si>
  <si>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</si>
  <si>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</si>
  <si>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</si>
  <si>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</si>
  <si>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</si>
  <si>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</si>
  <si>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</si>
  <si>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</si>
  <si>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</si>
  <si>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</si>
  <si>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</si>
  <si>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</si>
  <si>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</si>
  <si>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</si>
  <si>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</si>
  <si>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</si>
  <si>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</si>
  <si>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</si>
  <si>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</si>
  <si>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</si>
  <si>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</si>
  <si>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</si>
  <si>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</si>
  <si>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</si>
  <si>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Tenure_Group</t>
  </si>
  <si>
    <t>Churn_Binary</t>
  </si>
  <si>
    <t>Revenue_Lost</t>
  </si>
  <si>
    <t>No Internet</t>
  </si>
  <si>
    <t>Senior_Citizen_Label</t>
  </si>
  <si>
    <t>No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</si>
</sst>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1F50-0C09-4560-BFEF-09347B32E75B}">
  <dimension ref="A1:Y7044"/>
  <sheetViews>
    <sheetView tabSelected="1" topLeftCell="D1" workbookViewId="0">
      <selection activeCell="M16" sqref="M16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  <col min="22" max="22" width="12.6640625" bestFit="1" customWidth="1"/>
    <col min="23" max="23" width="11.88671875" bestFit="1" customWidth="1"/>
    <col min="24" max="24" width="12.44140625" bestFit="1" customWidth="1"/>
    <col min="25" max="25" width="18.109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7079</v>
      </c>
      <c r="W1" t="s">
        <v>7080</v>
      </c>
      <c r="X1" t="s">
        <v>7081</v>
      </c>
      <c r="Y1" t="s">
        <v>7083</v>
      </c>
    </row>
    <row r="2" spans="1:25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>IF(F2&lt;=12,"0-12 Months",IF(F2&lt;=24,"13-24 Months",IF(F2&lt;=36,"25-36 Months",IF(F2&lt;=48,"37-48 Months",IF(F2&lt;=60,"49-60 Months","61-72 Months")))))</f>
        <v>0-12 Months</v>
      </c>
      <c r="W2">
        <f>IF(U2="Yes",1,0)</f>
        <v>0</v>
      </c>
      <c r="X2">
        <f>IF(U2="Yes",S2,0)</f>
        <v>0</v>
      </c>
      <c r="Y2" t="str">
        <f>IF(C2=1,"Senior Citizen","Non-Senior")</f>
        <v>Non-Senior</v>
      </c>
    </row>
    <row r="3" spans="1:25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ref="V3:V66" si="0">IF(F3&lt;=12,"0-12 Months",IF(F3&lt;=24,"13-24 Months",IF(F3&lt;=36,"25-36 Months",IF(F3&lt;=48,"37-48 Months",IF(F3&lt;=60,"49-60 Months","61-72 Months")))))</f>
        <v>25-36 Months</v>
      </c>
      <c r="W3">
        <f t="shared" ref="W3:W66" si="1">IF(U3="Yes",1,0)</f>
        <v>0</v>
      </c>
      <c r="X3">
        <f t="shared" ref="X3:X66" si="2">IF(U3="Yes",S3,0)</f>
        <v>0</v>
      </c>
      <c r="Y3" t="str">
        <f t="shared" ref="Y3:Y66" si="3">IF(C3=1,"Senior Citizen","Non-Senior")</f>
        <v>Non-Senior</v>
      </c>
    </row>
    <row r="4" spans="1:25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0-12 Months</v>
      </c>
      <c r="W4">
        <f t="shared" si="1"/>
        <v>1</v>
      </c>
      <c r="X4">
        <f t="shared" si="2"/>
        <v>53.85</v>
      </c>
      <c r="Y4" t="str">
        <f t="shared" si="3"/>
        <v>Non-Senior</v>
      </c>
    </row>
    <row r="5" spans="1:25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37-48 Months</v>
      </c>
      <c r="W5">
        <f t="shared" si="1"/>
        <v>0</v>
      </c>
      <c r="X5">
        <f t="shared" si="2"/>
        <v>0</v>
      </c>
      <c r="Y5" t="str">
        <f t="shared" si="3"/>
        <v>Non-Senior</v>
      </c>
    </row>
    <row r="6" spans="1:25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0-12 Months</v>
      </c>
      <c r="W6">
        <f t="shared" si="1"/>
        <v>1</v>
      </c>
      <c r="X6">
        <f t="shared" si="2"/>
        <v>70.7</v>
      </c>
      <c r="Y6" t="str">
        <f t="shared" si="3"/>
        <v>Non-Senior</v>
      </c>
    </row>
    <row r="7" spans="1:25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0-12 Months</v>
      </c>
      <c r="W7">
        <f t="shared" si="1"/>
        <v>1</v>
      </c>
      <c r="X7">
        <f t="shared" si="2"/>
        <v>99.65</v>
      </c>
      <c r="Y7" t="str">
        <f t="shared" si="3"/>
        <v>Non-Senior</v>
      </c>
    </row>
    <row r="8" spans="1:25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13-24 Months</v>
      </c>
      <c r="W8">
        <f t="shared" si="1"/>
        <v>0</v>
      </c>
      <c r="X8">
        <f t="shared" si="2"/>
        <v>0</v>
      </c>
      <c r="Y8" t="str">
        <f t="shared" si="3"/>
        <v>Non-Senior</v>
      </c>
    </row>
    <row r="9" spans="1:25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0-12 Months</v>
      </c>
      <c r="W9">
        <f t="shared" si="1"/>
        <v>0</v>
      </c>
      <c r="X9">
        <f t="shared" si="2"/>
        <v>0</v>
      </c>
      <c r="Y9" t="str">
        <f t="shared" si="3"/>
        <v>Non-Senior</v>
      </c>
    </row>
    <row r="10" spans="1:25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25-36 Months</v>
      </c>
      <c r="W10">
        <f t="shared" si="1"/>
        <v>1</v>
      </c>
      <c r="X10">
        <f t="shared" si="2"/>
        <v>104.8</v>
      </c>
      <c r="Y10" t="str">
        <f t="shared" si="3"/>
        <v>Non-Senior</v>
      </c>
    </row>
    <row r="11" spans="1:25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61-72 Months</v>
      </c>
      <c r="W11">
        <f t="shared" si="1"/>
        <v>0</v>
      </c>
      <c r="X11">
        <f t="shared" si="2"/>
        <v>0</v>
      </c>
      <c r="Y11" t="str">
        <f t="shared" si="3"/>
        <v>Non-Senior</v>
      </c>
    </row>
    <row r="12" spans="1:25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13-24 Months</v>
      </c>
      <c r="W12">
        <f t="shared" si="1"/>
        <v>0</v>
      </c>
      <c r="X12">
        <f t="shared" si="2"/>
        <v>0</v>
      </c>
      <c r="Y12" t="str">
        <f t="shared" si="3"/>
        <v>Non-Senior</v>
      </c>
    </row>
    <row r="13" spans="1:25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7082</v>
      </c>
      <c r="J13" t="s">
        <v>7084</v>
      </c>
      <c r="K13" t="s">
        <v>46</v>
      </c>
      <c r="L13" t="s">
        <v>7084</v>
      </c>
      <c r="M13" t="s">
        <v>7084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13-24 Months</v>
      </c>
      <c r="W13">
        <f t="shared" si="1"/>
        <v>0</v>
      </c>
      <c r="X13">
        <f t="shared" si="2"/>
        <v>0</v>
      </c>
      <c r="Y13" t="str">
        <f t="shared" si="3"/>
        <v>Non-Senior</v>
      </c>
    </row>
    <row r="14" spans="1:25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49-60 Months</v>
      </c>
      <c r="W14">
        <f t="shared" si="1"/>
        <v>0</v>
      </c>
      <c r="X14">
        <f t="shared" si="2"/>
        <v>0</v>
      </c>
      <c r="Y14" t="str">
        <f t="shared" si="3"/>
        <v>Non-Senior</v>
      </c>
    </row>
    <row r="15" spans="1:25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49-60 Months</v>
      </c>
      <c r="W15">
        <f t="shared" si="1"/>
        <v>1</v>
      </c>
      <c r="X15">
        <f t="shared" si="2"/>
        <v>103.7</v>
      </c>
      <c r="Y15" t="str">
        <f t="shared" si="3"/>
        <v>Non-Senior</v>
      </c>
    </row>
    <row r="16" spans="1:25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25-36 Months</v>
      </c>
      <c r="W16">
        <f t="shared" si="1"/>
        <v>0</v>
      </c>
      <c r="X16">
        <f t="shared" si="2"/>
        <v>0</v>
      </c>
      <c r="Y16" t="str">
        <f t="shared" si="3"/>
        <v>Non-Senior</v>
      </c>
    </row>
    <row r="17" spans="1:25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61-72 Months</v>
      </c>
      <c r="W17">
        <f t="shared" si="1"/>
        <v>0</v>
      </c>
      <c r="X17">
        <f t="shared" si="2"/>
        <v>0</v>
      </c>
      <c r="Y17" t="str">
        <f t="shared" si="3"/>
        <v>Non-Senior</v>
      </c>
    </row>
    <row r="18" spans="1:25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7082</v>
      </c>
      <c r="J18" t="s">
        <v>7084</v>
      </c>
      <c r="K18" t="s">
        <v>46</v>
      </c>
      <c r="L18" t="s">
        <v>7084</v>
      </c>
      <c r="M18" t="s">
        <v>7084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49-60 Months</v>
      </c>
      <c r="W18">
        <f t="shared" si="1"/>
        <v>0</v>
      </c>
      <c r="X18">
        <f t="shared" si="2"/>
        <v>0</v>
      </c>
      <c r="Y18" t="str">
        <f t="shared" si="3"/>
        <v>Non-Senior</v>
      </c>
    </row>
    <row r="19" spans="1:25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61-72 Months</v>
      </c>
      <c r="W19">
        <f t="shared" si="1"/>
        <v>0</v>
      </c>
      <c r="X19">
        <f t="shared" si="2"/>
        <v>0</v>
      </c>
      <c r="Y19" t="str">
        <f t="shared" si="3"/>
        <v>Non-Senior</v>
      </c>
    </row>
    <row r="20" spans="1:25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0-12 Months</v>
      </c>
      <c r="W20">
        <f t="shared" si="1"/>
        <v>1</v>
      </c>
      <c r="X20">
        <f t="shared" si="2"/>
        <v>55.2</v>
      </c>
      <c r="Y20" t="str">
        <f t="shared" si="3"/>
        <v>Non-Senior</v>
      </c>
    </row>
    <row r="21" spans="1:25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13-24 Months</v>
      </c>
      <c r="W21">
        <f t="shared" si="1"/>
        <v>0</v>
      </c>
      <c r="X21">
        <f t="shared" si="2"/>
        <v>0</v>
      </c>
      <c r="Y21" t="str">
        <f t="shared" si="3"/>
        <v>Non-Senior</v>
      </c>
    </row>
    <row r="22" spans="1:25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0-12 Months</v>
      </c>
      <c r="W22">
        <f t="shared" si="1"/>
        <v>1</v>
      </c>
      <c r="X22">
        <f t="shared" si="2"/>
        <v>39.65</v>
      </c>
      <c r="Y22" t="str">
        <f t="shared" si="3"/>
        <v>Senior Citizen</v>
      </c>
    </row>
    <row r="23" spans="1:25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7082</v>
      </c>
      <c r="J23" t="s">
        <v>7084</v>
      </c>
      <c r="K23" t="s">
        <v>46</v>
      </c>
      <c r="L23" t="s">
        <v>7084</v>
      </c>
      <c r="M23" t="s">
        <v>7084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0-12 Months</v>
      </c>
      <c r="W23">
        <f t="shared" si="1"/>
        <v>0</v>
      </c>
      <c r="X23">
        <f t="shared" si="2"/>
        <v>0</v>
      </c>
      <c r="Y23" t="str">
        <f t="shared" si="3"/>
        <v>Non-Senior</v>
      </c>
    </row>
    <row r="24" spans="1:25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7082</v>
      </c>
      <c r="J24" t="s">
        <v>7084</v>
      </c>
      <c r="K24" t="s">
        <v>46</v>
      </c>
      <c r="L24" t="s">
        <v>7084</v>
      </c>
      <c r="M24" t="s">
        <v>7084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0-12 Months</v>
      </c>
      <c r="W24">
        <f t="shared" si="1"/>
        <v>1</v>
      </c>
      <c r="X24">
        <f t="shared" si="2"/>
        <v>20.149999999999999</v>
      </c>
      <c r="Y24" t="str">
        <f t="shared" si="3"/>
        <v>Non-Senior</v>
      </c>
    </row>
    <row r="25" spans="1:25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49-60 Months</v>
      </c>
      <c r="W25">
        <f t="shared" si="1"/>
        <v>0</v>
      </c>
      <c r="X25">
        <f t="shared" si="2"/>
        <v>0</v>
      </c>
      <c r="Y25" t="str">
        <f t="shared" si="3"/>
        <v>Non-Senior</v>
      </c>
    </row>
    <row r="26" spans="1:25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49-60 Months</v>
      </c>
      <c r="W26">
        <f t="shared" si="1"/>
        <v>0</v>
      </c>
      <c r="X26">
        <f t="shared" si="2"/>
        <v>0</v>
      </c>
      <c r="Y26" t="str">
        <f t="shared" si="3"/>
        <v>Non-Senior</v>
      </c>
    </row>
    <row r="27" spans="1:25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25-36 Months</v>
      </c>
      <c r="W27">
        <f t="shared" si="1"/>
        <v>0</v>
      </c>
      <c r="X27">
        <f t="shared" si="2"/>
        <v>0</v>
      </c>
      <c r="Y27" t="str">
        <f t="shared" si="3"/>
        <v>Non-Senior</v>
      </c>
    </row>
    <row r="28" spans="1:25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37-48 Months</v>
      </c>
      <c r="W28">
        <f t="shared" si="1"/>
        <v>1</v>
      </c>
      <c r="X28">
        <f t="shared" si="2"/>
        <v>99.35</v>
      </c>
      <c r="Y28" t="str">
        <f t="shared" si="3"/>
        <v>Non-Senior</v>
      </c>
    </row>
    <row r="29" spans="1:25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0-12 Months</v>
      </c>
      <c r="W29">
        <f t="shared" si="1"/>
        <v>1</v>
      </c>
      <c r="X29">
        <f t="shared" si="2"/>
        <v>30.2</v>
      </c>
      <c r="Y29" t="str">
        <f t="shared" si="3"/>
        <v>Non-Senior</v>
      </c>
    </row>
    <row r="30" spans="1:25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61-72 Months</v>
      </c>
      <c r="W30">
        <f t="shared" si="1"/>
        <v>0</v>
      </c>
      <c r="X30">
        <f t="shared" si="2"/>
        <v>0</v>
      </c>
      <c r="Y30" t="str">
        <f t="shared" si="3"/>
        <v>Non-Senior</v>
      </c>
    </row>
    <row r="31" spans="1:25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13-24 Months</v>
      </c>
      <c r="W31">
        <f t="shared" si="1"/>
        <v>1</v>
      </c>
      <c r="X31">
        <f t="shared" si="2"/>
        <v>64.7</v>
      </c>
      <c r="Y31" t="str">
        <f t="shared" si="3"/>
        <v>Non-Senior</v>
      </c>
    </row>
    <row r="32" spans="1:25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61-72 Months</v>
      </c>
      <c r="W32">
        <f t="shared" si="1"/>
        <v>0</v>
      </c>
      <c r="X32">
        <f t="shared" si="2"/>
        <v>0</v>
      </c>
      <c r="Y32" t="str">
        <f t="shared" si="3"/>
        <v>Senior Citizen</v>
      </c>
    </row>
    <row r="33" spans="1:25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0-12 Months</v>
      </c>
      <c r="W33">
        <f t="shared" si="1"/>
        <v>0</v>
      </c>
      <c r="X33">
        <f t="shared" si="2"/>
        <v>0</v>
      </c>
      <c r="Y33" t="str">
        <f t="shared" si="3"/>
        <v>Senior Citizen</v>
      </c>
    </row>
    <row r="34" spans="1:25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25-36 Months</v>
      </c>
      <c r="W34">
        <f t="shared" si="1"/>
        <v>0</v>
      </c>
      <c r="X34">
        <f t="shared" si="2"/>
        <v>0</v>
      </c>
      <c r="Y34" t="str">
        <f t="shared" si="3"/>
        <v>Non-Senior</v>
      </c>
    </row>
    <row r="35" spans="1:25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7082</v>
      </c>
      <c r="J35" t="s">
        <v>7084</v>
      </c>
      <c r="K35" t="s">
        <v>46</v>
      </c>
      <c r="L35" t="s">
        <v>7084</v>
      </c>
      <c r="M35" t="s">
        <v>7084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0-12 Months</v>
      </c>
      <c r="W35">
        <f t="shared" si="1"/>
        <v>0</v>
      </c>
      <c r="X35">
        <f t="shared" si="2"/>
        <v>0</v>
      </c>
      <c r="Y35" t="str">
        <f t="shared" si="3"/>
        <v>Non-Senior</v>
      </c>
    </row>
    <row r="36" spans="1:25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0-12 Months</v>
      </c>
      <c r="W36">
        <f t="shared" si="1"/>
        <v>0</v>
      </c>
      <c r="X36">
        <f t="shared" si="2"/>
        <v>0</v>
      </c>
      <c r="Y36" t="str">
        <f t="shared" si="3"/>
        <v>Senior Citizen</v>
      </c>
    </row>
    <row r="37" spans="1:25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61-72 Months</v>
      </c>
      <c r="W37">
        <f t="shared" si="1"/>
        <v>0</v>
      </c>
      <c r="X37">
        <f t="shared" si="2"/>
        <v>0</v>
      </c>
      <c r="Y37" t="str">
        <f t="shared" si="3"/>
        <v>Non-Senior</v>
      </c>
    </row>
    <row r="38" spans="1:25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0-12 Months</v>
      </c>
      <c r="W38">
        <f t="shared" si="1"/>
        <v>1</v>
      </c>
      <c r="X38">
        <f t="shared" si="2"/>
        <v>69.7</v>
      </c>
      <c r="Y38" t="str">
        <f t="shared" si="3"/>
        <v>Non-Senior</v>
      </c>
    </row>
    <row r="39" spans="1:25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37-48 Months</v>
      </c>
      <c r="W39">
        <f t="shared" si="1"/>
        <v>0</v>
      </c>
      <c r="X39">
        <f t="shared" si="2"/>
        <v>0</v>
      </c>
      <c r="Y39" t="str">
        <f t="shared" si="3"/>
        <v>Non-Senior</v>
      </c>
    </row>
    <row r="40" spans="1:25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25-36 Months</v>
      </c>
      <c r="W40">
        <f t="shared" si="1"/>
        <v>1</v>
      </c>
      <c r="X40">
        <f t="shared" si="2"/>
        <v>106.35</v>
      </c>
      <c r="Y40" t="str">
        <f t="shared" si="3"/>
        <v>Non-Senior</v>
      </c>
    </row>
    <row r="41" spans="1:25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0-12 Months</v>
      </c>
      <c r="W41">
        <f t="shared" si="1"/>
        <v>1</v>
      </c>
      <c r="X41">
        <f t="shared" si="2"/>
        <v>97.85</v>
      </c>
      <c r="Y41" t="str">
        <f t="shared" si="3"/>
        <v>Non-Senior</v>
      </c>
    </row>
    <row r="42" spans="1:25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0-12 Months</v>
      </c>
      <c r="W42">
        <f t="shared" si="1"/>
        <v>0</v>
      </c>
      <c r="X42">
        <f t="shared" si="2"/>
        <v>0</v>
      </c>
      <c r="Y42" t="str">
        <f t="shared" si="3"/>
        <v>Non-Senior</v>
      </c>
    </row>
    <row r="43" spans="1:25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61-72 Months</v>
      </c>
      <c r="W43">
        <f t="shared" si="1"/>
        <v>0</v>
      </c>
      <c r="X43">
        <f t="shared" si="2"/>
        <v>0</v>
      </c>
      <c r="Y43" t="str">
        <f t="shared" si="3"/>
        <v>Non-Senior</v>
      </c>
    </row>
    <row r="44" spans="1:25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7082</v>
      </c>
      <c r="J44" t="s">
        <v>7084</v>
      </c>
      <c r="K44" t="s">
        <v>46</v>
      </c>
      <c r="L44" t="s">
        <v>7084</v>
      </c>
      <c r="M44" t="s">
        <v>7084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13-24 Months</v>
      </c>
      <c r="W44">
        <f t="shared" si="1"/>
        <v>0</v>
      </c>
      <c r="X44">
        <f t="shared" si="2"/>
        <v>0</v>
      </c>
      <c r="Y44" t="str">
        <f t="shared" si="3"/>
        <v>Non-Senior</v>
      </c>
    </row>
    <row r="45" spans="1:25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61-72 Months</v>
      </c>
      <c r="W45">
        <f t="shared" si="1"/>
        <v>0</v>
      </c>
      <c r="X45">
        <f t="shared" si="2"/>
        <v>0</v>
      </c>
      <c r="Y45" t="str">
        <f t="shared" si="3"/>
        <v>Non-Senior</v>
      </c>
    </row>
    <row r="46" spans="1:25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13-24 Months</v>
      </c>
      <c r="W46">
        <f t="shared" si="1"/>
        <v>0</v>
      </c>
      <c r="X46">
        <f t="shared" si="2"/>
        <v>0</v>
      </c>
      <c r="Y46" t="str">
        <f t="shared" si="3"/>
        <v>Non-Senior</v>
      </c>
    </row>
    <row r="47" spans="1:25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49-60 Months</v>
      </c>
      <c r="W47">
        <f t="shared" si="1"/>
        <v>0</v>
      </c>
      <c r="X47">
        <f t="shared" si="2"/>
        <v>0</v>
      </c>
      <c r="Y47" t="str">
        <f t="shared" si="3"/>
        <v>Non-Senior</v>
      </c>
    </row>
    <row r="48" spans="1:25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0-12 Months</v>
      </c>
      <c r="W48">
        <f t="shared" si="1"/>
        <v>0</v>
      </c>
      <c r="X48">
        <f t="shared" si="2"/>
        <v>0</v>
      </c>
      <c r="Y48" t="str">
        <f t="shared" si="3"/>
        <v>Non-Senior</v>
      </c>
    </row>
    <row r="49" spans="1:25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0-12 Months</v>
      </c>
      <c r="W49">
        <f t="shared" si="1"/>
        <v>1</v>
      </c>
      <c r="X49">
        <f t="shared" si="2"/>
        <v>80.650000000000006</v>
      </c>
      <c r="Y49" t="str">
        <f t="shared" si="3"/>
        <v>Non-Senior</v>
      </c>
    </row>
    <row r="50" spans="1:25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49-60 Months</v>
      </c>
      <c r="W50">
        <f t="shared" si="1"/>
        <v>0</v>
      </c>
      <c r="X50">
        <f t="shared" si="2"/>
        <v>0</v>
      </c>
      <c r="Y50" t="str">
        <f t="shared" si="3"/>
        <v>Non-Senior</v>
      </c>
    </row>
    <row r="51" spans="1:25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61-72 Months</v>
      </c>
      <c r="W51">
        <f t="shared" si="1"/>
        <v>0</v>
      </c>
      <c r="X51">
        <f t="shared" si="2"/>
        <v>0</v>
      </c>
      <c r="Y51" t="str">
        <f t="shared" si="3"/>
        <v>Non-Senior</v>
      </c>
    </row>
    <row r="52" spans="1:25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37-48 Months</v>
      </c>
      <c r="W52">
        <f t="shared" si="1"/>
        <v>0</v>
      </c>
      <c r="X52">
        <f t="shared" si="2"/>
        <v>0</v>
      </c>
      <c r="Y52" t="str">
        <f t="shared" si="3"/>
        <v>Senior Citizen</v>
      </c>
    </row>
    <row r="53" spans="1:25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13-24 Months</v>
      </c>
      <c r="W53">
        <f t="shared" si="1"/>
        <v>1</v>
      </c>
      <c r="X53">
        <f t="shared" si="2"/>
        <v>99.1</v>
      </c>
      <c r="Y53" t="str">
        <f t="shared" si="3"/>
        <v>Non-Senior</v>
      </c>
    </row>
    <row r="54" spans="1:25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25-36 Months</v>
      </c>
      <c r="W54">
        <f t="shared" si="1"/>
        <v>0</v>
      </c>
      <c r="X54">
        <f t="shared" si="2"/>
        <v>0</v>
      </c>
      <c r="Y54" t="str">
        <f t="shared" si="3"/>
        <v>Senior Citizen</v>
      </c>
    </row>
    <row r="55" spans="1:25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0-12 Months</v>
      </c>
      <c r="W55">
        <f t="shared" si="1"/>
        <v>1</v>
      </c>
      <c r="X55">
        <f t="shared" si="2"/>
        <v>80.650000000000006</v>
      </c>
      <c r="Y55" t="str">
        <f t="shared" si="3"/>
        <v>Senior Citizen</v>
      </c>
    </row>
    <row r="56" spans="1:25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49-60 Months</v>
      </c>
      <c r="W56">
        <f t="shared" si="1"/>
        <v>0</v>
      </c>
      <c r="X56">
        <f t="shared" si="2"/>
        <v>0</v>
      </c>
      <c r="Y56" t="str">
        <f t="shared" si="3"/>
        <v>Senior Citizen</v>
      </c>
    </row>
    <row r="57" spans="1:25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13-24 Months</v>
      </c>
      <c r="W57">
        <f t="shared" si="1"/>
        <v>1</v>
      </c>
      <c r="X57">
        <f t="shared" si="2"/>
        <v>95.45</v>
      </c>
      <c r="Y57" t="str">
        <f t="shared" si="3"/>
        <v>Senior Citizen</v>
      </c>
    </row>
    <row r="58" spans="1:25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61-72 Months</v>
      </c>
      <c r="W58">
        <f t="shared" si="1"/>
        <v>0</v>
      </c>
      <c r="X58">
        <f t="shared" si="2"/>
        <v>0</v>
      </c>
      <c r="Y58" t="str">
        <f t="shared" si="3"/>
        <v>Non-Senior</v>
      </c>
    </row>
    <row r="59" spans="1:25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61-72 Months</v>
      </c>
      <c r="W59">
        <f t="shared" si="1"/>
        <v>0</v>
      </c>
      <c r="X59">
        <f t="shared" si="2"/>
        <v>0</v>
      </c>
      <c r="Y59" t="str">
        <f t="shared" si="3"/>
        <v>Senior Citizen</v>
      </c>
    </row>
    <row r="60" spans="1:25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7082</v>
      </c>
      <c r="J60" t="s">
        <v>7084</v>
      </c>
      <c r="K60" t="s">
        <v>46</v>
      </c>
      <c r="L60" t="s">
        <v>7084</v>
      </c>
      <c r="M60" t="s">
        <v>7084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25-36 Months</v>
      </c>
      <c r="W60">
        <f t="shared" si="1"/>
        <v>0</v>
      </c>
      <c r="X60">
        <f t="shared" si="2"/>
        <v>0</v>
      </c>
      <c r="Y60" t="str">
        <f t="shared" si="3"/>
        <v>Non-Senior</v>
      </c>
    </row>
    <row r="61" spans="1:25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61-72 Months</v>
      </c>
      <c r="W61">
        <f t="shared" si="1"/>
        <v>0</v>
      </c>
      <c r="X61">
        <f t="shared" si="2"/>
        <v>0</v>
      </c>
      <c r="Y61" t="str">
        <f t="shared" si="3"/>
        <v>Non-Senior</v>
      </c>
    </row>
    <row r="62" spans="1:25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37-48 Months</v>
      </c>
      <c r="W62">
        <f t="shared" si="1"/>
        <v>0</v>
      </c>
      <c r="X62">
        <f t="shared" si="2"/>
        <v>0</v>
      </c>
      <c r="Y62" t="str">
        <f t="shared" si="3"/>
        <v>Non-Senior</v>
      </c>
    </row>
    <row r="63" spans="1:25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49-60 Months</v>
      </c>
      <c r="W63">
        <f t="shared" si="1"/>
        <v>0</v>
      </c>
      <c r="X63">
        <f t="shared" si="2"/>
        <v>0</v>
      </c>
      <c r="Y63" t="str">
        <f t="shared" si="3"/>
        <v>Non-Senior</v>
      </c>
    </row>
    <row r="64" spans="1:25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61-72 Months</v>
      </c>
      <c r="W64">
        <f t="shared" si="1"/>
        <v>0</v>
      </c>
      <c r="X64">
        <f t="shared" si="2"/>
        <v>0</v>
      </c>
      <c r="Y64" t="str">
        <f t="shared" si="3"/>
        <v>Non-Senior</v>
      </c>
    </row>
    <row r="65" spans="1:25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13-24 Months</v>
      </c>
      <c r="W65">
        <f t="shared" si="1"/>
        <v>0</v>
      </c>
      <c r="X65">
        <f t="shared" si="2"/>
        <v>0</v>
      </c>
      <c r="Y65" t="str">
        <f t="shared" si="3"/>
        <v>Non-Senior</v>
      </c>
    </row>
    <row r="66" spans="1:25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si="0"/>
        <v>0-12 Months</v>
      </c>
      <c r="W66">
        <f t="shared" si="1"/>
        <v>1</v>
      </c>
      <c r="X66">
        <f t="shared" si="2"/>
        <v>94.4</v>
      </c>
      <c r="Y66" t="str">
        <f t="shared" si="3"/>
        <v>Non-Senior</v>
      </c>
    </row>
    <row r="67" spans="1:25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ref="V67:V130" si="4">IF(F67&lt;=12,"0-12 Months",IF(F67&lt;=24,"13-24 Months",IF(F67&lt;=36,"25-36 Months",IF(F67&lt;=48,"37-48 Months",IF(F67&lt;=60,"49-60 Months","61-72 Months")))))</f>
        <v>0-12 Months</v>
      </c>
      <c r="W67">
        <f t="shared" ref="W67:W130" si="5">IF(U67="Yes",1,0)</f>
        <v>0</v>
      </c>
      <c r="X67">
        <f t="shared" ref="X67:X130" si="6">IF(U67="Yes",S67,0)</f>
        <v>0</v>
      </c>
      <c r="Y67" t="str">
        <f t="shared" ref="Y67:Y130" si="7">IF(C67=1,"Senior Citizen","Non-Senior")</f>
        <v>Non-Senior</v>
      </c>
    </row>
    <row r="68" spans="1:25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4"/>
        <v>37-48 Months</v>
      </c>
      <c r="W68">
        <f t="shared" si="5"/>
        <v>0</v>
      </c>
      <c r="X68">
        <f t="shared" si="6"/>
        <v>0</v>
      </c>
      <c r="Y68" t="str">
        <f t="shared" si="7"/>
        <v>Non-Senior</v>
      </c>
    </row>
    <row r="69" spans="1:25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4"/>
        <v>25-36 Months</v>
      </c>
      <c r="W69">
        <f t="shared" si="5"/>
        <v>0</v>
      </c>
      <c r="X69">
        <f t="shared" si="6"/>
        <v>0</v>
      </c>
      <c r="Y69" t="str">
        <f t="shared" si="7"/>
        <v>Non-Senior</v>
      </c>
    </row>
    <row r="70" spans="1:25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7082</v>
      </c>
      <c r="J70" t="s">
        <v>7084</v>
      </c>
      <c r="K70" t="s">
        <v>46</v>
      </c>
      <c r="L70" t="s">
        <v>7084</v>
      </c>
      <c r="M70" t="s">
        <v>7084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4"/>
        <v>49-60 Months</v>
      </c>
      <c r="W70">
        <f t="shared" si="5"/>
        <v>0</v>
      </c>
      <c r="X70">
        <f t="shared" si="6"/>
        <v>0</v>
      </c>
      <c r="Y70" t="str">
        <f t="shared" si="7"/>
        <v>Non-Senior</v>
      </c>
    </row>
    <row r="71" spans="1:25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4"/>
        <v>0-12 Months</v>
      </c>
      <c r="W71">
        <f t="shared" si="5"/>
        <v>0</v>
      </c>
      <c r="X71">
        <f t="shared" si="6"/>
        <v>0</v>
      </c>
      <c r="Y71" t="str">
        <f t="shared" si="7"/>
        <v>Non-Senior</v>
      </c>
    </row>
    <row r="72" spans="1:25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4"/>
        <v>0-12 Months</v>
      </c>
      <c r="W72">
        <f t="shared" si="5"/>
        <v>0</v>
      </c>
      <c r="X72">
        <f t="shared" si="6"/>
        <v>0</v>
      </c>
      <c r="Y72" t="str">
        <f t="shared" si="7"/>
        <v>Non-Senior</v>
      </c>
    </row>
    <row r="73" spans="1:25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7082</v>
      </c>
      <c r="J73" t="s">
        <v>7084</v>
      </c>
      <c r="K73" t="s">
        <v>46</v>
      </c>
      <c r="L73" t="s">
        <v>7084</v>
      </c>
      <c r="M73" t="s">
        <v>7084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4"/>
        <v>49-60 Months</v>
      </c>
      <c r="W73">
        <f t="shared" si="5"/>
        <v>0</v>
      </c>
      <c r="X73">
        <f t="shared" si="6"/>
        <v>0</v>
      </c>
      <c r="Y73" t="str">
        <f t="shared" si="7"/>
        <v>Non-Senior</v>
      </c>
    </row>
    <row r="74" spans="1:25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4"/>
        <v>61-72 Months</v>
      </c>
      <c r="W74">
        <f t="shared" si="5"/>
        <v>0</v>
      </c>
      <c r="X74">
        <f t="shared" si="6"/>
        <v>0</v>
      </c>
      <c r="Y74" t="str">
        <f t="shared" si="7"/>
        <v>Senior Citizen</v>
      </c>
    </row>
    <row r="75" spans="1:25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7082</v>
      </c>
      <c r="J75" t="s">
        <v>7084</v>
      </c>
      <c r="K75" t="s">
        <v>46</v>
      </c>
      <c r="L75" t="s">
        <v>7084</v>
      </c>
      <c r="M75" t="s">
        <v>7084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4"/>
        <v>61-72 Months</v>
      </c>
      <c r="W75">
        <f t="shared" si="5"/>
        <v>0</v>
      </c>
      <c r="X75">
        <f t="shared" si="6"/>
        <v>0</v>
      </c>
      <c r="Y75" t="str">
        <f t="shared" si="7"/>
        <v>Non-Senior</v>
      </c>
    </row>
    <row r="76" spans="1:25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4"/>
        <v>0-12 Months</v>
      </c>
      <c r="W76">
        <f t="shared" si="5"/>
        <v>0</v>
      </c>
      <c r="X76">
        <f t="shared" si="6"/>
        <v>0</v>
      </c>
      <c r="Y76" t="str">
        <f t="shared" si="7"/>
        <v>Non-Senior</v>
      </c>
    </row>
    <row r="77" spans="1:25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4"/>
        <v>49-60 Months</v>
      </c>
      <c r="W77">
        <f t="shared" si="5"/>
        <v>0</v>
      </c>
      <c r="X77">
        <f t="shared" si="6"/>
        <v>0</v>
      </c>
      <c r="Y77" t="str">
        <f t="shared" si="7"/>
        <v>Senior Citizen</v>
      </c>
    </row>
    <row r="78" spans="1:25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4"/>
        <v>37-48 Months</v>
      </c>
      <c r="W78">
        <f t="shared" si="5"/>
        <v>0</v>
      </c>
      <c r="X78">
        <f t="shared" si="6"/>
        <v>0</v>
      </c>
      <c r="Y78" t="str">
        <f t="shared" si="7"/>
        <v>Non-Senior</v>
      </c>
    </row>
    <row r="79" spans="1:25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4"/>
        <v>0-12 Months</v>
      </c>
      <c r="W79">
        <f t="shared" si="5"/>
        <v>0</v>
      </c>
      <c r="X79">
        <f t="shared" si="6"/>
        <v>0</v>
      </c>
      <c r="Y79" t="str">
        <f t="shared" si="7"/>
        <v>Non-Senior</v>
      </c>
    </row>
    <row r="80" spans="1:25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4"/>
        <v>25-36 Months</v>
      </c>
      <c r="W80">
        <f t="shared" si="5"/>
        <v>0</v>
      </c>
      <c r="X80">
        <f t="shared" si="6"/>
        <v>0</v>
      </c>
      <c r="Y80" t="str">
        <f t="shared" si="7"/>
        <v>Senior Citizen</v>
      </c>
    </row>
    <row r="81" spans="1:25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7082</v>
      </c>
      <c r="J81" t="s">
        <v>7084</v>
      </c>
      <c r="K81" t="s">
        <v>46</v>
      </c>
      <c r="L81" t="s">
        <v>7084</v>
      </c>
      <c r="M81" t="s">
        <v>7084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4"/>
        <v>37-48 Months</v>
      </c>
      <c r="W81">
        <f t="shared" si="5"/>
        <v>0</v>
      </c>
      <c r="X81">
        <f t="shared" si="6"/>
        <v>0</v>
      </c>
      <c r="Y81" t="str">
        <f t="shared" si="7"/>
        <v>Non-Senior</v>
      </c>
    </row>
    <row r="82" spans="1:25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4"/>
        <v>0-12 Months</v>
      </c>
      <c r="W82">
        <f t="shared" si="5"/>
        <v>1</v>
      </c>
      <c r="X82">
        <f t="shared" si="6"/>
        <v>79.349999999999994</v>
      </c>
      <c r="Y82" t="str">
        <f t="shared" si="7"/>
        <v>Non-Senior</v>
      </c>
    </row>
    <row r="83" spans="1:25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4"/>
        <v>0-12 Months</v>
      </c>
      <c r="W83">
        <f t="shared" si="5"/>
        <v>0</v>
      </c>
      <c r="X83">
        <f t="shared" si="6"/>
        <v>0</v>
      </c>
      <c r="Y83" t="str">
        <f t="shared" si="7"/>
        <v>Non-Senior</v>
      </c>
    </row>
    <row r="84" spans="1:25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4"/>
        <v>0-12 Months</v>
      </c>
      <c r="W84">
        <f t="shared" si="5"/>
        <v>1</v>
      </c>
      <c r="X84">
        <f t="shared" si="6"/>
        <v>75.150000000000006</v>
      </c>
      <c r="Y84" t="str">
        <f t="shared" si="7"/>
        <v>Non-Senior</v>
      </c>
    </row>
    <row r="85" spans="1:25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4"/>
        <v>37-48 Months</v>
      </c>
      <c r="W85">
        <f t="shared" si="5"/>
        <v>0</v>
      </c>
      <c r="X85">
        <f t="shared" si="6"/>
        <v>0</v>
      </c>
      <c r="Y85" t="str">
        <f t="shared" si="7"/>
        <v>Non-Senior</v>
      </c>
    </row>
    <row r="86" spans="1:25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7082</v>
      </c>
      <c r="J86" t="s">
        <v>7084</v>
      </c>
      <c r="K86" t="s">
        <v>46</v>
      </c>
      <c r="L86" t="s">
        <v>7084</v>
      </c>
      <c r="M86" t="s">
        <v>7084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4"/>
        <v>49-60 Months</v>
      </c>
      <c r="W86">
        <f t="shared" si="5"/>
        <v>0</v>
      </c>
      <c r="X86">
        <f t="shared" si="6"/>
        <v>0</v>
      </c>
      <c r="Y86" t="str">
        <f t="shared" si="7"/>
        <v>Non-Senior</v>
      </c>
    </row>
    <row r="87" spans="1:25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4"/>
        <v>0-12 Months</v>
      </c>
      <c r="W87">
        <f t="shared" si="5"/>
        <v>0</v>
      </c>
      <c r="X87">
        <f t="shared" si="6"/>
        <v>0</v>
      </c>
      <c r="Y87" t="str">
        <f t="shared" si="7"/>
        <v>Non-Senior</v>
      </c>
    </row>
    <row r="88" spans="1:25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4"/>
        <v>25-36 Months</v>
      </c>
      <c r="W88">
        <f t="shared" si="5"/>
        <v>0</v>
      </c>
      <c r="X88">
        <f t="shared" si="6"/>
        <v>0</v>
      </c>
      <c r="Y88" t="str">
        <f t="shared" si="7"/>
        <v>Non-Senior</v>
      </c>
    </row>
    <row r="89" spans="1:25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7082</v>
      </c>
      <c r="J89" t="s">
        <v>7084</v>
      </c>
      <c r="K89" t="s">
        <v>46</v>
      </c>
      <c r="L89" t="s">
        <v>7084</v>
      </c>
      <c r="M89" t="s">
        <v>7084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4"/>
        <v>37-48 Months</v>
      </c>
      <c r="W89">
        <f t="shared" si="5"/>
        <v>0</v>
      </c>
      <c r="X89">
        <f t="shared" si="6"/>
        <v>0</v>
      </c>
      <c r="Y89" t="str">
        <f t="shared" si="7"/>
        <v>Non-Senior</v>
      </c>
    </row>
    <row r="90" spans="1:25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7082</v>
      </c>
      <c r="J90" t="s">
        <v>7084</v>
      </c>
      <c r="K90" t="s">
        <v>46</v>
      </c>
      <c r="L90" t="s">
        <v>7084</v>
      </c>
      <c r="M90" t="s">
        <v>7084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4"/>
        <v>37-48 Months</v>
      </c>
      <c r="W90">
        <f t="shared" si="5"/>
        <v>0</v>
      </c>
      <c r="X90">
        <f t="shared" si="6"/>
        <v>0</v>
      </c>
      <c r="Y90" t="str">
        <f t="shared" si="7"/>
        <v>Non-Senior</v>
      </c>
    </row>
    <row r="91" spans="1:25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4"/>
        <v>25-36 Months</v>
      </c>
      <c r="W91">
        <f t="shared" si="5"/>
        <v>0</v>
      </c>
      <c r="X91">
        <f t="shared" si="6"/>
        <v>0</v>
      </c>
      <c r="Y91" t="str">
        <f t="shared" si="7"/>
        <v>Non-Senior</v>
      </c>
    </row>
    <row r="92" spans="1:25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4"/>
        <v>25-36 Months</v>
      </c>
      <c r="W92">
        <f t="shared" si="5"/>
        <v>0</v>
      </c>
      <c r="X92">
        <f t="shared" si="6"/>
        <v>0</v>
      </c>
      <c r="Y92" t="str">
        <f t="shared" si="7"/>
        <v>Non-Senior</v>
      </c>
    </row>
    <row r="93" spans="1:25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4"/>
        <v>0-12 Months</v>
      </c>
      <c r="W93">
        <f t="shared" si="5"/>
        <v>0</v>
      </c>
      <c r="X93">
        <f t="shared" si="6"/>
        <v>0</v>
      </c>
      <c r="Y93" t="str">
        <f t="shared" si="7"/>
        <v>Senior Citizen</v>
      </c>
    </row>
    <row r="94" spans="1:25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4"/>
        <v>61-72 Months</v>
      </c>
      <c r="W94">
        <f t="shared" si="5"/>
        <v>0</v>
      </c>
      <c r="X94">
        <f t="shared" si="6"/>
        <v>0</v>
      </c>
      <c r="Y94" t="str">
        <f t="shared" si="7"/>
        <v>Non-Senior</v>
      </c>
    </row>
    <row r="95" spans="1:25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4"/>
        <v>61-72 Months</v>
      </c>
      <c r="W95">
        <f t="shared" si="5"/>
        <v>0</v>
      </c>
      <c r="X95">
        <f t="shared" si="6"/>
        <v>0</v>
      </c>
      <c r="Y95" t="str">
        <f t="shared" si="7"/>
        <v>Non-Senior</v>
      </c>
    </row>
    <row r="96" spans="1:25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4"/>
        <v>61-72 Months</v>
      </c>
      <c r="W96">
        <f t="shared" si="5"/>
        <v>0</v>
      </c>
      <c r="X96">
        <f t="shared" si="6"/>
        <v>0</v>
      </c>
      <c r="Y96" t="str">
        <f t="shared" si="7"/>
        <v>Non-Senior</v>
      </c>
    </row>
    <row r="97" spans="1:25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4"/>
        <v>0-12 Months</v>
      </c>
      <c r="W97">
        <f t="shared" si="5"/>
        <v>1</v>
      </c>
      <c r="X97">
        <f t="shared" si="6"/>
        <v>78.95</v>
      </c>
      <c r="Y97" t="str">
        <f t="shared" si="7"/>
        <v>Non-Senior</v>
      </c>
    </row>
    <row r="98" spans="1:25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4"/>
        <v>61-72 Months</v>
      </c>
      <c r="W98">
        <f t="shared" si="5"/>
        <v>0</v>
      </c>
      <c r="X98">
        <f t="shared" si="6"/>
        <v>0</v>
      </c>
      <c r="Y98" t="str">
        <f t="shared" si="7"/>
        <v>Non-Senior</v>
      </c>
    </row>
    <row r="99" spans="1:25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7082</v>
      </c>
      <c r="J99" t="s">
        <v>7084</v>
      </c>
      <c r="K99" t="s">
        <v>46</v>
      </c>
      <c r="L99" t="s">
        <v>7084</v>
      </c>
      <c r="M99" t="s">
        <v>7084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4"/>
        <v>0-12 Months</v>
      </c>
      <c r="W99">
        <f t="shared" si="5"/>
        <v>1</v>
      </c>
      <c r="X99">
        <f t="shared" si="6"/>
        <v>21.05</v>
      </c>
      <c r="Y99" t="str">
        <f t="shared" si="7"/>
        <v>Non-Senior</v>
      </c>
    </row>
    <row r="100" spans="1:25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7082</v>
      </c>
      <c r="J100" t="s">
        <v>7084</v>
      </c>
      <c r="K100" t="s">
        <v>46</v>
      </c>
      <c r="L100" t="s">
        <v>7084</v>
      </c>
      <c r="M100" t="s">
        <v>7084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4"/>
        <v>49-60 Months</v>
      </c>
      <c r="W100">
        <f t="shared" si="5"/>
        <v>0</v>
      </c>
      <c r="X100">
        <f t="shared" si="6"/>
        <v>0</v>
      </c>
      <c r="Y100" t="str">
        <f t="shared" si="7"/>
        <v>Non-Senior</v>
      </c>
    </row>
    <row r="101" spans="1:25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4"/>
        <v>25-36 Months</v>
      </c>
      <c r="W101">
        <f t="shared" si="5"/>
        <v>1</v>
      </c>
      <c r="X101">
        <f t="shared" si="6"/>
        <v>98.5</v>
      </c>
      <c r="Y101" t="str">
        <f t="shared" si="7"/>
        <v>Senior Citizen</v>
      </c>
    </row>
    <row r="102" spans="1:25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7082</v>
      </c>
      <c r="J102" t="s">
        <v>7084</v>
      </c>
      <c r="K102" t="s">
        <v>46</v>
      </c>
      <c r="L102" t="s">
        <v>7084</v>
      </c>
      <c r="M102" t="s">
        <v>7084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4"/>
        <v>0-12 Months</v>
      </c>
      <c r="W102">
        <f t="shared" si="5"/>
        <v>0</v>
      </c>
      <c r="X102">
        <f t="shared" si="6"/>
        <v>0</v>
      </c>
      <c r="Y102" t="str">
        <f t="shared" si="7"/>
        <v>Non-Senior</v>
      </c>
    </row>
    <row r="103" spans="1:25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7082</v>
      </c>
      <c r="J103" t="s">
        <v>7084</v>
      </c>
      <c r="K103" t="s">
        <v>46</v>
      </c>
      <c r="L103" t="s">
        <v>7084</v>
      </c>
      <c r="M103" t="s">
        <v>7084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4"/>
        <v>0-12 Months</v>
      </c>
      <c r="W103">
        <f t="shared" si="5"/>
        <v>0</v>
      </c>
      <c r="X103">
        <f t="shared" si="6"/>
        <v>0</v>
      </c>
      <c r="Y103" t="str">
        <f t="shared" si="7"/>
        <v>Non-Senior</v>
      </c>
    </row>
    <row r="104" spans="1:25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4"/>
        <v>37-48 Months</v>
      </c>
      <c r="W104">
        <f t="shared" si="5"/>
        <v>0</v>
      </c>
      <c r="X104">
        <f t="shared" si="6"/>
        <v>0</v>
      </c>
      <c r="Y104" t="str">
        <f t="shared" si="7"/>
        <v>Non-Senior</v>
      </c>
    </row>
    <row r="105" spans="1:25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4"/>
        <v>61-72 Months</v>
      </c>
      <c r="W105">
        <f t="shared" si="5"/>
        <v>0</v>
      </c>
      <c r="X105">
        <f t="shared" si="6"/>
        <v>0</v>
      </c>
      <c r="Y105" t="str">
        <f t="shared" si="7"/>
        <v>Senior Citizen</v>
      </c>
    </row>
    <row r="106" spans="1:25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4"/>
        <v>61-72 Months</v>
      </c>
      <c r="W106">
        <f t="shared" si="5"/>
        <v>1</v>
      </c>
      <c r="X106">
        <f t="shared" si="6"/>
        <v>110</v>
      </c>
      <c r="Y106" t="str">
        <f t="shared" si="7"/>
        <v>Non-Senior</v>
      </c>
    </row>
    <row r="107" spans="1:25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4"/>
        <v>0-12 Months</v>
      </c>
      <c r="W107">
        <f t="shared" si="5"/>
        <v>0</v>
      </c>
      <c r="X107">
        <f t="shared" si="6"/>
        <v>0</v>
      </c>
      <c r="Y107" t="str">
        <f t="shared" si="7"/>
        <v>Non-Senior</v>
      </c>
    </row>
    <row r="108" spans="1:25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4"/>
        <v>61-72 Months</v>
      </c>
      <c r="W108">
        <f t="shared" si="5"/>
        <v>0</v>
      </c>
      <c r="X108">
        <f t="shared" si="6"/>
        <v>0</v>
      </c>
      <c r="Y108" t="str">
        <f t="shared" si="7"/>
        <v>Non-Senior</v>
      </c>
    </row>
    <row r="109" spans="1:25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4"/>
        <v>25-36 Months</v>
      </c>
      <c r="W109">
        <f t="shared" si="5"/>
        <v>0</v>
      </c>
      <c r="X109">
        <f t="shared" si="6"/>
        <v>0</v>
      </c>
      <c r="Y109" t="str">
        <f t="shared" si="7"/>
        <v>Non-Senior</v>
      </c>
    </row>
    <row r="110" spans="1:25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4"/>
        <v>37-48 Months</v>
      </c>
      <c r="W110">
        <f t="shared" si="5"/>
        <v>0</v>
      </c>
      <c r="X110">
        <f t="shared" si="6"/>
        <v>0</v>
      </c>
      <c r="Y110" t="str">
        <f t="shared" si="7"/>
        <v>Non-Senior</v>
      </c>
    </row>
    <row r="111" spans="1:25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7082</v>
      </c>
      <c r="J111" t="s">
        <v>7084</v>
      </c>
      <c r="K111" t="s">
        <v>46</v>
      </c>
      <c r="L111" t="s">
        <v>7084</v>
      </c>
      <c r="M111" t="s">
        <v>7084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4"/>
        <v>61-72 Months</v>
      </c>
      <c r="W111">
        <f t="shared" si="5"/>
        <v>0</v>
      </c>
      <c r="X111">
        <f t="shared" si="6"/>
        <v>0</v>
      </c>
      <c r="Y111" t="str">
        <f t="shared" si="7"/>
        <v>Non-Senior</v>
      </c>
    </row>
    <row r="112" spans="1:25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4"/>
        <v>49-60 Months</v>
      </c>
      <c r="W112">
        <f t="shared" si="5"/>
        <v>1</v>
      </c>
      <c r="X112">
        <f t="shared" si="6"/>
        <v>96.75</v>
      </c>
      <c r="Y112" t="str">
        <f t="shared" si="7"/>
        <v>Non-Senior</v>
      </c>
    </row>
    <row r="113" spans="1:25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4"/>
        <v>49-60 Months</v>
      </c>
      <c r="W113">
        <f t="shared" si="5"/>
        <v>0</v>
      </c>
      <c r="X113">
        <f t="shared" si="6"/>
        <v>0</v>
      </c>
      <c r="Y113" t="str">
        <f t="shared" si="7"/>
        <v>Non-Senior</v>
      </c>
    </row>
    <row r="114" spans="1:25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4"/>
        <v>37-48 Months</v>
      </c>
      <c r="W114">
        <f t="shared" si="5"/>
        <v>0</v>
      </c>
      <c r="X114">
        <f t="shared" si="6"/>
        <v>0</v>
      </c>
      <c r="Y114" t="str">
        <f t="shared" si="7"/>
        <v>Non-Senior</v>
      </c>
    </row>
    <row r="115" spans="1:25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4"/>
        <v>37-48 Months</v>
      </c>
      <c r="W115">
        <f t="shared" si="5"/>
        <v>1</v>
      </c>
      <c r="X115">
        <f t="shared" si="6"/>
        <v>76.5</v>
      </c>
      <c r="Y115" t="str">
        <f t="shared" si="7"/>
        <v>Senior Citizen</v>
      </c>
    </row>
    <row r="116" spans="1:25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4"/>
        <v>61-72 Months</v>
      </c>
      <c r="W116">
        <f t="shared" si="5"/>
        <v>0</v>
      </c>
      <c r="X116">
        <f t="shared" si="6"/>
        <v>0</v>
      </c>
      <c r="Y116" t="str">
        <f t="shared" si="7"/>
        <v>Non-Senior</v>
      </c>
    </row>
    <row r="117" spans="1:25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4"/>
        <v>0-12 Months</v>
      </c>
      <c r="W117">
        <f t="shared" si="5"/>
        <v>0</v>
      </c>
      <c r="X117">
        <f t="shared" si="6"/>
        <v>0</v>
      </c>
      <c r="Y117" t="str">
        <f t="shared" si="7"/>
        <v>Non-Senior</v>
      </c>
    </row>
    <row r="118" spans="1:25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4"/>
        <v>25-36 Months</v>
      </c>
      <c r="W118">
        <f t="shared" si="5"/>
        <v>0</v>
      </c>
      <c r="X118">
        <f t="shared" si="6"/>
        <v>0</v>
      </c>
      <c r="Y118" t="str">
        <f t="shared" si="7"/>
        <v>Non-Senior</v>
      </c>
    </row>
    <row r="119" spans="1:25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4"/>
        <v>0-12 Months</v>
      </c>
      <c r="W119">
        <f t="shared" si="5"/>
        <v>1</v>
      </c>
      <c r="X119">
        <f t="shared" si="6"/>
        <v>100.25</v>
      </c>
      <c r="Y119" t="str">
        <f t="shared" si="7"/>
        <v>Non-Senior</v>
      </c>
    </row>
    <row r="120" spans="1:25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7082</v>
      </c>
      <c r="J120" t="s">
        <v>7084</v>
      </c>
      <c r="K120" t="s">
        <v>46</v>
      </c>
      <c r="L120" t="s">
        <v>7084</v>
      </c>
      <c r="M120" t="s">
        <v>7084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4"/>
        <v>37-48 Months</v>
      </c>
      <c r="W120">
        <f t="shared" si="5"/>
        <v>0</v>
      </c>
      <c r="X120">
        <f t="shared" si="6"/>
        <v>0</v>
      </c>
      <c r="Y120" t="str">
        <f t="shared" si="7"/>
        <v>Non-Senior</v>
      </c>
    </row>
    <row r="121" spans="1:25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4"/>
        <v>25-36 Months</v>
      </c>
      <c r="W121">
        <f t="shared" si="5"/>
        <v>0</v>
      </c>
      <c r="X121">
        <f t="shared" si="6"/>
        <v>0</v>
      </c>
      <c r="Y121" t="str">
        <f t="shared" si="7"/>
        <v>Non-Senior</v>
      </c>
    </row>
    <row r="122" spans="1:25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4"/>
        <v>49-60 Months</v>
      </c>
      <c r="W122">
        <f t="shared" si="5"/>
        <v>0</v>
      </c>
      <c r="X122">
        <f t="shared" si="6"/>
        <v>0</v>
      </c>
      <c r="Y122" t="str">
        <f t="shared" si="7"/>
        <v>Non-Senior</v>
      </c>
    </row>
    <row r="123" spans="1:25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7082</v>
      </c>
      <c r="J123" t="s">
        <v>7084</v>
      </c>
      <c r="K123" t="s">
        <v>46</v>
      </c>
      <c r="L123" t="s">
        <v>7084</v>
      </c>
      <c r="M123" t="s">
        <v>7084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4"/>
        <v>0-12 Months</v>
      </c>
      <c r="W123">
        <f t="shared" si="5"/>
        <v>0</v>
      </c>
      <c r="X123">
        <f t="shared" si="6"/>
        <v>0</v>
      </c>
      <c r="Y123" t="str">
        <f t="shared" si="7"/>
        <v>Non-Senior</v>
      </c>
    </row>
    <row r="124" spans="1:25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4"/>
        <v>0-12 Months</v>
      </c>
      <c r="W124">
        <f t="shared" si="5"/>
        <v>1</v>
      </c>
      <c r="X124">
        <f t="shared" si="6"/>
        <v>74.400000000000006</v>
      </c>
      <c r="Y124" t="str">
        <f t="shared" si="7"/>
        <v>Non-Senior</v>
      </c>
    </row>
    <row r="125" spans="1:25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4"/>
        <v>0-12 Months</v>
      </c>
      <c r="W125">
        <f t="shared" si="5"/>
        <v>0</v>
      </c>
      <c r="X125">
        <f t="shared" si="6"/>
        <v>0</v>
      </c>
      <c r="Y125" t="str">
        <f t="shared" si="7"/>
        <v>Non-Senior</v>
      </c>
    </row>
    <row r="126" spans="1:25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7082</v>
      </c>
      <c r="J126" t="s">
        <v>7084</v>
      </c>
      <c r="K126" t="s">
        <v>46</v>
      </c>
      <c r="L126" t="s">
        <v>7084</v>
      </c>
      <c r="M126" t="s">
        <v>7084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4"/>
        <v>0-12 Months</v>
      </c>
      <c r="W126">
        <f t="shared" si="5"/>
        <v>0</v>
      </c>
      <c r="X126">
        <f t="shared" si="6"/>
        <v>0</v>
      </c>
      <c r="Y126" t="str">
        <f t="shared" si="7"/>
        <v>Non-Senior</v>
      </c>
    </row>
    <row r="127" spans="1:25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4"/>
        <v>25-36 Months</v>
      </c>
      <c r="W127">
        <f t="shared" si="5"/>
        <v>0</v>
      </c>
      <c r="X127">
        <f t="shared" si="6"/>
        <v>0</v>
      </c>
      <c r="Y127" t="str">
        <f t="shared" si="7"/>
        <v>Non-Senior</v>
      </c>
    </row>
    <row r="128" spans="1:25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4"/>
        <v>25-36 Months</v>
      </c>
      <c r="W128">
        <f t="shared" si="5"/>
        <v>1</v>
      </c>
      <c r="X128">
        <f t="shared" si="6"/>
        <v>78.05</v>
      </c>
      <c r="Y128" t="str">
        <f t="shared" si="7"/>
        <v>Senior Citizen</v>
      </c>
    </row>
    <row r="129" spans="1:25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7082</v>
      </c>
      <c r="J129" t="s">
        <v>7084</v>
      </c>
      <c r="K129" t="s">
        <v>46</v>
      </c>
      <c r="L129" t="s">
        <v>7084</v>
      </c>
      <c r="M129" t="s">
        <v>7084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4"/>
        <v>61-72 Months</v>
      </c>
      <c r="W129">
        <f t="shared" si="5"/>
        <v>0</v>
      </c>
      <c r="X129">
        <f t="shared" si="6"/>
        <v>0</v>
      </c>
      <c r="Y129" t="str">
        <f t="shared" si="7"/>
        <v>Non-Senior</v>
      </c>
    </row>
    <row r="130" spans="1:25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7082</v>
      </c>
      <c r="J130" t="s">
        <v>7084</v>
      </c>
      <c r="K130" t="s">
        <v>46</v>
      </c>
      <c r="L130" t="s">
        <v>7084</v>
      </c>
      <c r="M130" t="s">
        <v>7084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si="4"/>
        <v>0-12 Months</v>
      </c>
      <c r="W130">
        <f t="shared" si="5"/>
        <v>0</v>
      </c>
      <c r="X130">
        <f t="shared" si="6"/>
        <v>0</v>
      </c>
      <c r="Y130" t="str">
        <f t="shared" si="7"/>
        <v>Non-Senior</v>
      </c>
    </row>
    <row r="131" spans="1:25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ref="V131:V194" si="8">IF(F131&lt;=12,"0-12 Months",IF(F131&lt;=24,"13-24 Months",IF(F131&lt;=36,"25-36 Months",IF(F131&lt;=48,"37-48 Months",IF(F131&lt;=60,"49-60 Months","61-72 Months")))))</f>
        <v>61-72 Months</v>
      </c>
      <c r="W131">
        <f t="shared" ref="W131:W194" si="9">IF(U131="Yes",1,0)</f>
        <v>0</v>
      </c>
      <c r="X131">
        <f t="shared" ref="X131:X194" si="10">IF(U131="Yes",S131,0)</f>
        <v>0</v>
      </c>
      <c r="Y131" t="str">
        <f t="shared" ref="Y131:Y194" si="11">IF(C131=1,"Senior Citizen","Non-Senior")</f>
        <v>Senior Citizen</v>
      </c>
    </row>
    <row r="132" spans="1:25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8"/>
        <v>13-24 Months</v>
      </c>
      <c r="W132">
        <f t="shared" si="9"/>
        <v>0</v>
      </c>
      <c r="X132">
        <f t="shared" si="10"/>
        <v>0</v>
      </c>
      <c r="Y132" t="str">
        <f t="shared" si="11"/>
        <v>Non-Senior</v>
      </c>
    </row>
    <row r="133" spans="1:25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8"/>
        <v>25-36 Months</v>
      </c>
      <c r="W133">
        <f t="shared" si="9"/>
        <v>1</v>
      </c>
      <c r="X133">
        <f t="shared" si="10"/>
        <v>58.6</v>
      </c>
      <c r="Y133" t="str">
        <f t="shared" si="11"/>
        <v>Non-Senior</v>
      </c>
    </row>
    <row r="134" spans="1:25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8"/>
        <v>61-72 Months</v>
      </c>
      <c r="W134">
        <f t="shared" si="9"/>
        <v>0</v>
      </c>
      <c r="X134">
        <f t="shared" si="10"/>
        <v>0</v>
      </c>
      <c r="Y134" t="str">
        <f t="shared" si="11"/>
        <v>Non-Senior</v>
      </c>
    </row>
    <row r="135" spans="1:25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8"/>
        <v>0-12 Months</v>
      </c>
      <c r="W135">
        <f t="shared" si="9"/>
        <v>1</v>
      </c>
      <c r="X135">
        <f t="shared" si="10"/>
        <v>35.450000000000003</v>
      </c>
      <c r="Y135" t="str">
        <f t="shared" si="11"/>
        <v>Non-Senior</v>
      </c>
    </row>
    <row r="136" spans="1:25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8"/>
        <v>0-12 Months</v>
      </c>
      <c r="W136">
        <f t="shared" si="9"/>
        <v>1</v>
      </c>
      <c r="X136">
        <f t="shared" si="10"/>
        <v>44.35</v>
      </c>
      <c r="Y136" t="str">
        <f t="shared" si="11"/>
        <v>Non-Senior</v>
      </c>
    </row>
    <row r="137" spans="1:25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7082</v>
      </c>
      <c r="J137" t="s">
        <v>7084</v>
      </c>
      <c r="K137" t="s">
        <v>46</v>
      </c>
      <c r="L137" t="s">
        <v>7084</v>
      </c>
      <c r="M137" t="s">
        <v>7084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8"/>
        <v>37-48 Months</v>
      </c>
      <c r="W137">
        <f t="shared" si="9"/>
        <v>0</v>
      </c>
      <c r="X137">
        <f t="shared" si="10"/>
        <v>0</v>
      </c>
      <c r="Y137" t="str">
        <f t="shared" si="11"/>
        <v>Non-Senior</v>
      </c>
    </row>
    <row r="138" spans="1:25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8"/>
        <v>13-24 Months</v>
      </c>
      <c r="W138">
        <f t="shared" si="9"/>
        <v>0</v>
      </c>
      <c r="X138">
        <f t="shared" si="10"/>
        <v>0</v>
      </c>
      <c r="Y138" t="str">
        <f t="shared" si="11"/>
        <v>Non-Senior</v>
      </c>
    </row>
    <row r="139" spans="1:25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7082</v>
      </c>
      <c r="J139" t="s">
        <v>7084</v>
      </c>
      <c r="K139" t="s">
        <v>46</v>
      </c>
      <c r="L139" t="s">
        <v>7084</v>
      </c>
      <c r="M139" t="s">
        <v>7084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8"/>
        <v>61-72 Months</v>
      </c>
      <c r="W139">
        <f t="shared" si="9"/>
        <v>0</v>
      </c>
      <c r="X139">
        <f t="shared" si="10"/>
        <v>0</v>
      </c>
      <c r="Y139" t="str">
        <f t="shared" si="11"/>
        <v>Non-Senior</v>
      </c>
    </row>
    <row r="140" spans="1:25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7082</v>
      </c>
      <c r="J140" t="s">
        <v>7084</v>
      </c>
      <c r="K140" t="s">
        <v>46</v>
      </c>
      <c r="L140" t="s">
        <v>7084</v>
      </c>
      <c r="M140" t="s">
        <v>7084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8"/>
        <v>49-60 Months</v>
      </c>
      <c r="W140">
        <f t="shared" si="9"/>
        <v>0</v>
      </c>
      <c r="X140">
        <f t="shared" si="10"/>
        <v>0</v>
      </c>
      <c r="Y140" t="str">
        <f t="shared" si="11"/>
        <v>Non-Senior</v>
      </c>
    </row>
    <row r="141" spans="1:25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8"/>
        <v>0-12 Months</v>
      </c>
      <c r="W141">
        <f t="shared" si="9"/>
        <v>1</v>
      </c>
      <c r="X141">
        <f t="shared" si="10"/>
        <v>70.45</v>
      </c>
      <c r="Y141" t="str">
        <f t="shared" si="11"/>
        <v>Senior Citizen</v>
      </c>
    </row>
    <row r="142" spans="1:25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8"/>
        <v>61-72 Months</v>
      </c>
      <c r="W142">
        <f t="shared" si="9"/>
        <v>0</v>
      </c>
      <c r="X142">
        <f t="shared" si="10"/>
        <v>0</v>
      </c>
      <c r="Y142" t="str">
        <f t="shared" si="11"/>
        <v>Senior Citizen</v>
      </c>
    </row>
    <row r="143" spans="1:25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8"/>
        <v>0-12 Months</v>
      </c>
      <c r="W143">
        <f t="shared" si="9"/>
        <v>1</v>
      </c>
      <c r="X143">
        <f t="shared" si="10"/>
        <v>71.150000000000006</v>
      </c>
      <c r="Y143" t="str">
        <f t="shared" si="11"/>
        <v>Non-Senior</v>
      </c>
    </row>
    <row r="144" spans="1:25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8"/>
        <v>61-72 Months</v>
      </c>
      <c r="W144">
        <f t="shared" si="9"/>
        <v>0</v>
      </c>
      <c r="X144">
        <f t="shared" si="10"/>
        <v>0</v>
      </c>
      <c r="Y144" t="str">
        <f t="shared" si="11"/>
        <v>Non-Senior</v>
      </c>
    </row>
    <row r="145" spans="1:25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8"/>
        <v>61-72 Months</v>
      </c>
      <c r="W145">
        <f t="shared" si="9"/>
        <v>0</v>
      </c>
      <c r="X145">
        <f t="shared" si="10"/>
        <v>0</v>
      </c>
      <c r="Y145" t="str">
        <f t="shared" si="11"/>
        <v>Non-Senior</v>
      </c>
    </row>
    <row r="146" spans="1:25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7082</v>
      </c>
      <c r="J146" t="s">
        <v>7084</v>
      </c>
      <c r="K146" t="s">
        <v>46</v>
      </c>
      <c r="L146" t="s">
        <v>7084</v>
      </c>
      <c r="M146" t="s">
        <v>7084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8"/>
        <v>61-72 Months</v>
      </c>
      <c r="W146">
        <f t="shared" si="9"/>
        <v>0</v>
      </c>
      <c r="X146">
        <f t="shared" si="10"/>
        <v>0</v>
      </c>
      <c r="Y146" t="str">
        <f t="shared" si="11"/>
        <v>Senior Citizen</v>
      </c>
    </row>
    <row r="147" spans="1:25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8"/>
        <v>61-72 Months</v>
      </c>
      <c r="W147">
        <f t="shared" si="9"/>
        <v>0</v>
      </c>
      <c r="X147">
        <f t="shared" si="10"/>
        <v>0</v>
      </c>
      <c r="Y147" t="str">
        <f t="shared" si="11"/>
        <v>Non-Senior</v>
      </c>
    </row>
    <row r="148" spans="1:25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7082</v>
      </c>
      <c r="J148" t="s">
        <v>7084</v>
      </c>
      <c r="K148" t="s">
        <v>46</v>
      </c>
      <c r="L148" t="s">
        <v>7084</v>
      </c>
      <c r="M148" t="s">
        <v>7084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8"/>
        <v>0-12 Months</v>
      </c>
      <c r="W148">
        <f t="shared" si="9"/>
        <v>0</v>
      </c>
      <c r="X148">
        <f t="shared" si="10"/>
        <v>0</v>
      </c>
      <c r="Y148" t="str">
        <f t="shared" si="11"/>
        <v>Non-Senior</v>
      </c>
    </row>
    <row r="149" spans="1:25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8"/>
        <v>0-12 Months</v>
      </c>
      <c r="W149">
        <f t="shared" si="9"/>
        <v>1</v>
      </c>
      <c r="X149">
        <f t="shared" si="10"/>
        <v>45.65</v>
      </c>
      <c r="Y149" t="str">
        <f t="shared" si="11"/>
        <v>Non-Senior</v>
      </c>
    </row>
    <row r="150" spans="1:25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8"/>
        <v>25-36 Months</v>
      </c>
      <c r="W150">
        <f t="shared" si="9"/>
        <v>0</v>
      </c>
      <c r="X150">
        <f t="shared" si="10"/>
        <v>0</v>
      </c>
      <c r="Y150" t="str">
        <f t="shared" si="11"/>
        <v>Non-Senior</v>
      </c>
    </row>
    <row r="151" spans="1:25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8"/>
        <v>13-24 Months</v>
      </c>
      <c r="W151">
        <f t="shared" si="9"/>
        <v>0</v>
      </c>
      <c r="X151">
        <f t="shared" si="10"/>
        <v>0</v>
      </c>
      <c r="Y151" t="str">
        <f t="shared" si="11"/>
        <v>Non-Senior</v>
      </c>
    </row>
    <row r="152" spans="1:25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8"/>
        <v>0-12 Months</v>
      </c>
      <c r="W152">
        <f t="shared" si="9"/>
        <v>0</v>
      </c>
      <c r="X152">
        <f t="shared" si="10"/>
        <v>0</v>
      </c>
      <c r="Y152" t="str">
        <f t="shared" si="11"/>
        <v>Non-Senior</v>
      </c>
    </row>
    <row r="153" spans="1:25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8"/>
        <v>0-12 Months</v>
      </c>
      <c r="W153">
        <f t="shared" si="9"/>
        <v>1</v>
      </c>
      <c r="X153">
        <f t="shared" si="10"/>
        <v>95</v>
      </c>
      <c r="Y153" t="str">
        <f t="shared" si="11"/>
        <v>Non-Senior</v>
      </c>
    </row>
    <row r="154" spans="1:25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8"/>
        <v>61-72 Months</v>
      </c>
      <c r="W154">
        <f t="shared" si="9"/>
        <v>0</v>
      </c>
      <c r="X154">
        <f t="shared" si="10"/>
        <v>0</v>
      </c>
      <c r="Y154" t="str">
        <f t="shared" si="11"/>
        <v>Non-Senior</v>
      </c>
    </row>
    <row r="155" spans="1:25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8"/>
        <v>61-72 Months</v>
      </c>
      <c r="W155">
        <f t="shared" si="9"/>
        <v>0</v>
      </c>
      <c r="X155">
        <f t="shared" si="10"/>
        <v>0</v>
      </c>
      <c r="Y155" t="str">
        <f t="shared" si="11"/>
        <v>Non-Senior</v>
      </c>
    </row>
    <row r="156" spans="1:25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7082</v>
      </c>
      <c r="J156" t="s">
        <v>7084</v>
      </c>
      <c r="K156" t="s">
        <v>46</v>
      </c>
      <c r="L156" t="s">
        <v>7084</v>
      </c>
      <c r="M156" t="s">
        <v>7084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8"/>
        <v>0-12 Months</v>
      </c>
      <c r="W156">
        <f t="shared" si="9"/>
        <v>0</v>
      </c>
      <c r="X156">
        <f t="shared" si="10"/>
        <v>0</v>
      </c>
      <c r="Y156" t="str">
        <f t="shared" si="11"/>
        <v>Non-Senior</v>
      </c>
    </row>
    <row r="157" spans="1:25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8"/>
        <v>13-24 Months</v>
      </c>
      <c r="W157">
        <f t="shared" si="9"/>
        <v>0</v>
      </c>
      <c r="X157">
        <f t="shared" si="10"/>
        <v>0</v>
      </c>
      <c r="Y157" t="str">
        <f t="shared" si="11"/>
        <v>Non-Senior</v>
      </c>
    </row>
    <row r="158" spans="1:25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8"/>
        <v>13-24 Months</v>
      </c>
      <c r="W158">
        <f t="shared" si="9"/>
        <v>0</v>
      </c>
      <c r="X158">
        <f t="shared" si="10"/>
        <v>0</v>
      </c>
      <c r="Y158" t="str">
        <f t="shared" si="11"/>
        <v>Non-Senior</v>
      </c>
    </row>
    <row r="159" spans="1:25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7082</v>
      </c>
      <c r="J159" t="s">
        <v>7084</v>
      </c>
      <c r="K159" t="s">
        <v>46</v>
      </c>
      <c r="L159" t="s">
        <v>7084</v>
      </c>
      <c r="M159" t="s">
        <v>7084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8"/>
        <v>13-24 Months</v>
      </c>
      <c r="W159">
        <f t="shared" si="9"/>
        <v>0</v>
      </c>
      <c r="X159">
        <f t="shared" si="10"/>
        <v>0</v>
      </c>
      <c r="Y159" t="str">
        <f t="shared" si="11"/>
        <v>Non-Senior</v>
      </c>
    </row>
    <row r="160" spans="1:25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8"/>
        <v>13-24 Months</v>
      </c>
      <c r="W160">
        <f t="shared" si="9"/>
        <v>0</v>
      </c>
      <c r="X160">
        <f t="shared" si="10"/>
        <v>0</v>
      </c>
      <c r="Y160" t="str">
        <f t="shared" si="11"/>
        <v>Non-Senior</v>
      </c>
    </row>
    <row r="161" spans="1:25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7082</v>
      </c>
      <c r="J161" t="s">
        <v>7084</v>
      </c>
      <c r="K161" t="s">
        <v>46</v>
      </c>
      <c r="L161" t="s">
        <v>7084</v>
      </c>
      <c r="M161" t="s">
        <v>7084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8"/>
        <v>0-12 Months</v>
      </c>
      <c r="W161">
        <f t="shared" si="9"/>
        <v>0</v>
      </c>
      <c r="X161">
        <f t="shared" si="10"/>
        <v>0</v>
      </c>
      <c r="Y161" t="str">
        <f t="shared" si="11"/>
        <v>Non-Senior</v>
      </c>
    </row>
    <row r="162" spans="1:25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8"/>
        <v>13-24 Months</v>
      </c>
      <c r="W162">
        <f t="shared" si="9"/>
        <v>0</v>
      </c>
      <c r="X162">
        <f t="shared" si="10"/>
        <v>0</v>
      </c>
      <c r="Y162" t="str">
        <f t="shared" si="11"/>
        <v>Non-Senior</v>
      </c>
    </row>
    <row r="163" spans="1:25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8"/>
        <v>13-24 Months</v>
      </c>
      <c r="W163">
        <f t="shared" si="9"/>
        <v>1</v>
      </c>
      <c r="X163">
        <f t="shared" si="10"/>
        <v>82.4</v>
      </c>
      <c r="Y163" t="str">
        <f t="shared" si="11"/>
        <v>Non-Senior</v>
      </c>
    </row>
    <row r="164" spans="1:25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8"/>
        <v>0-12 Months</v>
      </c>
      <c r="W164">
        <f t="shared" si="9"/>
        <v>0</v>
      </c>
      <c r="X164">
        <f t="shared" si="10"/>
        <v>0</v>
      </c>
      <c r="Y164" t="str">
        <f t="shared" si="11"/>
        <v>Non-Senior</v>
      </c>
    </row>
    <row r="165" spans="1:25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8"/>
        <v>49-60 Months</v>
      </c>
      <c r="W165">
        <f t="shared" si="9"/>
        <v>0</v>
      </c>
      <c r="X165">
        <f t="shared" si="10"/>
        <v>0</v>
      </c>
      <c r="Y165" t="str">
        <f t="shared" si="11"/>
        <v>Non-Senior</v>
      </c>
    </row>
    <row r="166" spans="1:25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7082</v>
      </c>
      <c r="J166" t="s">
        <v>7084</v>
      </c>
      <c r="K166" t="s">
        <v>46</v>
      </c>
      <c r="L166" t="s">
        <v>7084</v>
      </c>
      <c r="M166" t="s">
        <v>7084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8"/>
        <v>0-12 Months</v>
      </c>
      <c r="W166">
        <f t="shared" si="9"/>
        <v>0</v>
      </c>
      <c r="X166">
        <f t="shared" si="10"/>
        <v>0</v>
      </c>
      <c r="Y166" t="str">
        <f t="shared" si="11"/>
        <v>Non-Senior</v>
      </c>
    </row>
    <row r="167" spans="1:25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7082</v>
      </c>
      <c r="J167" t="s">
        <v>7084</v>
      </c>
      <c r="K167" t="s">
        <v>46</v>
      </c>
      <c r="L167" t="s">
        <v>7084</v>
      </c>
      <c r="M167" t="s">
        <v>7084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8"/>
        <v>61-72 Months</v>
      </c>
      <c r="W167">
        <f t="shared" si="9"/>
        <v>0</v>
      </c>
      <c r="X167">
        <f t="shared" si="10"/>
        <v>0</v>
      </c>
      <c r="Y167" t="str">
        <f t="shared" si="11"/>
        <v>Non-Senior</v>
      </c>
    </row>
    <row r="168" spans="1:25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8"/>
        <v>0-12 Months</v>
      </c>
      <c r="W168">
        <f t="shared" si="9"/>
        <v>1</v>
      </c>
      <c r="X168">
        <f t="shared" si="10"/>
        <v>70.900000000000006</v>
      </c>
      <c r="Y168" t="str">
        <f t="shared" si="11"/>
        <v>Non-Senior</v>
      </c>
    </row>
    <row r="169" spans="1:25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8"/>
        <v>61-72 Months</v>
      </c>
      <c r="W169">
        <f t="shared" si="9"/>
        <v>0</v>
      </c>
      <c r="X169">
        <f t="shared" si="10"/>
        <v>0</v>
      </c>
      <c r="Y169" t="str">
        <f t="shared" si="11"/>
        <v>Non-Senior</v>
      </c>
    </row>
    <row r="170" spans="1:25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8"/>
        <v>49-60 Months</v>
      </c>
      <c r="W170">
        <f t="shared" si="9"/>
        <v>1</v>
      </c>
      <c r="X170">
        <f t="shared" si="10"/>
        <v>45.3</v>
      </c>
      <c r="Y170" t="str">
        <f t="shared" si="11"/>
        <v>Senior Citizen</v>
      </c>
    </row>
    <row r="171" spans="1:25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7082</v>
      </c>
      <c r="J171" t="s">
        <v>7084</v>
      </c>
      <c r="K171" t="s">
        <v>46</v>
      </c>
      <c r="L171" t="s">
        <v>7084</v>
      </c>
      <c r="M171" t="s">
        <v>7084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8"/>
        <v>13-24 Months</v>
      </c>
      <c r="W171">
        <f t="shared" si="9"/>
        <v>0</v>
      </c>
      <c r="X171">
        <f t="shared" si="10"/>
        <v>0</v>
      </c>
      <c r="Y171" t="str">
        <f t="shared" si="11"/>
        <v>Non-Senior</v>
      </c>
    </row>
    <row r="172" spans="1:25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8"/>
        <v>37-48 Months</v>
      </c>
      <c r="W172">
        <f t="shared" si="9"/>
        <v>0</v>
      </c>
      <c r="X172">
        <f t="shared" si="10"/>
        <v>0</v>
      </c>
      <c r="Y172" t="str">
        <f t="shared" si="11"/>
        <v>Non-Senior</v>
      </c>
    </row>
    <row r="173" spans="1:25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8"/>
        <v>0-12 Months</v>
      </c>
      <c r="W173">
        <f t="shared" si="9"/>
        <v>1</v>
      </c>
      <c r="X173">
        <f t="shared" si="10"/>
        <v>104.4</v>
      </c>
      <c r="Y173" t="str">
        <f t="shared" si="11"/>
        <v>Non-Senior</v>
      </c>
    </row>
    <row r="174" spans="1:25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8"/>
        <v>13-24 Months</v>
      </c>
      <c r="W174">
        <f t="shared" si="9"/>
        <v>0</v>
      </c>
      <c r="X174">
        <f t="shared" si="10"/>
        <v>0</v>
      </c>
      <c r="Y174" t="str">
        <f t="shared" si="11"/>
        <v>Non-Senior</v>
      </c>
    </row>
    <row r="175" spans="1:25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8"/>
        <v>49-60 Months</v>
      </c>
      <c r="W175">
        <f t="shared" si="9"/>
        <v>1</v>
      </c>
      <c r="X175">
        <f t="shared" si="10"/>
        <v>94.85</v>
      </c>
      <c r="Y175" t="str">
        <f t="shared" si="11"/>
        <v>Non-Senior</v>
      </c>
    </row>
    <row r="176" spans="1:25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7082</v>
      </c>
      <c r="J176" t="s">
        <v>7084</v>
      </c>
      <c r="K176" t="s">
        <v>46</v>
      </c>
      <c r="L176" t="s">
        <v>7084</v>
      </c>
      <c r="M176" t="s">
        <v>7084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8"/>
        <v>25-36 Months</v>
      </c>
      <c r="W176">
        <f t="shared" si="9"/>
        <v>0</v>
      </c>
      <c r="X176">
        <f t="shared" si="10"/>
        <v>0</v>
      </c>
      <c r="Y176" t="str">
        <f t="shared" si="11"/>
        <v>Non-Senior</v>
      </c>
    </row>
    <row r="177" spans="1:25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7082</v>
      </c>
      <c r="J177" t="s">
        <v>7084</v>
      </c>
      <c r="K177" t="s">
        <v>46</v>
      </c>
      <c r="L177" t="s">
        <v>7084</v>
      </c>
      <c r="M177" t="s">
        <v>7084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8"/>
        <v>25-36 Months</v>
      </c>
      <c r="W177">
        <f t="shared" si="9"/>
        <v>0</v>
      </c>
      <c r="X177">
        <f t="shared" si="10"/>
        <v>0</v>
      </c>
      <c r="Y177" t="str">
        <f t="shared" si="11"/>
        <v>Non-Senior</v>
      </c>
    </row>
    <row r="178" spans="1:25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8"/>
        <v>13-24 Months</v>
      </c>
      <c r="W178">
        <f t="shared" si="9"/>
        <v>1</v>
      </c>
      <c r="X178">
        <f t="shared" si="10"/>
        <v>74.45</v>
      </c>
      <c r="Y178" t="str">
        <f t="shared" si="11"/>
        <v>Senior Citizen</v>
      </c>
    </row>
    <row r="179" spans="1:25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8"/>
        <v>0-12 Months</v>
      </c>
      <c r="W179">
        <f t="shared" si="9"/>
        <v>1</v>
      </c>
      <c r="X179">
        <f t="shared" si="10"/>
        <v>76.45</v>
      </c>
      <c r="Y179" t="str">
        <f t="shared" si="11"/>
        <v>Senior Citizen</v>
      </c>
    </row>
    <row r="180" spans="1:25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8"/>
        <v>13-24 Months</v>
      </c>
      <c r="W180">
        <f t="shared" si="9"/>
        <v>0</v>
      </c>
      <c r="X180">
        <f t="shared" si="10"/>
        <v>0</v>
      </c>
      <c r="Y180" t="str">
        <f t="shared" si="11"/>
        <v>Non-Senior</v>
      </c>
    </row>
    <row r="181" spans="1:25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7082</v>
      </c>
      <c r="J181" t="s">
        <v>7084</v>
      </c>
      <c r="K181" t="s">
        <v>46</v>
      </c>
      <c r="L181" t="s">
        <v>7084</v>
      </c>
      <c r="M181" t="s">
        <v>7084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8"/>
        <v>61-72 Months</v>
      </c>
      <c r="W181">
        <f t="shared" si="9"/>
        <v>0</v>
      </c>
      <c r="X181">
        <f t="shared" si="10"/>
        <v>0</v>
      </c>
      <c r="Y181" t="str">
        <f t="shared" si="11"/>
        <v>Non-Senior</v>
      </c>
    </row>
    <row r="182" spans="1:25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8"/>
        <v>0-12 Months</v>
      </c>
      <c r="W182">
        <f t="shared" si="9"/>
        <v>1</v>
      </c>
      <c r="X182">
        <f t="shared" si="10"/>
        <v>29.95</v>
      </c>
      <c r="Y182" t="str">
        <f t="shared" si="11"/>
        <v>Non-Senior</v>
      </c>
    </row>
    <row r="183" spans="1:25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8"/>
        <v>0-12 Months</v>
      </c>
      <c r="W183">
        <f t="shared" si="9"/>
        <v>0</v>
      </c>
      <c r="X183">
        <f t="shared" si="10"/>
        <v>0</v>
      </c>
      <c r="Y183" t="str">
        <f t="shared" si="11"/>
        <v>Non-Senior</v>
      </c>
    </row>
    <row r="184" spans="1:25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8"/>
        <v>0-12 Months</v>
      </c>
      <c r="W184">
        <f t="shared" si="9"/>
        <v>1</v>
      </c>
      <c r="X184">
        <f t="shared" si="10"/>
        <v>84.5</v>
      </c>
      <c r="Y184" t="str">
        <f t="shared" si="11"/>
        <v>Non-Senior</v>
      </c>
    </row>
    <row r="185" spans="1:25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8"/>
        <v>25-36 Months</v>
      </c>
      <c r="W185">
        <f t="shared" si="9"/>
        <v>0</v>
      </c>
      <c r="X185">
        <f t="shared" si="10"/>
        <v>0</v>
      </c>
      <c r="Y185" t="str">
        <f t="shared" si="11"/>
        <v>Non-Senior</v>
      </c>
    </row>
    <row r="186" spans="1:25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8"/>
        <v>13-24 Months</v>
      </c>
      <c r="W186">
        <f t="shared" si="9"/>
        <v>1</v>
      </c>
      <c r="X186">
        <f t="shared" si="10"/>
        <v>79.25</v>
      </c>
      <c r="Y186" t="str">
        <f t="shared" si="11"/>
        <v>Non-Senior</v>
      </c>
    </row>
    <row r="187" spans="1:25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8"/>
        <v>0-12 Months</v>
      </c>
      <c r="W187">
        <f t="shared" si="9"/>
        <v>1</v>
      </c>
      <c r="X187">
        <f t="shared" si="10"/>
        <v>24.8</v>
      </c>
      <c r="Y187" t="str">
        <f t="shared" si="11"/>
        <v>Non-Senior</v>
      </c>
    </row>
    <row r="188" spans="1:25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8"/>
        <v>13-24 Months</v>
      </c>
      <c r="W188">
        <f t="shared" si="9"/>
        <v>0</v>
      </c>
      <c r="X188">
        <f t="shared" si="10"/>
        <v>0</v>
      </c>
      <c r="Y188" t="str">
        <f t="shared" si="11"/>
        <v>Non-Senior</v>
      </c>
    </row>
    <row r="189" spans="1:25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8"/>
        <v>0-12 Months</v>
      </c>
      <c r="W189">
        <f t="shared" si="9"/>
        <v>0</v>
      </c>
      <c r="X189">
        <f t="shared" si="10"/>
        <v>0</v>
      </c>
      <c r="Y189" t="str">
        <f t="shared" si="11"/>
        <v>Non-Senior</v>
      </c>
    </row>
    <row r="190" spans="1:25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7082</v>
      </c>
      <c r="J190" t="s">
        <v>7084</v>
      </c>
      <c r="K190" t="s">
        <v>46</v>
      </c>
      <c r="L190" t="s">
        <v>7084</v>
      </c>
      <c r="M190" t="s">
        <v>7084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8"/>
        <v>13-24 Months</v>
      </c>
      <c r="W190">
        <f t="shared" si="9"/>
        <v>0</v>
      </c>
      <c r="X190">
        <f t="shared" si="10"/>
        <v>0</v>
      </c>
      <c r="Y190" t="str">
        <f t="shared" si="11"/>
        <v>Non-Senior</v>
      </c>
    </row>
    <row r="191" spans="1:25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8"/>
        <v>37-48 Months</v>
      </c>
      <c r="W191">
        <f t="shared" si="9"/>
        <v>0</v>
      </c>
      <c r="X191">
        <f t="shared" si="10"/>
        <v>0</v>
      </c>
      <c r="Y191" t="str">
        <f t="shared" si="11"/>
        <v>Non-Senior</v>
      </c>
    </row>
    <row r="192" spans="1:25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8"/>
        <v>37-48 Months</v>
      </c>
      <c r="W192">
        <f t="shared" si="9"/>
        <v>0</v>
      </c>
      <c r="X192">
        <f t="shared" si="10"/>
        <v>0</v>
      </c>
      <c r="Y192" t="str">
        <f t="shared" si="11"/>
        <v>Non-Senior</v>
      </c>
    </row>
    <row r="193" spans="1:25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8"/>
        <v>0-12 Months</v>
      </c>
      <c r="W193">
        <f t="shared" si="9"/>
        <v>1</v>
      </c>
      <c r="X193">
        <f t="shared" si="10"/>
        <v>91</v>
      </c>
      <c r="Y193" t="str">
        <f t="shared" si="11"/>
        <v>Non-Senior</v>
      </c>
    </row>
    <row r="194" spans="1:25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7082</v>
      </c>
      <c r="J194" t="s">
        <v>7084</v>
      </c>
      <c r="K194" t="s">
        <v>46</v>
      </c>
      <c r="L194" t="s">
        <v>7084</v>
      </c>
      <c r="M194" t="s">
        <v>7084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si="8"/>
        <v>61-72 Months</v>
      </c>
      <c r="W194">
        <f t="shared" si="9"/>
        <v>0</v>
      </c>
      <c r="X194">
        <f t="shared" si="10"/>
        <v>0</v>
      </c>
      <c r="Y194" t="str">
        <f t="shared" si="11"/>
        <v>Non-Senior</v>
      </c>
    </row>
    <row r="195" spans="1:25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ref="V195:V258" si="12">IF(F195&lt;=12,"0-12 Months",IF(F195&lt;=24,"13-24 Months",IF(F195&lt;=36,"25-36 Months",IF(F195&lt;=48,"37-48 Months",IF(F195&lt;=60,"49-60 Months","61-72 Months")))))</f>
        <v>61-72 Months</v>
      </c>
      <c r="W195">
        <f t="shared" ref="W195:W258" si="13">IF(U195="Yes",1,0)</f>
        <v>0</v>
      </c>
      <c r="X195">
        <f t="shared" ref="X195:X258" si="14">IF(U195="Yes",S195,0)</f>
        <v>0</v>
      </c>
      <c r="Y195" t="str">
        <f t="shared" ref="Y195:Y258" si="15">IF(C195=1,"Senior Citizen","Non-Senior")</f>
        <v>Non-Senior</v>
      </c>
    </row>
    <row r="196" spans="1:25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7082</v>
      </c>
      <c r="J196" t="s">
        <v>7084</v>
      </c>
      <c r="K196" t="s">
        <v>46</v>
      </c>
      <c r="L196" t="s">
        <v>7084</v>
      </c>
      <c r="M196" t="s">
        <v>7084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12"/>
        <v>49-60 Months</v>
      </c>
      <c r="W196">
        <f t="shared" si="13"/>
        <v>0</v>
      </c>
      <c r="X196">
        <f t="shared" si="14"/>
        <v>0</v>
      </c>
      <c r="Y196" t="str">
        <f t="shared" si="15"/>
        <v>Non-Senior</v>
      </c>
    </row>
    <row r="197" spans="1:25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12"/>
        <v>13-24 Months</v>
      </c>
      <c r="W197">
        <f t="shared" si="13"/>
        <v>0</v>
      </c>
      <c r="X197">
        <f t="shared" si="14"/>
        <v>0</v>
      </c>
      <c r="Y197" t="str">
        <f t="shared" si="15"/>
        <v>Non-Senior</v>
      </c>
    </row>
    <row r="198" spans="1:25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7082</v>
      </c>
      <c r="J198" t="s">
        <v>7084</v>
      </c>
      <c r="K198" t="s">
        <v>46</v>
      </c>
      <c r="L198" t="s">
        <v>7084</v>
      </c>
      <c r="M198" t="s">
        <v>7084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12"/>
        <v>13-24 Months</v>
      </c>
      <c r="W198">
        <f t="shared" si="13"/>
        <v>0</v>
      </c>
      <c r="X198">
        <f t="shared" si="14"/>
        <v>0</v>
      </c>
      <c r="Y198" t="str">
        <f t="shared" si="15"/>
        <v>Non-Senior</v>
      </c>
    </row>
    <row r="199" spans="1:25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12"/>
        <v>49-60 Months</v>
      </c>
      <c r="W199">
        <f t="shared" si="13"/>
        <v>0</v>
      </c>
      <c r="X199">
        <f t="shared" si="14"/>
        <v>0</v>
      </c>
      <c r="Y199" t="str">
        <f t="shared" si="15"/>
        <v>Non-Senior</v>
      </c>
    </row>
    <row r="200" spans="1:25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12"/>
        <v>61-72 Months</v>
      </c>
      <c r="W200">
        <f t="shared" si="13"/>
        <v>0</v>
      </c>
      <c r="X200">
        <f t="shared" si="14"/>
        <v>0</v>
      </c>
      <c r="Y200" t="str">
        <f t="shared" si="15"/>
        <v>Non-Senior</v>
      </c>
    </row>
    <row r="201" spans="1:25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7082</v>
      </c>
      <c r="J201" t="s">
        <v>7084</v>
      </c>
      <c r="K201" t="s">
        <v>46</v>
      </c>
      <c r="L201" t="s">
        <v>7084</v>
      </c>
      <c r="M201" t="s">
        <v>7084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12"/>
        <v>0-12 Months</v>
      </c>
      <c r="W201">
        <f t="shared" si="13"/>
        <v>0</v>
      </c>
      <c r="X201">
        <f t="shared" si="14"/>
        <v>0</v>
      </c>
      <c r="Y201" t="str">
        <f t="shared" si="15"/>
        <v>Non-Senior</v>
      </c>
    </row>
    <row r="202" spans="1:25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12"/>
        <v>25-36 Months</v>
      </c>
      <c r="W202">
        <f t="shared" si="13"/>
        <v>0</v>
      </c>
      <c r="X202">
        <f t="shared" si="14"/>
        <v>0</v>
      </c>
      <c r="Y202" t="str">
        <f t="shared" si="15"/>
        <v>Non-Senior</v>
      </c>
    </row>
    <row r="203" spans="1:25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12"/>
        <v>13-24 Months</v>
      </c>
      <c r="W203">
        <f t="shared" si="13"/>
        <v>0</v>
      </c>
      <c r="X203">
        <f t="shared" si="14"/>
        <v>0</v>
      </c>
      <c r="Y203" t="str">
        <f t="shared" si="15"/>
        <v>Non-Senior</v>
      </c>
    </row>
    <row r="204" spans="1:25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12"/>
        <v>61-72 Months</v>
      </c>
      <c r="W204">
        <f t="shared" si="13"/>
        <v>0</v>
      </c>
      <c r="X204">
        <f t="shared" si="14"/>
        <v>0</v>
      </c>
      <c r="Y204" t="str">
        <f t="shared" si="15"/>
        <v>Non-Senior</v>
      </c>
    </row>
    <row r="205" spans="1:25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12"/>
        <v>13-24 Months</v>
      </c>
      <c r="W205">
        <f t="shared" si="13"/>
        <v>0</v>
      </c>
      <c r="X205">
        <f t="shared" si="14"/>
        <v>0</v>
      </c>
      <c r="Y205" t="str">
        <f t="shared" si="15"/>
        <v>Non-Senior</v>
      </c>
    </row>
    <row r="206" spans="1:25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12"/>
        <v>37-48 Months</v>
      </c>
      <c r="W206">
        <f t="shared" si="13"/>
        <v>0</v>
      </c>
      <c r="X206">
        <f t="shared" si="14"/>
        <v>0</v>
      </c>
      <c r="Y206" t="str">
        <f t="shared" si="15"/>
        <v>Non-Senior</v>
      </c>
    </row>
    <row r="207" spans="1:25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12"/>
        <v>25-36 Months</v>
      </c>
      <c r="W207">
        <f t="shared" si="13"/>
        <v>0</v>
      </c>
      <c r="X207">
        <f t="shared" si="14"/>
        <v>0</v>
      </c>
      <c r="Y207" t="str">
        <f t="shared" si="15"/>
        <v>Non-Senior</v>
      </c>
    </row>
    <row r="208" spans="1:25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12"/>
        <v>61-72 Months</v>
      </c>
      <c r="W208">
        <f t="shared" si="13"/>
        <v>0</v>
      </c>
      <c r="X208">
        <f t="shared" si="14"/>
        <v>0</v>
      </c>
      <c r="Y208" t="str">
        <f t="shared" si="15"/>
        <v>Non-Senior</v>
      </c>
    </row>
    <row r="209" spans="1:25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12"/>
        <v>0-12 Months</v>
      </c>
      <c r="W209">
        <f t="shared" si="13"/>
        <v>1</v>
      </c>
      <c r="X209">
        <f t="shared" si="14"/>
        <v>79.900000000000006</v>
      </c>
      <c r="Y209" t="str">
        <f t="shared" si="15"/>
        <v>Non-Senior</v>
      </c>
    </row>
    <row r="210" spans="1:25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12"/>
        <v>13-24 Months</v>
      </c>
      <c r="W210">
        <f t="shared" si="13"/>
        <v>1</v>
      </c>
      <c r="X210">
        <f t="shared" si="14"/>
        <v>106.6</v>
      </c>
      <c r="Y210" t="str">
        <f t="shared" si="15"/>
        <v>Non-Senior</v>
      </c>
    </row>
    <row r="211" spans="1:25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12"/>
        <v>61-72 Months</v>
      </c>
      <c r="W211">
        <f t="shared" si="13"/>
        <v>0</v>
      </c>
      <c r="X211">
        <f t="shared" si="14"/>
        <v>0</v>
      </c>
      <c r="Y211" t="str">
        <f t="shared" si="15"/>
        <v>Non-Senior</v>
      </c>
    </row>
    <row r="212" spans="1:25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12"/>
        <v>0-12 Months</v>
      </c>
      <c r="W212">
        <f t="shared" si="13"/>
        <v>1</v>
      </c>
      <c r="X212">
        <f t="shared" si="14"/>
        <v>46</v>
      </c>
      <c r="Y212" t="str">
        <f t="shared" si="15"/>
        <v>Non-Senior</v>
      </c>
    </row>
    <row r="213" spans="1:25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12"/>
        <v>0-12 Months</v>
      </c>
      <c r="W213">
        <f t="shared" si="13"/>
        <v>0</v>
      </c>
      <c r="X213">
        <f t="shared" si="14"/>
        <v>0</v>
      </c>
      <c r="Y213" t="str">
        <f t="shared" si="15"/>
        <v>Non-Senior</v>
      </c>
    </row>
    <row r="214" spans="1:25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7082</v>
      </c>
      <c r="J214" t="s">
        <v>7084</v>
      </c>
      <c r="K214" t="s">
        <v>46</v>
      </c>
      <c r="L214" t="s">
        <v>7084</v>
      </c>
      <c r="M214" t="s">
        <v>7084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12"/>
        <v>61-72 Months</v>
      </c>
      <c r="W214">
        <f t="shared" si="13"/>
        <v>0</v>
      </c>
      <c r="X214">
        <f t="shared" si="14"/>
        <v>0</v>
      </c>
      <c r="Y214" t="str">
        <f t="shared" si="15"/>
        <v>Non-Senior</v>
      </c>
    </row>
    <row r="215" spans="1:25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7082</v>
      </c>
      <c r="J215" t="s">
        <v>7084</v>
      </c>
      <c r="K215" t="s">
        <v>46</v>
      </c>
      <c r="L215" t="s">
        <v>7084</v>
      </c>
      <c r="M215" t="s">
        <v>7084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12"/>
        <v>25-36 Months</v>
      </c>
      <c r="W215">
        <f t="shared" si="13"/>
        <v>0</v>
      </c>
      <c r="X215">
        <f t="shared" si="14"/>
        <v>0</v>
      </c>
      <c r="Y215" t="str">
        <f t="shared" si="15"/>
        <v>Non-Senior</v>
      </c>
    </row>
    <row r="216" spans="1:25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12"/>
        <v>13-24 Months</v>
      </c>
      <c r="W216">
        <f t="shared" si="13"/>
        <v>0</v>
      </c>
      <c r="X216">
        <f t="shared" si="14"/>
        <v>0</v>
      </c>
      <c r="Y216" t="str">
        <f t="shared" si="15"/>
        <v>Senior Citizen</v>
      </c>
    </row>
    <row r="217" spans="1:25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12"/>
        <v>49-60 Months</v>
      </c>
      <c r="W217">
        <f t="shared" si="13"/>
        <v>0</v>
      </c>
      <c r="X217">
        <f t="shared" si="14"/>
        <v>0</v>
      </c>
      <c r="Y217" t="str">
        <f t="shared" si="15"/>
        <v>Non-Senior</v>
      </c>
    </row>
    <row r="218" spans="1:25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12"/>
        <v>61-72 Months</v>
      </c>
      <c r="W218">
        <f t="shared" si="13"/>
        <v>0</v>
      </c>
      <c r="X218">
        <f t="shared" si="14"/>
        <v>0</v>
      </c>
      <c r="Y218" t="str">
        <f t="shared" si="15"/>
        <v>Non-Senior</v>
      </c>
    </row>
    <row r="219" spans="1:25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12"/>
        <v>61-72 Months</v>
      </c>
      <c r="W219">
        <f t="shared" si="13"/>
        <v>0</v>
      </c>
      <c r="X219">
        <f t="shared" si="14"/>
        <v>0</v>
      </c>
      <c r="Y219" t="str">
        <f t="shared" si="15"/>
        <v>Non-Senior</v>
      </c>
    </row>
    <row r="220" spans="1:25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12"/>
        <v>61-72 Months</v>
      </c>
      <c r="W220">
        <f t="shared" si="13"/>
        <v>0</v>
      </c>
      <c r="X220">
        <f t="shared" si="14"/>
        <v>0</v>
      </c>
      <c r="Y220" t="str">
        <f t="shared" si="15"/>
        <v>Non-Senior</v>
      </c>
    </row>
    <row r="221" spans="1:25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12"/>
        <v>0-12 Months</v>
      </c>
      <c r="W221">
        <f t="shared" si="13"/>
        <v>0</v>
      </c>
      <c r="X221">
        <f t="shared" si="14"/>
        <v>0</v>
      </c>
      <c r="Y221" t="str">
        <f t="shared" si="15"/>
        <v>Non-Senior</v>
      </c>
    </row>
    <row r="222" spans="1:25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12"/>
        <v>0-12 Months</v>
      </c>
      <c r="W222">
        <f t="shared" si="13"/>
        <v>1</v>
      </c>
      <c r="X222">
        <f t="shared" si="14"/>
        <v>70.150000000000006</v>
      </c>
      <c r="Y222" t="str">
        <f t="shared" si="15"/>
        <v>Non-Senior</v>
      </c>
    </row>
    <row r="223" spans="1:25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7082</v>
      </c>
      <c r="J223" t="s">
        <v>7084</v>
      </c>
      <c r="K223" t="s">
        <v>46</v>
      </c>
      <c r="L223" t="s">
        <v>7084</v>
      </c>
      <c r="M223" t="s">
        <v>7084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12"/>
        <v>61-72 Months</v>
      </c>
      <c r="W223">
        <f t="shared" si="13"/>
        <v>0</v>
      </c>
      <c r="X223">
        <f t="shared" si="14"/>
        <v>0</v>
      </c>
      <c r="Y223" t="str">
        <f t="shared" si="15"/>
        <v>Non-Senior</v>
      </c>
    </row>
    <row r="224" spans="1:25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7082</v>
      </c>
      <c r="J224" t="s">
        <v>7084</v>
      </c>
      <c r="K224" t="s">
        <v>46</v>
      </c>
      <c r="L224" t="s">
        <v>7084</v>
      </c>
      <c r="M224" t="s">
        <v>7084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12"/>
        <v>0-12 Months</v>
      </c>
      <c r="W224">
        <f t="shared" si="13"/>
        <v>0</v>
      </c>
      <c r="X224">
        <f t="shared" si="14"/>
        <v>0</v>
      </c>
      <c r="Y224" t="str">
        <f t="shared" si="15"/>
        <v>Non-Senior</v>
      </c>
    </row>
    <row r="225" spans="1:25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12"/>
        <v>0-12 Months</v>
      </c>
      <c r="W225">
        <f t="shared" si="13"/>
        <v>1</v>
      </c>
      <c r="X225">
        <f t="shared" si="14"/>
        <v>50.05</v>
      </c>
      <c r="Y225" t="str">
        <f t="shared" si="15"/>
        <v>Non-Senior</v>
      </c>
    </row>
    <row r="226" spans="1:25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7082</v>
      </c>
      <c r="J226" t="s">
        <v>7084</v>
      </c>
      <c r="K226" t="s">
        <v>46</v>
      </c>
      <c r="L226" t="s">
        <v>7084</v>
      </c>
      <c r="M226" t="s">
        <v>7084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12"/>
        <v>0-12 Months</v>
      </c>
      <c r="W226">
        <f t="shared" si="13"/>
        <v>0</v>
      </c>
      <c r="X226">
        <f t="shared" si="14"/>
        <v>0</v>
      </c>
      <c r="Y226" t="str">
        <f t="shared" si="15"/>
        <v>Non-Senior</v>
      </c>
    </row>
    <row r="227" spans="1:25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12"/>
        <v>13-24 Months</v>
      </c>
      <c r="W227">
        <f t="shared" si="13"/>
        <v>0</v>
      </c>
      <c r="X227">
        <f t="shared" si="14"/>
        <v>0</v>
      </c>
      <c r="Y227" t="str">
        <f t="shared" si="15"/>
        <v>Non-Senior</v>
      </c>
    </row>
    <row r="228" spans="1:25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12"/>
        <v>25-36 Months</v>
      </c>
      <c r="W228">
        <f t="shared" si="13"/>
        <v>0</v>
      </c>
      <c r="X228">
        <f t="shared" si="14"/>
        <v>0</v>
      </c>
      <c r="Y228" t="str">
        <f t="shared" si="15"/>
        <v>Non-Senior</v>
      </c>
    </row>
    <row r="229" spans="1:25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12"/>
        <v>0-12 Months</v>
      </c>
      <c r="W229">
        <f t="shared" si="13"/>
        <v>1</v>
      </c>
      <c r="X229">
        <f t="shared" si="14"/>
        <v>55.2</v>
      </c>
      <c r="Y229" t="str">
        <f t="shared" si="15"/>
        <v>Non-Senior</v>
      </c>
    </row>
    <row r="230" spans="1:25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12"/>
        <v>25-36 Months</v>
      </c>
      <c r="W230">
        <f t="shared" si="13"/>
        <v>0</v>
      </c>
      <c r="X230">
        <f t="shared" si="14"/>
        <v>0</v>
      </c>
      <c r="Y230" t="str">
        <f t="shared" si="15"/>
        <v>Non-Senior</v>
      </c>
    </row>
    <row r="231" spans="1:25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12"/>
        <v>37-48 Months</v>
      </c>
      <c r="W231">
        <f t="shared" si="13"/>
        <v>0</v>
      </c>
      <c r="X231">
        <f t="shared" si="14"/>
        <v>0</v>
      </c>
      <c r="Y231" t="str">
        <f t="shared" si="15"/>
        <v>Non-Senior</v>
      </c>
    </row>
    <row r="232" spans="1:25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12"/>
        <v>49-60 Months</v>
      </c>
      <c r="W232">
        <f t="shared" si="13"/>
        <v>0</v>
      </c>
      <c r="X232">
        <f t="shared" si="14"/>
        <v>0</v>
      </c>
      <c r="Y232" t="str">
        <f t="shared" si="15"/>
        <v>Non-Senior</v>
      </c>
    </row>
    <row r="233" spans="1:25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12"/>
        <v>49-60 Months</v>
      </c>
      <c r="W233">
        <f t="shared" si="13"/>
        <v>0</v>
      </c>
      <c r="X233">
        <f t="shared" si="14"/>
        <v>0</v>
      </c>
      <c r="Y233" t="str">
        <f t="shared" si="15"/>
        <v>Non-Senior</v>
      </c>
    </row>
    <row r="234" spans="1:25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12"/>
        <v>0-12 Months</v>
      </c>
      <c r="W234">
        <f t="shared" si="13"/>
        <v>1</v>
      </c>
      <c r="X234">
        <f t="shared" si="14"/>
        <v>84.6</v>
      </c>
      <c r="Y234" t="str">
        <f t="shared" si="15"/>
        <v>Non-Senior</v>
      </c>
    </row>
    <row r="235" spans="1:25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7082</v>
      </c>
      <c r="J235" t="s">
        <v>7084</v>
      </c>
      <c r="K235" t="s">
        <v>46</v>
      </c>
      <c r="L235" t="s">
        <v>7084</v>
      </c>
      <c r="M235" t="s">
        <v>7084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12"/>
        <v>61-72 Months</v>
      </c>
      <c r="W235">
        <f t="shared" si="13"/>
        <v>0</v>
      </c>
      <c r="X235">
        <f t="shared" si="14"/>
        <v>0</v>
      </c>
      <c r="Y235" t="str">
        <f t="shared" si="15"/>
        <v>Non-Senior</v>
      </c>
    </row>
    <row r="236" spans="1:25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7082</v>
      </c>
      <c r="J236" t="s">
        <v>7084</v>
      </c>
      <c r="K236" t="s">
        <v>46</v>
      </c>
      <c r="L236" t="s">
        <v>7084</v>
      </c>
      <c r="M236" t="s">
        <v>7084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12"/>
        <v>25-36 Months</v>
      </c>
      <c r="W236">
        <f t="shared" si="13"/>
        <v>0</v>
      </c>
      <c r="X236">
        <f t="shared" si="14"/>
        <v>0</v>
      </c>
      <c r="Y236" t="str">
        <f t="shared" si="15"/>
        <v>Non-Senior</v>
      </c>
    </row>
    <row r="237" spans="1:25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12"/>
        <v>0-12 Months</v>
      </c>
      <c r="W237">
        <f t="shared" si="13"/>
        <v>1</v>
      </c>
      <c r="X237">
        <f t="shared" si="14"/>
        <v>54.4</v>
      </c>
      <c r="Y237" t="str">
        <f t="shared" si="15"/>
        <v>Non-Senior</v>
      </c>
    </row>
    <row r="238" spans="1:25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12"/>
        <v>0-12 Months</v>
      </c>
      <c r="W238">
        <f t="shared" si="13"/>
        <v>0</v>
      </c>
      <c r="X238">
        <f t="shared" si="14"/>
        <v>0</v>
      </c>
      <c r="Y238" t="str">
        <f t="shared" si="15"/>
        <v>Non-Senior</v>
      </c>
    </row>
    <row r="239" spans="1:25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12"/>
        <v>13-24 Months</v>
      </c>
      <c r="W239">
        <f t="shared" si="13"/>
        <v>0</v>
      </c>
      <c r="X239">
        <f t="shared" si="14"/>
        <v>0</v>
      </c>
      <c r="Y239" t="str">
        <f t="shared" si="15"/>
        <v>Non-Senior</v>
      </c>
    </row>
    <row r="240" spans="1:25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12"/>
        <v>0-12 Months</v>
      </c>
      <c r="W240">
        <f t="shared" si="13"/>
        <v>1</v>
      </c>
      <c r="X240">
        <f t="shared" si="14"/>
        <v>95</v>
      </c>
      <c r="Y240" t="str">
        <f t="shared" si="15"/>
        <v>Senior Citizen</v>
      </c>
    </row>
    <row r="241" spans="1:25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7082</v>
      </c>
      <c r="J241" t="s">
        <v>7084</v>
      </c>
      <c r="K241" t="s">
        <v>46</v>
      </c>
      <c r="L241" t="s">
        <v>7084</v>
      </c>
      <c r="M241" t="s">
        <v>7084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12"/>
        <v>13-24 Months</v>
      </c>
      <c r="W241">
        <f t="shared" si="13"/>
        <v>0</v>
      </c>
      <c r="X241">
        <f t="shared" si="14"/>
        <v>0</v>
      </c>
      <c r="Y241" t="str">
        <f t="shared" si="15"/>
        <v>Non-Senior</v>
      </c>
    </row>
    <row r="242" spans="1:25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12"/>
        <v>61-72 Months</v>
      </c>
      <c r="W242">
        <f t="shared" si="13"/>
        <v>0</v>
      </c>
      <c r="X242">
        <f t="shared" si="14"/>
        <v>0</v>
      </c>
      <c r="Y242" t="str">
        <f t="shared" si="15"/>
        <v>Non-Senior</v>
      </c>
    </row>
    <row r="243" spans="1:25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12"/>
        <v>61-72 Months</v>
      </c>
      <c r="W243">
        <f t="shared" si="13"/>
        <v>0</v>
      </c>
      <c r="X243">
        <f t="shared" si="14"/>
        <v>0</v>
      </c>
      <c r="Y243" t="str">
        <f t="shared" si="15"/>
        <v>Non-Senior</v>
      </c>
    </row>
    <row r="244" spans="1:25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12"/>
        <v>37-48 Months</v>
      </c>
      <c r="W244">
        <f t="shared" si="13"/>
        <v>0</v>
      </c>
      <c r="X244">
        <f t="shared" si="14"/>
        <v>0</v>
      </c>
      <c r="Y244" t="str">
        <f t="shared" si="15"/>
        <v>Non-Senior</v>
      </c>
    </row>
    <row r="245" spans="1:25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12"/>
        <v>61-72 Months</v>
      </c>
      <c r="W245">
        <f t="shared" si="13"/>
        <v>0</v>
      </c>
      <c r="X245">
        <f t="shared" si="14"/>
        <v>0</v>
      </c>
      <c r="Y245" t="str">
        <f t="shared" si="15"/>
        <v>Senior Citizen</v>
      </c>
    </row>
    <row r="246" spans="1:25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12"/>
        <v>13-24 Months</v>
      </c>
      <c r="W246">
        <f t="shared" si="13"/>
        <v>0</v>
      </c>
      <c r="X246">
        <f t="shared" si="14"/>
        <v>0</v>
      </c>
      <c r="Y246" t="str">
        <f t="shared" si="15"/>
        <v>Senior Citizen</v>
      </c>
    </row>
    <row r="247" spans="1:25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12"/>
        <v>0-12 Months</v>
      </c>
      <c r="W247">
        <f t="shared" si="13"/>
        <v>0</v>
      </c>
      <c r="X247">
        <f t="shared" si="14"/>
        <v>0</v>
      </c>
      <c r="Y247" t="str">
        <f t="shared" si="15"/>
        <v>Senior Citizen</v>
      </c>
    </row>
    <row r="248" spans="1:25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12"/>
        <v>37-48 Months</v>
      </c>
      <c r="W248">
        <f t="shared" si="13"/>
        <v>0</v>
      </c>
      <c r="X248">
        <f t="shared" si="14"/>
        <v>0</v>
      </c>
      <c r="Y248" t="str">
        <f t="shared" si="15"/>
        <v>Non-Senior</v>
      </c>
    </row>
    <row r="249" spans="1:25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12"/>
        <v>13-24 Months</v>
      </c>
      <c r="W249">
        <f t="shared" si="13"/>
        <v>1</v>
      </c>
      <c r="X249">
        <f t="shared" si="14"/>
        <v>74.400000000000006</v>
      </c>
      <c r="Y249" t="str">
        <f t="shared" si="15"/>
        <v>Senior Citizen</v>
      </c>
    </row>
    <row r="250" spans="1:25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12"/>
        <v>0-12 Months</v>
      </c>
      <c r="W250">
        <f t="shared" si="13"/>
        <v>1</v>
      </c>
      <c r="X250">
        <f t="shared" si="14"/>
        <v>48.55</v>
      </c>
      <c r="Y250" t="str">
        <f t="shared" si="15"/>
        <v>Non-Senior</v>
      </c>
    </row>
    <row r="251" spans="1:25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12"/>
        <v>37-48 Months</v>
      </c>
      <c r="W251">
        <f t="shared" si="13"/>
        <v>0</v>
      </c>
      <c r="X251">
        <f t="shared" si="14"/>
        <v>0</v>
      </c>
      <c r="Y251" t="str">
        <f t="shared" si="15"/>
        <v>Non-Senior</v>
      </c>
    </row>
    <row r="252" spans="1:25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12"/>
        <v>49-60 Months</v>
      </c>
      <c r="W252">
        <f t="shared" si="13"/>
        <v>0</v>
      </c>
      <c r="X252">
        <f t="shared" si="14"/>
        <v>0</v>
      </c>
      <c r="Y252" t="str">
        <f t="shared" si="15"/>
        <v>Non-Senior</v>
      </c>
    </row>
    <row r="253" spans="1:25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12"/>
        <v>0-12 Months</v>
      </c>
      <c r="W253">
        <f t="shared" si="13"/>
        <v>1</v>
      </c>
      <c r="X253">
        <f t="shared" si="14"/>
        <v>70.400000000000006</v>
      </c>
      <c r="Y253" t="str">
        <f t="shared" si="15"/>
        <v>Non-Senior</v>
      </c>
    </row>
    <row r="254" spans="1:25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12"/>
        <v>0-12 Months</v>
      </c>
      <c r="W254">
        <f t="shared" si="13"/>
        <v>1</v>
      </c>
      <c r="X254">
        <f t="shared" si="14"/>
        <v>40.200000000000003</v>
      </c>
      <c r="Y254" t="str">
        <f t="shared" si="15"/>
        <v>Senior Citizen</v>
      </c>
    </row>
    <row r="255" spans="1:25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12"/>
        <v>25-36 Months</v>
      </c>
      <c r="W255">
        <f t="shared" si="13"/>
        <v>0</v>
      </c>
      <c r="X255">
        <f t="shared" si="14"/>
        <v>0</v>
      </c>
      <c r="Y255" t="str">
        <f t="shared" si="15"/>
        <v>Non-Senior</v>
      </c>
    </row>
    <row r="256" spans="1:25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7082</v>
      </c>
      <c r="J256" t="s">
        <v>7084</v>
      </c>
      <c r="K256" t="s">
        <v>46</v>
      </c>
      <c r="L256" t="s">
        <v>7084</v>
      </c>
      <c r="M256" t="s">
        <v>7084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12"/>
        <v>0-12 Months</v>
      </c>
      <c r="W256">
        <f t="shared" si="13"/>
        <v>0</v>
      </c>
      <c r="X256">
        <f t="shared" si="14"/>
        <v>0</v>
      </c>
      <c r="Y256" t="str">
        <f t="shared" si="15"/>
        <v>Non-Senior</v>
      </c>
    </row>
    <row r="257" spans="1:25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12"/>
        <v>61-72 Months</v>
      </c>
      <c r="W257">
        <f t="shared" si="13"/>
        <v>0</v>
      </c>
      <c r="X257">
        <f t="shared" si="14"/>
        <v>0</v>
      </c>
      <c r="Y257" t="str">
        <f t="shared" si="15"/>
        <v>Non-Senior</v>
      </c>
    </row>
    <row r="258" spans="1:25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si="12"/>
        <v>61-72 Months</v>
      </c>
      <c r="W258">
        <f t="shared" si="13"/>
        <v>0</v>
      </c>
      <c r="X258">
        <f t="shared" si="14"/>
        <v>0</v>
      </c>
      <c r="Y258" t="str">
        <f t="shared" si="15"/>
        <v>Non-Senior</v>
      </c>
    </row>
    <row r="259" spans="1:25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ref="V259:V322" si="16">IF(F259&lt;=12,"0-12 Months",IF(F259&lt;=24,"13-24 Months",IF(F259&lt;=36,"25-36 Months",IF(F259&lt;=48,"37-48 Months",IF(F259&lt;=60,"49-60 Months","61-72 Months")))))</f>
        <v>49-60 Months</v>
      </c>
      <c r="W259">
        <f t="shared" ref="W259:W322" si="17">IF(U259="Yes",1,0)</f>
        <v>0</v>
      </c>
      <c r="X259">
        <f t="shared" ref="X259:X322" si="18">IF(U259="Yes",S259,0)</f>
        <v>0</v>
      </c>
      <c r="Y259" t="str">
        <f t="shared" ref="Y259:Y322" si="19">IF(C259=1,"Senior Citizen","Non-Senior")</f>
        <v>Non-Senior</v>
      </c>
    </row>
    <row r="260" spans="1:25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16"/>
        <v>0-12 Months</v>
      </c>
      <c r="W260">
        <f t="shared" si="17"/>
        <v>1</v>
      </c>
      <c r="X260">
        <f t="shared" si="18"/>
        <v>44.6</v>
      </c>
      <c r="Y260" t="str">
        <f t="shared" si="19"/>
        <v>Non-Senior</v>
      </c>
    </row>
    <row r="261" spans="1:25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16"/>
        <v>25-36 Months</v>
      </c>
      <c r="W261">
        <f t="shared" si="17"/>
        <v>0</v>
      </c>
      <c r="X261">
        <f t="shared" si="18"/>
        <v>0</v>
      </c>
      <c r="Y261" t="str">
        <f t="shared" si="19"/>
        <v>Senior Citizen</v>
      </c>
    </row>
    <row r="262" spans="1:25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16"/>
        <v>0-12 Months</v>
      </c>
      <c r="W262">
        <f t="shared" si="17"/>
        <v>1</v>
      </c>
      <c r="X262">
        <f t="shared" si="18"/>
        <v>41.15</v>
      </c>
      <c r="Y262" t="str">
        <f t="shared" si="19"/>
        <v>Senior Citizen</v>
      </c>
    </row>
    <row r="263" spans="1:25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16"/>
        <v>13-24 Months</v>
      </c>
      <c r="W263">
        <f t="shared" si="17"/>
        <v>1</v>
      </c>
      <c r="X263">
        <f t="shared" si="18"/>
        <v>106.9</v>
      </c>
      <c r="Y263" t="str">
        <f t="shared" si="19"/>
        <v>Senior Citizen</v>
      </c>
    </row>
    <row r="264" spans="1:25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16"/>
        <v>49-60 Months</v>
      </c>
      <c r="W264">
        <f t="shared" si="17"/>
        <v>0</v>
      </c>
      <c r="X264">
        <f t="shared" si="18"/>
        <v>0</v>
      </c>
      <c r="Y264" t="str">
        <f t="shared" si="19"/>
        <v>Senior Citizen</v>
      </c>
    </row>
    <row r="265" spans="1:25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16"/>
        <v>25-36 Months</v>
      </c>
      <c r="W265">
        <f t="shared" si="17"/>
        <v>0</v>
      </c>
      <c r="X265">
        <f t="shared" si="18"/>
        <v>0</v>
      </c>
      <c r="Y265" t="str">
        <f t="shared" si="19"/>
        <v>Non-Senior</v>
      </c>
    </row>
    <row r="266" spans="1:25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16"/>
        <v>37-48 Months</v>
      </c>
      <c r="W266">
        <f t="shared" si="17"/>
        <v>0</v>
      </c>
      <c r="X266">
        <f t="shared" si="18"/>
        <v>0</v>
      </c>
      <c r="Y266" t="str">
        <f t="shared" si="19"/>
        <v>Non-Senior</v>
      </c>
    </row>
    <row r="267" spans="1:25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16"/>
        <v>61-72 Months</v>
      </c>
      <c r="W267">
        <f t="shared" si="17"/>
        <v>0</v>
      </c>
      <c r="X267">
        <f t="shared" si="18"/>
        <v>0</v>
      </c>
      <c r="Y267" t="str">
        <f t="shared" si="19"/>
        <v>Non-Senior</v>
      </c>
    </row>
    <row r="268" spans="1:25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7082</v>
      </c>
      <c r="J268" t="s">
        <v>7084</v>
      </c>
      <c r="K268" t="s">
        <v>46</v>
      </c>
      <c r="L268" t="s">
        <v>7084</v>
      </c>
      <c r="M268" t="s">
        <v>7084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16"/>
        <v>49-60 Months</v>
      </c>
      <c r="W268">
        <f t="shared" si="17"/>
        <v>0</v>
      </c>
      <c r="X268">
        <f t="shared" si="18"/>
        <v>0</v>
      </c>
      <c r="Y268" t="str">
        <f t="shared" si="19"/>
        <v>Non-Senior</v>
      </c>
    </row>
    <row r="269" spans="1:25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16"/>
        <v>13-24 Months</v>
      </c>
      <c r="W269">
        <f t="shared" si="17"/>
        <v>0</v>
      </c>
      <c r="X269">
        <f t="shared" si="18"/>
        <v>0</v>
      </c>
      <c r="Y269" t="str">
        <f t="shared" si="19"/>
        <v>Senior Citizen</v>
      </c>
    </row>
    <row r="270" spans="1:25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7082</v>
      </c>
      <c r="J270" t="s">
        <v>7084</v>
      </c>
      <c r="K270" t="s">
        <v>46</v>
      </c>
      <c r="L270" t="s">
        <v>7084</v>
      </c>
      <c r="M270" t="s">
        <v>7084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16"/>
        <v>49-60 Months</v>
      </c>
      <c r="W270">
        <f t="shared" si="17"/>
        <v>1</v>
      </c>
      <c r="X270">
        <f t="shared" si="18"/>
        <v>19.350000000000001</v>
      </c>
      <c r="Y270" t="str">
        <f t="shared" si="19"/>
        <v>Non-Senior</v>
      </c>
    </row>
    <row r="271" spans="1:25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7082</v>
      </c>
      <c r="J271" t="s">
        <v>7084</v>
      </c>
      <c r="K271" t="s">
        <v>46</v>
      </c>
      <c r="L271" t="s">
        <v>7084</v>
      </c>
      <c r="M271" t="s">
        <v>7084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16"/>
        <v>61-72 Months</v>
      </c>
      <c r="W271">
        <f t="shared" si="17"/>
        <v>0</v>
      </c>
      <c r="X271">
        <f t="shared" si="18"/>
        <v>0</v>
      </c>
      <c r="Y271" t="str">
        <f t="shared" si="19"/>
        <v>Non-Senior</v>
      </c>
    </row>
    <row r="272" spans="1:25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16"/>
        <v>13-24 Months</v>
      </c>
      <c r="W272">
        <f t="shared" si="17"/>
        <v>1</v>
      </c>
      <c r="X272">
        <f t="shared" si="18"/>
        <v>94.45</v>
      </c>
      <c r="Y272" t="str">
        <f t="shared" si="19"/>
        <v>Senior Citizen</v>
      </c>
    </row>
    <row r="273" spans="1:25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16"/>
        <v>49-60 Months</v>
      </c>
      <c r="W273">
        <f t="shared" si="17"/>
        <v>0</v>
      </c>
      <c r="X273">
        <f t="shared" si="18"/>
        <v>0</v>
      </c>
      <c r="Y273" t="str">
        <f t="shared" si="19"/>
        <v>Non-Senior</v>
      </c>
    </row>
    <row r="274" spans="1:25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16"/>
        <v>0-12 Months</v>
      </c>
      <c r="W274">
        <f t="shared" si="17"/>
        <v>1</v>
      </c>
      <c r="X274">
        <f t="shared" si="18"/>
        <v>24.8</v>
      </c>
      <c r="Y274" t="str">
        <f t="shared" si="19"/>
        <v>Non-Senior</v>
      </c>
    </row>
    <row r="275" spans="1:25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16"/>
        <v>13-24 Months</v>
      </c>
      <c r="W275">
        <f t="shared" si="17"/>
        <v>0</v>
      </c>
      <c r="X275">
        <f t="shared" si="18"/>
        <v>0</v>
      </c>
      <c r="Y275" t="str">
        <f t="shared" si="19"/>
        <v>Senior Citizen</v>
      </c>
    </row>
    <row r="276" spans="1:25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16"/>
        <v>0-12 Months</v>
      </c>
      <c r="W276">
        <f t="shared" si="17"/>
        <v>1</v>
      </c>
      <c r="X276">
        <f t="shared" si="18"/>
        <v>70.599999999999994</v>
      </c>
      <c r="Y276" t="str">
        <f t="shared" si="19"/>
        <v>Non-Senior</v>
      </c>
    </row>
    <row r="277" spans="1:25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16"/>
        <v>0-12 Months</v>
      </c>
      <c r="W277">
        <f t="shared" si="17"/>
        <v>1</v>
      </c>
      <c r="X277">
        <f t="shared" si="18"/>
        <v>85.4</v>
      </c>
      <c r="Y277" t="str">
        <f t="shared" si="19"/>
        <v>Non-Senior</v>
      </c>
    </row>
    <row r="278" spans="1:25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16"/>
        <v>49-60 Months</v>
      </c>
      <c r="W278">
        <f t="shared" si="17"/>
        <v>1</v>
      </c>
      <c r="X278">
        <f t="shared" si="18"/>
        <v>105.05</v>
      </c>
      <c r="Y278" t="str">
        <f t="shared" si="19"/>
        <v>Non-Senior</v>
      </c>
    </row>
    <row r="279" spans="1:25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16"/>
        <v>13-24 Months</v>
      </c>
      <c r="W279">
        <f t="shared" si="17"/>
        <v>0</v>
      </c>
      <c r="X279">
        <f t="shared" si="18"/>
        <v>0</v>
      </c>
      <c r="Y279" t="str">
        <f t="shared" si="19"/>
        <v>Senior Citizen</v>
      </c>
    </row>
    <row r="280" spans="1:25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16"/>
        <v>13-24 Months</v>
      </c>
      <c r="W280">
        <f t="shared" si="17"/>
        <v>0</v>
      </c>
      <c r="X280">
        <f t="shared" si="18"/>
        <v>0</v>
      </c>
      <c r="Y280" t="str">
        <f t="shared" si="19"/>
        <v>Non-Senior</v>
      </c>
    </row>
    <row r="281" spans="1:25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16"/>
        <v>0-12 Months</v>
      </c>
      <c r="W281">
        <f t="shared" si="17"/>
        <v>0</v>
      </c>
      <c r="X281">
        <f t="shared" si="18"/>
        <v>0</v>
      </c>
      <c r="Y281" t="str">
        <f t="shared" si="19"/>
        <v>Non-Senior</v>
      </c>
    </row>
    <row r="282" spans="1:25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16"/>
        <v>0-12 Months</v>
      </c>
      <c r="W282">
        <f t="shared" si="17"/>
        <v>0</v>
      </c>
      <c r="X282">
        <f t="shared" si="18"/>
        <v>0</v>
      </c>
      <c r="Y282" t="str">
        <f t="shared" si="19"/>
        <v>Non-Senior</v>
      </c>
    </row>
    <row r="283" spans="1:25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16"/>
        <v>0-12 Months</v>
      </c>
      <c r="W283">
        <f t="shared" si="17"/>
        <v>0</v>
      </c>
      <c r="X283">
        <f t="shared" si="18"/>
        <v>0</v>
      </c>
      <c r="Y283" t="str">
        <f t="shared" si="19"/>
        <v>Non-Senior</v>
      </c>
    </row>
    <row r="284" spans="1:25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7082</v>
      </c>
      <c r="J284" t="s">
        <v>7084</v>
      </c>
      <c r="K284" t="s">
        <v>46</v>
      </c>
      <c r="L284" t="s">
        <v>7084</v>
      </c>
      <c r="M284" t="s">
        <v>7084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16"/>
        <v>0-12 Months</v>
      </c>
      <c r="W284">
        <f t="shared" si="17"/>
        <v>0</v>
      </c>
      <c r="X284">
        <f t="shared" si="18"/>
        <v>0</v>
      </c>
      <c r="Y284" t="str">
        <f t="shared" si="19"/>
        <v>Non-Senior</v>
      </c>
    </row>
    <row r="285" spans="1:25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16"/>
        <v>61-72 Months</v>
      </c>
      <c r="W285">
        <f t="shared" si="17"/>
        <v>0</v>
      </c>
      <c r="X285">
        <f t="shared" si="18"/>
        <v>0</v>
      </c>
      <c r="Y285" t="str">
        <f t="shared" si="19"/>
        <v>Non-Senior</v>
      </c>
    </row>
    <row r="286" spans="1:25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16"/>
        <v>13-24 Months</v>
      </c>
      <c r="W286">
        <f t="shared" si="17"/>
        <v>1</v>
      </c>
      <c r="X286">
        <f t="shared" si="18"/>
        <v>95.15</v>
      </c>
      <c r="Y286" t="str">
        <f t="shared" si="19"/>
        <v>Non-Senior</v>
      </c>
    </row>
    <row r="287" spans="1:25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16"/>
        <v>13-24 Months</v>
      </c>
      <c r="W287">
        <f t="shared" si="17"/>
        <v>0</v>
      </c>
      <c r="X287">
        <f t="shared" si="18"/>
        <v>0</v>
      </c>
      <c r="Y287" t="str">
        <f t="shared" si="19"/>
        <v>Non-Senior</v>
      </c>
    </row>
    <row r="288" spans="1:25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16"/>
        <v>13-24 Months</v>
      </c>
      <c r="W288">
        <f t="shared" si="17"/>
        <v>0</v>
      </c>
      <c r="X288">
        <f t="shared" si="18"/>
        <v>0</v>
      </c>
      <c r="Y288" t="str">
        <f t="shared" si="19"/>
        <v>Non-Senior</v>
      </c>
    </row>
    <row r="289" spans="1:25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16"/>
        <v>0-12 Months</v>
      </c>
      <c r="W289">
        <f t="shared" si="17"/>
        <v>1</v>
      </c>
      <c r="X289">
        <f t="shared" si="18"/>
        <v>70</v>
      </c>
      <c r="Y289" t="str">
        <f t="shared" si="19"/>
        <v>Non-Senior</v>
      </c>
    </row>
    <row r="290" spans="1:25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16"/>
        <v>0-12 Months</v>
      </c>
      <c r="W290">
        <f t="shared" si="17"/>
        <v>1</v>
      </c>
      <c r="X290">
        <f t="shared" si="18"/>
        <v>74.5</v>
      </c>
      <c r="Y290" t="str">
        <f t="shared" si="19"/>
        <v>Senior Citizen</v>
      </c>
    </row>
    <row r="291" spans="1:25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16"/>
        <v>0-12 Months</v>
      </c>
      <c r="W291">
        <f t="shared" si="17"/>
        <v>1</v>
      </c>
      <c r="X291">
        <f t="shared" si="18"/>
        <v>44.85</v>
      </c>
      <c r="Y291" t="str">
        <f t="shared" si="19"/>
        <v>Non-Senior</v>
      </c>
    </row>
    <row r="292" spans="1:25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16"/>
        <v>13-24 Months</v>
      </c>
      <c r="W292">
        <f t="shared" si="17"/>
        <v>1</v>
      </c>
      <c r="X292">
        <f t="shared" si="18"/>
        <v>76.099999999999994</v>
      </c>
      <c r="Y292" t="str">
        <f t="shared" si="19"/>
        <v>Senior Citizen</v>
      </c>
    </row>
    <row r="293" spans="1:25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16"/>
        <v>25-36 Months</v>
      </c>
      <c r="W293">
        <f t="shared" si="17"/>
        <v>0</v>
      </c>
      <c r="X293">
        <f t="shared" si="18"/>
        <v>0</v>
      </c>
      <c r="Y293" t="str">
        <f t="shared" si="19"/>
        <v>Non-Senior</v>
      </c>
    </row>
    <row r="294" spans="1:25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16"/>
        <v>13-24 Months</v>
      </c>
      <c r="W294">
        <f t="shared" si="17"/>
        <v>0</v>
      </c>
      <c r="X294">
        <f t="shared" si="18"/>
        <v>0</v>
      </c>
      <c r="Y294" t="str">
        <f t="shared" si="19"/>
        <v>Non-Senior</v>
      </c>
    </row>
    <row r="295" spans="1:25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16"/>
        <v>0-12 Months</v>
      </c>
      <c r="W295">
        <f t="shared" si="17"/>
        <v>0</v>
      </c>
      <c r="X295">
        <f t="shared" si="18"/>
        <v>0</v>
      </c>
      <c r="Y295" t="str">
        <f t="shared" si="19"/>
        <v>Senior Citizen</v>
      </c>
    </row>
    <row r="296" spans="1:25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7082</v>
      </c>
      <c r="J296" t="s">
        <v>7084</v>
      </c>
      <c r="K296" t="s">
        <v>46</v>
      </c>
      <c r="L296" t="s">
        <v>7084</v>
      </c>
      <c r="M296" t="s">
        <v>7084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16"/>
        <v>0-12 Months</v>
      </c>
      <c r="W296">
        <f t="shared" si="17"/>
        <v>0</v>
      </c>
      <c r="X296">
        <f t="shared" si="18"/>
        <v>0</v>
      </c>
      <c r="Y296" t="str">
        <f t="shared" si="19"/>
        <v>Non-Senior</v>
      </c>
    </row>
    <row r="297" spans="1:25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7082</v>
      </c>
      <c r="J297" t="s">
        <v>7084</v>
      </c>
      <c r="K297" t="s">
        <v>46</v>
      </c>
      <c r="L297" t="s">
        <v>7084</v>
      </c>
      <c r="M297" t="s">
        <v>7084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16"/>
        <v>0-12 Months</v>
      </c>
      <c r="W297">
        <f t="shared" si="17"/>
        <v>0</v>
      </c>
      <c r="X297">
        <f t="shared" si="18"/>
        <v>0</v>
      </c>
      <c r="Y297" t="str">
        <f t="shared" si="19"/>
        <v>Non-Senior</v>
      </c>
    </row>
    <row r="298" spans="1:25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16"/>
        <v>61-72 Months</v>
      </c>
      <c r="W298">
        <f t="shared" si="17"/>
        <v>0</v>
      </c>
      <c r="X298">
        <f t="shared" si="18"/>
        <v>0</v>
      </c>
      <c r="Y298" t="str">
        <f t="shared" si="19"/>
        <v>Non-Senior</v>
      </c>
    </row>
    <row r="299" spans="1:25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16"/>
        <v>25-36 Months</v>
      </c>
      <c r="W299">
        <f t="shared" si="17"/>
        <v>0</v>
      </c>
      <c r="X299">
        <f t="shared" si="18"/>
        <v>0</v>
      </c>
      <c r="Y299" t="str">
        <f t="shared" si="19"/>
        <v>Senior Citizen</v>
      </c>
    </row>
    <row r="300" spans="1:25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16"/>
        <v>37-48 Months</v>
      </c>
      <c r="W300">
        <f t="shared" si="17"/>
        <v>0</v>
      </c>
      <c r="X300">
        <f t="shared" si="18"/>
        <v>0</v>
      </c>
      <c r="Y300" t="str">
        <f t="shared" si="19"/>
        <v>Non-Senior</v>
      </c>
    </row>
    <row r="301" spans="1:25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16"/>
        <v>0-12 Months</v>
      </c>
      <c r="W301">
        <f t="shared" si="17"/>
        <v>1</v>
      </c>
      <c r="X301">
        <f t="shared" si="18"/>
        <v>73.599999999999994</v>
      </c>
      <c r="Y301" t="str">
        <f t="shared" si="19"/>
        <v>Non-Senior</v>
      </c>
    </row>
    <row r="302" spans="1:25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16"/>
        <v>13-24 Months</v>
      </c>
      <c r="W302">
        <f t="shared" si="17"/>
        <v>0</v>
      </c>
      <c r="X302">
        <f t="shared" si="18"/>
        <v>0</v>
      </c>
      <c r="Y302" t="str">
        <f t="shared" si="19"/>
        <v>Non-Senior</v>
      </c>
    </row>
    <row r="303" spans="1:25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16"/>
        <v>0-12 Months</v>
      </c>
      <c r="W303">
        <f t="shared" si="17"/>
        <v>1</v>
      </c>
      <c r="X303">
        <f t="shared" si="18"/>
        <v>95.45</v>
      </c>
      <c r="Y303" t="str">
        <f t="shared" si="19"/>
        <v>Senior Citizen</v>
      </c>
    </row>
    <row r="304" spans="1:25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16"/>
        <v>0-12 Months</v>
      </c>
      <c r="W304">
        <f t="shared" si="17"/>
        <v>0</v>
      </c>
      <c r="X304">
        <f t="shared" si="18"/>
        <v>0</v>
      </c>
      <c r="Y304" t="str">
        <f t="shared" si="19"/>
        <v>Non-Senior</v>
      </c>
    </row>
    <row r="305" spans="1:25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16"/>
        <v>61-72 Months</v>
      </c>
      <c r="W305">
        <f t="shared" si="17"/>
        <v>0</v>
      </c>
      <c r="X305">
        <f t="shared" si="18"/>
        <v>0</v>
      </c>
      <c r="Y305" t="str">
        <f t="shared" si="19"/>
        <v>Non-Senior</v>
      </c>
    </row>
    <row r="306" spans="1:25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16"/>
        <v>37-48 Months</v>
      </c>
      <c r="W306">
        <f t="shared" si="17"/>
        <v>0</v>
      </c>
      <c r="X306">
        <f t="shared" si="18"/>
        <v>0</v>
      </c>
      <c r="Y306" t="str">
        <f t="shared" si="19"/>
        <v>Non-Senior</v>
      </c>
    </row>
    <row r="307" spans="1:25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7082</v>
      </c>
      <c r="J307" t="s">
        <v>7084</v>
      </c>
      <c r="K307" t="s">
        <v>46</v>
      </c>
      <c r="L307" t="s">
        <v>7084</v>
      </c>
      <c r="M307" t="s">
        <v>7084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16"/>
        <v>49-60 Months</v>
      </c>
      <c r="W307">
        <f t="shared" si="17"/>
        <v>0</v>
      </c>
      <c r="X307">
        <f t="shared" si="18"/>
        <v>0</v>
      </c>
      <c r="Y307" t="str">
        <f t="shared" si="19"/>
        <v>Non-Senior</v>
      </c>
    </row>
    <row r="308" spans="1:25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16"/>
        <v>25-36 Months</v>
      </c>
      <c r="W308">
        <f t="shared" si="17"/>
        <v>1</v>
      </c>
      <c r="X308">
        <f t="shared" si="18"/>
        <v>74.900000000000006</v>
      </c>
      <c r="Y308" t="str">
        <f t="shared" si="19"/>
        <v>Senior Citizen</v>
      </c>
    </row>
    <row r="309" spans="1:25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16"/>
        <v>25-36 Months</v>
      </c>
      <c r="W309">
        <f t="shared" si="17"/>
        <v>0</v>
      </c>
      <c r="X309">
        <f t="shared" si="18"/>
        <v>0</v>
      </c>
      <c r="Y309" t="str">
        <f t="shared" si="19"/>
        <v>Non-Senior</v>
      </c>
    </row>
    <row r="310" spans="1:25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16"/>
        <v>37-48 Months</v>
      </c>
      <c r="W310">
        <f t="shared" si="17"/>
        <v>0</v>
      </c>
      <c r="X310">
        <f t="shared" si="18"/>
        <v>0</v>
      </c>
      <c r="Y310" t="str">
        <f t="shared" si="19"/>
        <v>Senior Citizen</v>
      </c>
    </row>
    <row r="311" spans="1:25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16"/>
        <v>37-48 Months</v>
      </c>
      <c r="W311">
        <f t="shared" si="17"/>
        <v>0</v>
      </c>
      <c r="X311">
        <f t="shared" si="18"/>
        <v>0</v>
      </c>
      <c r="Y311" t="str">
        <f t="shared" si="19"/>
        <v>Non-Senior</v>
      </c>
    </row>
    <row r="312" spans="1:25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7082</v>
      </c>
      <c r="J312" t="s">
        <v>7084</v>
      </c>
      <c r="K312" t="s">
        <v>46</v>
      </c>
      <c r="L312" t="s">
        <v>7084</v>
      </c>
      <c r="M312" t="s">
        <v>7084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16"/>
        <v>0-12 Months</v>
      </c>
      <c r="W312">
        <f t="shared" si="17"/>
        <v>0</v>
      </c>
      <c r="X312">
        <f t="shared" si="18"/>
        <v>0</v>
      </c>
      <c r="Y312" t="str">
        <f t="shared" si="19"/>
        <v>Non-Senior</v>
      </c>
    </row>
    <row r="313" spans="1:25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16"/>
        <v>13-24 Months</v>
      </c>
      <c r="W313">
        <f t="shared" si="17"/>
        <v>0</v>
      </c>
      <c r="X313">
        <f t="shared" si="18"/>
        <v>0</v>
      </c>
      <c r="Y313" t="str">
        <f t="shared" si="19"/>
        <v>Non-Senior</v>
      </c>
    </row>
    <row r="314" spans="1:25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16"/>
        <v>37-48 Months</v>
      </c>
      <c r="W314">
        <f t="shared" si="17"/>
        <v>0</v>
      </c>
      <c r="X314">
        <f t="shared" si="18"/>
        <v>0</v>
      </c>
      <c r="Y314" t="str">
        <f t="shared" si="19"/>
        <v>Non-Senior</v>
      </c>
    </row>
    <row r="315" spans="1:25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16"/>
        <v>0-12 Months</v>
      </c>
      <c r="W315">
        <f t="shared" si="17"/>
        <v>0</v>
      </c>
      <c r="X315">
        <f t="shared" si="18"/>
        <v>0</v>
      </c>
      <c r="Y315" t="str">
        <f t="shared" si="19"/>
        <v>Senior Citizen</v>
      </c>
    </row>
    <row r="316" spans="1:25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16"/>
        <v>0-12 Months</v>
      </c>
      <c r="W316">
        <f t="shared" si="17"/>
        <v>1</v>
      </c>
      <c r="X316">
        <f t="shared" si="18"/>
        <v>80.599999999999994</v>
      </c>
      <c r="Y316" t="str">
        <f t="shared" si="19"/>
        <v>Non-Senior</v>
      </c>
    </row>
    <row r="317" spans="1:25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16"/>
        <v>49-60 Months</v>
      </c>
      <c r="W317">
        <f t="shared" si="17"/>
        <v>0</v>
      </c>
      <c r="X317">
        <f t="shared" si="18"/>
        <v>0</v>
      </c>
      <c r="Y317" t="str">
        <f t="shared" si="19"/>
        <v>Non-Senior</v>
      </c>
    </row>
    <row r="318" spans="1:25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7082</v>
      </c>
      <c r="J318" t="s">
        <v>7084</v>
      </c>
      <c r="K318" t="s">
        <v>46</v>
      </c>
      <c r="L318" t="s">
        <v>7084</v>
      </c>
      <c r="M318" t="s">
        <v>7084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16"/>
        <v>61-72 Months</v>
      </c>
      <c r="W318">
        <f t="shared" si="17"/>
        <v>0</v>
      </c>
      <c r="X318">
        <f t="shared" si="18"/>
        <v>0</v>
      </c>
      <c r="Y318" t="str">
        <f t="shared" si="19"/>
        <v>Non-Senior</v>
      </c>
    </row>
    <row r="319" spans="1:25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16"/>
        <v>37-48 Months</v>
      </c>
      <c r="W319">
        <f t="shared" si="17"/>
        <v>1</v>
      </c>
      <c r="X319">
        <f t="shared" si="18"/>
        <v>80.3</v>
      </c>
      <c r="Y319" t="str">
        <f t="shared" si="19"/>
        <v>Non-Senior</v>
      </c>
    </row>
    <row r="320" spans="1:25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16"/>
        <v>13-24 Months</v>
      </c>
      <c r="W320">
        <f t="shared" si="17"/>
        <v>1</v>
      </c>
      <c r="X320">
        <f t="shared" si="18"/>
        <v>93.15</v>
      </c>
      <c r="Y320" t="str">
        <f t="shared" si="19"/>
        <v>Senior Citizen</v>
      </c>
    </row>
    <row r="321" spans="1:25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16"/>
        <v>25-36 Months</v>
      </c>
      <c r="W321">
        <f t="shared" si="17"/>
        <v>0</v>
      </c>
      <c r="X321">
        <f t="shared" si="18"/>
        <v>0</v>
      </c>
      <c r="Y321" t="str">
        <f t="shared" si="19"/>
        <v>Non-Senior</v>
      </c>
    </row>
    <row r="322" spans="1:25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si="16"/>
        <v>49-60 Months</v>
      </c>
      <c r="W322">
        <f t="shared" si="17"/>
        <v>1</v>
      </c>
      <c r="X322">
        <f t="shared" si="18"/>
        <v>82.45</v>
      </c>
      <c r="Y322" t="str">
        <f t="shared" si="19"/>
        <v>Senior Citizen</v>
      </c>
    </row>
    <row r="323" spans="1:25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ref="V323:V386" si="20">IF(F323&lt;=12,"0-12 Months",IF(F323&lt;=24,"13-24 Months",IF(F323&lt;=36,"25-36 Months",IF(F323&lt;=48,"37-48 Months",IF(F323&lt;=60,"49-60 Months","61-72 Months")))))</f>
        <v>61-72 Months</v>
      </c>
      <c r="W323">
        <f t="shared" ref="W323:W386" si="21">IF(U323="Yes",1,0)</f>
        <v>0</v>
      </c>
      <c r="X323">
        <f t="shared" ref="X323:X386" si="22">IF(U323="Yes",S323,0)</f>
        <v>0</v>
      </c>
      <c r="Y323" t="str">
        <f t="shared" ref="Y323:Y386" si="23">IF(C323=1,"Senior Citizen","Non-Senior")</f>
        <v>Non-Senior</v>
      </c>
    </row>
    <row r="324" spans="1:25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20"/>
        <v>0-12 Months</v>
      </c>
      <c r="W324">
        <f t="shared" si="21"/>
        <v>0</v>
      </c>
      <c r="X324">
        <f t="shared" si="22"/>
        <v>0</v>
      </c>
      <c r="Y324" t="str">
        <f t="shared" si="23"/>
        <v>Non-Senior</v>
      </c>
    </row>
    <row r="325" spans="1:25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20"/>
        <v>0-12 Months</v>
      </c>
      <c r="W325">
        <f t="shared" si="21"/>
        <v>0</v>
      </c>
      <c r="X325">
        <f t="shared" si="22"/>
        <v>0</v>
      </c>
      <c r="Y325" t="str">
        <f t="shared" si="23"/>
        <v>Non-Senior</v>
      </c>
    </row>
    <row r="326" spans="1:25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20"/>
        <v>61-72 Months</v>
      </c>
      <c r="W326">
        <f t="shared" si="21"/>
        <v>0</v>
      </c>
      <c r="X326">
        <f t="shared" si="22"/>
        <v>0</v>
      </c>
      <c r="Y326" t="str">
        <f t="shared" si="23"/>
        <v>Non-Senior</v>
      </c>
    </row>
    <row r="327" spans="1:25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20"/>
        <v>49-60 Months</v>
      </c>
      <c r="W327">
        <f t="shared" si="21"/>
        <v>0</v>
      </c>
      <c r="X327">
        <f t="shared" si="22"/>
        <v>0</v>
      </c>
      <c r="Y327" t="str">
        <f t="shared" si="23"/>
        <v>Non-Senior</v>
      </c>
    </row>
    <row r="328" spans="1:25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20"/>
        <v>0-12 Months</v>
      </c>
      <c r="W328">
        <f t="shared" si="21"/>
        <v>0</v>
      </c>
      <c r="X328">
        <f t="shared" si="22"/>
        <v>0</v>
      </c>
      <c r="Y328" t="str">
        <f t="shared" si="23"/>
        <v>Senior Citizen</v>
      </c>
    </row>
    <row r="329" spans="1:25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20"/>
        <v>0-12 Months</v>
      </c>
      <c r="W329">
        <f t="shared" si="21"/>
        <v>1</v>
      </c>
      <c r="X329">
        <f t="shared" si="22"/>
        <v>70.349999999999994</v>
      </c>
      <c r="Y329" t="str">
        <f t="shared" si="23"/>
        <v>Senior Citizen</v>
      </c>
    </row>
    <row r="330" spans="1:25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20"/>
        <v>25-36 Months</v>
      </c>
      <c r="W330">
        <f t="shared" si="21"/>
        <v>0</v>
      </c>
      <c r="X330">
        <f t="shared" si="22"/>
        <v>0</v>
      </c>
      <c r="Y330" t="str">
        <f t="shared" si="23"/>
        <v>Senior Citizen</v>
      </c>
    </row>
    <row r="331" spans="1:25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20"/>
        <v>13-24 Months</v>
      </c>
      <c r="W331">
        <f t="shared" si="21"/>
        <v>0</v>
      </c>
      <c r="X331">
        <f t="shared" si="22"/>
        <v>0</v>
      </c>
      <c r="Y331" t="str">
        <f t="shared" si="23"/>
        <v>Senior Citizen</v>
      </c>
    </row>
    <row r="332" spans="1:25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7082</v>
      </c>
      <c r="J332" t="s">
        <v>7084</v>
      </c>
      <c r="K332" t="s">
        <v>46</v>
      </c>
      <c r="L332" t="s">
        <v>7084</v>
      </c>
      <c r="M332" t="s">
        <v>7084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20"/>
        <v>25-36 Months</v>
      </c>
      <c r="W332">
        <f t="shared" si="21"/>
        <v>0</v>
      </c>
      <c r="X332">
        <f t="shared" si="22"/>
        <v>0</v>
      </c>
      <c r="Y332" t="str">
        <f t="shared" si="23"/>
        <v>Non-Senior</v>
      </c>
    </row>
    <row r="333" spans="1:25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7082</v>
      </c>
      <c r="J333" t="s">
        <v>7084</v>
      </c>
      <c r="K333" t="s">
        <v>46</v>
      </c>
      <c r="L333" t="s">
        <v>7084</v>
      </c>
      <c r="M333" t="s">
        <v>7084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20"/>
        <v>0-12 Months</v>
      </c>
      <c r="W333">
        <f t="shared" si="21"/>
        <v>0</v>
      </c>
      <c r="X333">
        <f t="shared" si="22"/>
        <v>0</v>
      </c>
      <c r="Y333" t="str">
        <f t="shared" si="23"/>
        <v>Non-Senior</v>
      </c>
    </row>
    <row r="334" spans="1:25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20"/>
        <v>37-48 Months</v>
      </c>
      <c r="W334">
        <f t="shared" si="21"/>
        <v>0</v>
      </c>
      <c r="X334">
        <f t="shared" si="22"/>
        <v>0</v>
      </c>
      <c r="Y334" t="str">
        <f t="shared" si="23"/>
        <v>Non-Senior</v>
      </c>
    </row>
    <row r="335" spans="1:25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20"/>
        <v>0-12 Months</v>
      </c>
      <c r="W335">
        <f t="shared" si="21"/>
        <v>1</v>
      </c>
      <c r="X335">
        <f t="shared" si="22"/>
        <v>73.849999999999994</v>
      </c>
      <c r="Y335" t="str">
        <f t="shared" si="23"/>
        <v>Non-Senior</v>
      </c>
    </row>
    <row r="336" spans="1:25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20"/>
        <v>0-12 Months</v>
      </c>
      <c r="W336">
        <f t="shared" si="21"/>
        <v>1</v>
      </c>
      <c r="X336">
        <f t="shared" si="22"/>
        <v>80.599999999999994</v>
      </c>
      <c r="Y336" t="str">
        <f t="shared" si="23"/>
        <v>Non-Senior</v>
      </c>
    </row>
    <row r="337" spans="1:25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20"/>
        <v>61-72 Months</v>
      </c>
      <c r="W337">
        <f t="shared" si="21"/>
        <v>1</v>
      </c>
      <c r="X337">
        <f t="shared" si="22"/>
        <v>75.8</v>
      </c>
      <c r="Y337" t="str">
        <f t="shared" si="23"/>
        <v>Non-Senior</v>
      </c>
    </row>
    <row r="338" spans="1:25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20"/>
        <v>37-48 Months</v>
      </c>
      <c r="W338">
        <f t="shared" si="21"/>
        <v>1</v>
      </c>
      <c r="X338">
        <f t="shared" si="22"/>
        <v>104.6</v>
      </c>
      <c r="Y338" t="str">
        <f t="shared" si="23"/>
        <v>Non-Senior</v>
      </c>
    </row>
    <row r="339" spans="1:25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20"/>
        <v>61-72 Months</v>
      </c>
      <c r="W339">
        <f t="shared" si="21"/>
        <v>0</v>
      </c>
      <c r="X339">
        <f t="shared" si="22"/>
        <v>0</v>
      </c>
      <c r="Y339" t="str">
        <f t="shared" si="23"/>
        <v>Non-Senior</v>
      </c>
    </row>
    <row r="340" spans="1:25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20"/>
        <v>25-36 Months</v>
      </c>
      <c r="W340">
        <f t="shared" si="21"/>
        <v>0</v>
      </c>
      <c r="X340">
        <f t="shared" si="22"/>
        <v>0</v>
      </c>
      <c r="Y340" t="str">
        <f t="shared" si="23"/>
        <v>Non-Senior</v>
      </c>
    </row>
    <row r="341" spans="1:25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20"/>
        <v>61-72 Months</v>
      </c>
      <c r="W341">
        <f t="shared" si="21"/>
        <v>1</v>
      </c>
      <c r="X341">
        <f t="shared" si="22"/>
        <v>103.4</v>
      </c>
      <c r="Y341" t="str">
        <f t="shared" si="23"/>
        <v>Non-Senior</v>
      </c>
    </row>
    <row r="342" spans="1:25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20"/>
        <v>25-36 Months</v>
      </c>
      <c r="W342">
        <f t="shared" si="21"/>
        <v>0</v>
      </c>
      <c r="X342">
        <f t="shared" si="22"/>
        <v>0</v>
      </c>
      <c r="Y342" t="str">
        <f t="shared" si="23"/>
        <v>Senior Citizen</v>
      </c>
    </row>
    <row r="343" spans="1:25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20"/>
        <v>61-72 Months</v>
      </c>
      <c r="W343">
        <f t="shared" si="21"/>
        <v>0</v>
      </c>
      <c r="X343">
        <f t="shared" si="22"/>
        <v>0</v>
      </c>
      <c r="Y343" t="str">
        <f t="shared" si="23"/>
        <v>Non-Senior</v>
      </c>
    </row>
    <row r="344" spans="1:25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20"/>
        <v>61-72 Months</v>
      </c>
      <c r="W344">
        <f t="shared" si="21"/>
        <v>0</v>
      </c>
      <c r="X344">
        <f t="shared" si="22"/>
        <v>0</v>
      </c>
      <c r="Y344" t="str">
        <f t="shared" si="23"/>
        <v>Non-Senior</v>
      </c>
    </row>
    <row r="345" spans="1:25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7082</v>
      </c>
      <c r="J345" t="s">
        <v>7084</v>
      </c>
      <c r="K345" t="s">
        <v>46</v>
      </c>
      <c r="L345" t="s">
        <v>7084</v>
      </c>
      <c r="M345" t="s">
        <v>7084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20"/>
        <v>61-72 Months</v>
      </c>
      <c r="W345">
        <f t="shared" si="21"/>
        <v>0</v>
      </c>
      <c r="X345">
        <f t="shared" si="22"/>
        <v>0</v>
      </c>
      <c r="Y345" t="str">
        <f t="shared" si="23"/>
        <v>Non-Senior</v>
      </c>
    </row>
    <row r="346" spans="1:25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7082</v>
      </c>
      <c r="J346" t="s">
        <v>7084</v>
      </c>
      <c r="K346" t="s">
        <v>46</v>
      </c>
      <c r="L346" t="s">
        <v>7084</v>
      </c>
      <c r="M346" t="s">
        <v>7084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20"/>
        <v>37-48 Months</v>
      </c>
      <c r="W346">
        <f t="shared" si="21"/>
        <v>0</v>
      </c>
      <c r="X346">
        <f t="shared" si="22"/>
        <v>0</v>
      </c>
      <c r="Y346" t="str">
        <f t="shared" si="23"/>
        <v>Non-Senior</v>
      </c>
    </row>
    <row r="347" spans="1:25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20"/>
        <v>0-12 Months</v>
      </c>
      <c r="W347">
        <f t="shared" si="21"/>
        <v>0</v>
      </c>
      <c r="X347">
        <f t="shared" si="22"/>
        <v>0</v>
      </c>
      <c r="Y347" t="str">
        <f t="shared" si="23"/>
        <v>Senior Citizen</v>
      </c>
    </row>
    <row r="348" spans="1:25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20"/>
        <v>0-12 Months</v>
      </c>
      <c r="W348">
        <f t="shared" si="21"/>
        <v>1</v>
      </c>
      <c r="X348">
        <f t="shared" si="22"/>
        <v>90.4</v>
      </c>
      <c r="Y348" t="str">
        <f t="shared" si="23"/>
        <v>Non-Senior</v>
      </c>
    </row>
    <row r="349" spans="1:25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7082</v>
      </c>
      <c r="J349" t="s">
        <v>7084</v>
      </c>
      <c r="K349" t="s">
        <v>46</v>
      </c>
      <c r="L349" t="s">
        <v>7084</v>
      </c>
      <c r="M349" t="s">
        <v>7084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20"/>
        <v>61-72 Months</v>
      </c>
      <c r="W349">
        <f t="shared" si="21"/>
        <v>0</v>
      </c>
      <c r="X349">
        <f t="shared" si="22"/>
        <v>0</v>
      </c>
      <c r="Y349" t="str">
        <f t="shared" si="23"/>
        <v>Non-Senior</v>
      </c>
    </row>
    <row r="350" spans="1:25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20"/>
        <v>13-24 Months</v>
      </c>
      <c r="W350">
        <f t="shared" si="21"/>
        <v>0</v>
      </c>
      <c r="X350">
        <f t="shared" si="22"/>
        <v>0</v>
      </c>
      <c r="Y350" t="str">
        <f t="shared" si="23"/>
        <v>Non-Senior</v>
      </c>
    </row>
    <row r="351" spans="1:25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20"/>
        <v>61-72 Months</v>
      </c>
      <c r="W351">
        <f t="shared" si="21"/>
        <v>0</v>
      </c>
      <c r="X351">
        <f t="shared" si="22"/>
        <v>0</v>
      </c>
      <c r="Y351" t="str">
        <f t="shared" si="23"/>
        <v>Senior Citizen</v>
      </c>
    </row>
    <row r="352" spans="1:25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20"/>
        <v>37-48 Months</v>
      </c>
      <c r="W352">
        <f t="shared" si="21"/>
        <v>0</v>
      </c>
      <c r="X352">
        <f t="shared" si="22"/>
        <v>0</v>
      </c>
      <c r="Y352" t="str">
        <f t="shared" si="23"/>
        <v>Non-Senior</v>
      </c>
    </row>
    <row r="353" spans="1:25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20"/>
        <v>13-24 Months</v>
      </c>
      <c r="W353">
        <f t="shared" si="21"/>
        <v>0</v>
      </c>
      <c r="X353">
        <f t="shared" si="22"/>
        <v>0</v>
      </c>
      <c r="Y353" t="str">
        <f t="shared" si="23"/>
        <v>Non-Senior</v>
      </c>
    </row>
    <row r="354" spans="1:25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20"/>
        <v>0-12 Months</v>
      </c>
      <c r="W354">
        <f t="shared" si="21"/>
        <v>0</v>
      </c>
      <c r="X354">
        <f t="shared" si="22"/>
        <v>0</v>
      </c>
      <c r="Y354" t="str">
        <f t="shared" si="23"/>
        <v>Senior Citizen</v>
      </c>
    </row>
    <row r="355" spans="1:25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20"/>
        <v>0-12 Months</v>
      </c>
      <c r="W355">
        <f t="shared" si="21"/>
        <v>1</v>
      </c>
      <c r="X355">
        <f t="shared" si="22"/>
        <v>84.8</v>
      </c>
      <c r="Y355" t="str">
        <f t="shared" si="23"/>
        <v>Non-Senior</v>
      </c>
    </row>
    <row r="356" spans="1:25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20"/>
        <v>13-24 Months</v>
      </c>
      <c r="W356">
        <f t="shared" si="21"/>
        <v>1</v>
      </c>
      <c r="X356">
        <f t="shared" si="22"/>
        <v>41.9</v>
      </c>
      <c r="Y356" t="str">
        <f t="shared" si="23"/>
        <v>Senior Citizen</v>
      </c>
    </row>
    <row r="357" spans="1:25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20"/>
        <v>0-12 Months</v>
      </c>
      <c r="W357">
        <f t="shared" si="21"/>
        <v>1</v>
      </c>
      <c r="X357">
        <f t="shared" si="22"/>
        <v>80.25</v>
      </c>
      <c r="Y357" t="str">
        <f t="shared" si="23"/>
        <v>Non-Senior</v>
      </c>
    </row>
    <row r="358" spans="1:25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20"/>
        <v>13-24 Months</v>
      </c>
      <c r="W358">
        <f t="shared" si="21"/>
        <v>0</v>
      </c>
      <c r="X358">
        <f t="shared" si="22"/>
        <v>0</v>
      </c>
      <c r="Y358" t="str">
        <f t="shared" si="23"/>
        <v>Senior Citizen</v>
      </c>
    </row>
    <row r="359" spans="1:25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20"/>
        <v>61-72 Months</v>
      </c>
      <c r="W359">
        <f t="shared" si="21"/>
        <v>0</v>
      </c>
      <c r="X359">
        <f t="shared" si="22"/>
        <v>0</v>
      </c>
      <c r="Y359" t="str">
        <f t="shared" si="23"/>
        <v>Non-Senior</v>
      </c>
    </row>
    <row r="360" spans="1:25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20"/>
        <v>25-36 Months</v>
      </c>
      <c r="W360">
        <f t="shared" si="21"/>
        <v>1</v>
      </c>
      <c r="X360">
        <f t="shared" si="22"/>
        <v>30.75</v>
      </c>
      <c r="Y360" t="str">
        <f t="shared" si="23"/>
        <v>Senior Citizen</v>
      </c>
    </row>
    <row r="361" spans="1:25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20"/>
        <v>37-48 Months</v>
      </c>
      <c r="W361">
        <f t="shared" si="21"/>
        <v>0</v>
      </c>
      <c r="X361">
        <f t="shared" si="22"/>
        <v>0</v>
      </c>
      <c r="Y361" t="str">
        <f t="shared" si="23"/>
        <v>Non-Senior</v>
      </c>
    </row>
    <row r="362" spans="1:25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7082</v>
      </c>
      <c r="J362" t="s">
        <v>7084</v>
      </c>
      <c r="K362" t="s">
        <v>46</v>
      </c>
      <c r="L362" t="s">
        <v>7084</v>
      </c>
      <c r="M362" t="s">
        <v>7084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20"/>
        <v>0-12 Months</v>
      </c>
      <c r="W362">
        <f t="shared" si="21"/>
        <v>0</v>
      </c>
      <c r="X362">
        <f t="shared" si="22"/>
        <v>0</v>
      </c>
      <c r="Y362" t="str">
        <f t="shared" si="23"/>
        <v>Non-Senior</v>
      </c>
    </row>
    <row r="363" spans="1:25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20"/>
        <v>37-48 Months</v>
      </c>
      <c r="W363">
        <f t="shared" si="21"/>
        <v>0</v>
      </c>
      <c r="X363">
        <f t="shared" si="22"/>
        <v>0</v>
      </c>
      <c r="Y363" t="str">
        <f t="shared" si="23"/>
        <v>Non-Senior</v>
      </c>
    </row>
    <row r="364" spans="1:25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20"/>
        <v>49-60 Months</v>
      </c>
      <c r="W364">
        <f t="shared" si="21"/>
        <v>0</v>
      </c>
      <c r="X364">
        <f t="shared" si="22"/>
        <v>0</v>
      </c>
      <c r="Y364" t="str">
        <f t="shared" si="23"/>
        <v>Non-Senior</v>
      </c>
    </row>
    <row r="365" spans="1:25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7082</v>
      </c>
      <c r="J365" t="s">
        <v>7084</v>
      </c>
      <c r="K365" t="s">
        <v>46</v>
      </c>
      <c r="L365" t="s">
        <v>7084</v>
      </c>
      <c r="M365" t="s">
        <v>7084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20"/>
        <v>37-48 Months</v>
      </c>
      <c r="W365">
        <f t="shared" si="21"/>
        <v>0</v>
      </c>
      <c r="X365">
        <f t="shared" si="22"/>
        <v>0</v>
      </c>
      <c r="Y365" t="str">
        <f t="shared" si="23"/>
        <v>Non-Senior</v>
      </c>
    </row>
    <row r="366" spans="1:25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20"/>
        <v>13-24 Months</v>
      </c>
      <c r="W366">
        <f t="shared" si="21"/>
        <v>0</v>
      </c>
      <c r="X366">
        <f t="shared" si="22"/>
        <v>0</v>
      </c>
      <c r="Y366" t="str">
        <f t="shared" si="23"/>
        <v>Non-Senior</v>
      </c>
    </row>
    <row r="367" spans="1:25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20"/>
        <v>0-12 Months</v>
      </c>
      <c r="W367">
        <f t="shared" si="21"/>
        <v>1</v>
      </c>
      <c r="X367">
        <f t="shared" si="22"/>
        <v>96.5</v>
      </c>
      <c r="Y367" t="str">
        <f t="shared" si="23"/>
        <v>Non-Senior</v>
      </c>
    </row>
    <row r="368" spans="1:25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20"/>
        <v>13-24 Months</v>
      </c>
      <c r="W368">
        <f t="shared" si="21"/>
        <v>0</v>
      </c>
      <c r="X368">
        <f t="shared" si="22"/>
        <v>0</v>
      </c>
      <c r="Y368" t="str">
        <f t="shared" si="23"/>
        <v>Non-Senior</v>
      </c>
    </row>
    <row r="369" spans="1:25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7082</v>
      </c>
      <c r="J369" t="s">
        <v>7084</v>
      </c>
      <c r="K369" t="s">
        <v>46</v>
      </c>
      <c r="L369" t="s">
        <v>7084</v>
      </c>
      <c r="M369" t="s">
        <v>7084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20"/>
        <v>0-12 Months</v>
      </c>
      <c r="W369">
        <f t="shared" si="21"/>
        <v>0</v>
      </c>
      <c r="X369">
        <f t="shared" si="22"/>
        <v>0</v>
      </c>
      <c r="Y369" t="str">
        <f t="shared" si="23"/>
        <v>Non-Senior</v>
      </c>
    </row>
    <row r="370" spans="1:25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20"/>
        <v>61-72 Months</v>
      </c>
      <c r="W370">
        <f t="shared" si="21"/>
        <v>0</v>
      </c>
      <c r="X370">
        <f t="shared" si="22"/>
        <v>0</v>
      </c>
      <c r="Y370" t="str">
        <f t="shared" si="23"/>
        <v>Non-Senior</v>
      </c>
    </row>
    <row r="371" spans="1:25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20"/>
        <v>61-72 Months</v>
      </c>
      <c r="W371">
        <f t="shared" si="21"/>
        <v>0</v>
      </c>
      <c r="X371">
        <f t="shared" si="22"/>
        <v>0</v>
      </c>
      <c r="Y371" t="str">
        <f t="shared" si="23"/>
        <v>Non-Senior</v>
      </c>
    </row>
    <row r="372" spans="1:25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7082</v>
      </c>
      <c r="J372" t="s">
        <v>7084</v>
      </c>
      <c r="K372" t="s">
        <v>46</v>
      </c>
      <c r="L372" t="s">
        <v>7084</v>
      </c>
      <c r="M372" t="s">
        <v>7084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20"/>
        <v>25-36 Months</v>
      </c>
      <c r="W372">
        <f t="shared" si="21"/>
        <v>0</v>
      </c>
      <c r="X372">
        <f t="shared" si="22"/>
        <v>0</v>
      </c>
      <c r="Y372" t="str">
        <f t="shared" si="23"/>
        <v>Non-Senior</v>
      </c>
    </row>
    <row r="373" spans="1:25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20"/>
        <v>0-12 Months</v>
      </c>
      <c r="W373">
        <f t="shared" si="21"/>
        <v>1</v>
      </c>
      <c r="X373">
        <f t="shared" si="22"/>
        <v>85.65</v>
      </c>
      <c r="Y373" t="str">
        <f t="shared" si="23"/>
        <v>Non-Senior</v>
      </c>
    </row>
    <row r="374" spans="1:25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20"/>
        <v>13-24 Months</v>
      </c>
      <c r="W374">
        <f t="shared" si="21"/>
        <v>0</v>
      </c>
      <c r="X374">
        <f t="shared" si="22"/>
        <v>0</v>
      </c>
      <c r="Y374" t="str">
        <f t="shared" si="23"/>
        <v>Non-Senior</v>
      </c>
    </row>
    <row r="375" spans="1:25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20"/>
        <v>49-60 Months</v>
      </c>
      <c r="W375">
        <f t="shared" si="21"/>
        <v>0</v>
      </c>
      <c r="X375">
        <f t="shared" si="22"/>
        <v>0</v>
      </c>
      <c r="Y375" t="str">
        <f t="shared" si="23"/>
        <v>Non-Senior</v>
      </c>
    </row>
    <row r="376" spans="1:25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20"/>
        <v>37-48 Months</v>
      </c>
      <c r="W376">
        <f t="shared" si="21"/>
        <v>0</v>
      </c>
      <c r="X376">
        <f t="shared" si="22"/>
        <v>0</v>
      </c>
      <c r="Y376" t="str">
        <f t="shared" si="23"/>
        <v>Non-Senior</v>
      </c>
    </row>
    <row r="377" spans="1:25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20"/>
        <v>37-48 Months</v>
      </c>
      <c r="W377">
        <f t="shared" si="21"/>
        <v>0</v>
      </c>
      <c r="X377">
        <f t="shared" si="22"/>
        <v>0</v>
      </c>
      <c r="Y377" t="str">
        <f t="shared" si="23"/>
        <v>Non-Senior</v>
      </c>
    </row>
    <row r="378" spans="1:25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20"/>
        <v>0-12 Months</v>
      </c>
      <c r="W378">
        <f t="shared" si="21"/>
        <v>0</v>
      </c>
      <c r="X378">
        <f t="shared" si="22"/>
        <v>0</v>
      </c>
      <c r="Y378" t="str">
        <f t="shared" si="23"/>
        <v>Non-Senior</v>
      </c>
    </row>
    <row r="379" spans="1:25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20"/>
        <v>25-36 Months</v>
      </c>
      <c r="W379">
        <f t="shared" si="21"/>
        <v>1</v>
      </c>
      <c r="X379">
        <f t="shared" si="22"/>
        <v>104.95</v>
      </c>
      <c r="Y379" t="str">
        <f t="shared" si="23"/>
        <v>Non-Senior</v>
      </c>
    </row>
    <row r="380" spans="1:25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20"/>
        <v>61-72 Months</v>
      </c>
      <c r="W380">
        <f t="shared" si="21"/>
        <v>0</v>
      </c>
      <c r="X380">
        <f t="shared" si="22"/>
        <v>0</v>
      </c>
      <c r="Y380" t="str">
        <f t="shared" si="23"/>
        <v>Non-Senior</v>
      </c>
    </row>
    <row r="381" spans="1:25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20"/>
        <v>13-24 Months</v>
      </c>
      <c r="W381">
        <f t="shared" si="21"/>
        <v>0</v>
      </c>
      <c r="X381">
        <f t="shared" si="22"/>
        <v>0</v>
      </c>
      <c r="Y381" t="str">
        <f t="shared" si="23"/>
        <v>Non-Senior</v>
      </c>
    </row>
    <row r="382" spans="1:25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20"/>
        <v>37-48 Months</v>
      </c>
      <c r="W382">
        <f t="shared" si="21"/>
        <v>0</v>
      </c>
      <c r="X382">
        <f t="shared" si="22"/>
        <v>0</v>
      </c>
      <c r="Y382" t="str">
        <f t="shared" si="23"/>
        <v>Non-Senior</v>
      </c>
    </row>
    <row r="383" spans="1:25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20"/>
        <v>0-12 Months</v>
      </c>
      <c r="W383">
        <f t="shared" si="21"/>
        <v>1</v>
      </c>
      <c r="X383">
        <f t="shared" si="22"/>
        <v>50.65</v>
      </c>
      <c r="Y383" t="str">
        <f t="shared" si="23"/>
        <v>Non-Senior</v>
      </c>
    </row>
    <row r="384" spans="1:25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20"/>
        <v>61-72 Months</v>
      </c>
      <c r="W384">
        <f t="shared" si="21"/>
        <v>0</v>
      </c>
      <c r="X384">
        <f t="shared" si="22"/>
        <v>0</v>
      </c>
      <c r="Y384" t="str">
        <f t="shared" si="23"/>
        <v>Senior Citizen</v>
      </c>
    </row>
    <row r="385" spans="1:25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20"/>
        <v>0-12 Months</v>
      </c>
      <c r="W385">
        <f t="shared" si="21"/>
        <v>1</v>
      </c>
      <c r="X385">
        <f t="shared" si="22"/>
        <v>90.85</v>
      </c>
      <c r="Y385" t="str">
        <f t="shared" si="23"/>
        <v>Non-Senior</v>
      </c>
    </row>
    <row r="386" spans="1:25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si="20"/>
        <v>37-48 Months</v>
      </c>
      <c r="W386">
        <f t="shared" si="21"/>
        <v>0</v>
      </c>
      <c r="X386">
        <f t="shared" si="22"/>
        <v>0</v>
      </c>
      <c r="Y386" t="str">
        <f t="shared" si="23"/>
        <v>Non-Senior</v>
      </c>
    </row>
    <row r="387" spans="1:25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7082</v>
      </c>
      <c r="J387" t="s">
        <v>7084</v>
      </c>
      <c r="K387" t="s">
        <v>46</v>
      </c>
      <c r="L387" t="s">
        <v>7084</v>
      </c>
      <c r="M387" t="s">
        <v>7084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ref="V387:V450" si="24">IF(F387&lt;=12,"0-12 Months",IF(F387&lt;=24,"13-24 Months",IF(F387&lt;=36,"25-36 Months",IF(F387&lt;=48,"37-48 Months",IF(F387&lt;=60,"49-60 Months","61-72 Months")))))</f>
        <v>0-12 Months</v>
      </c>
      <c r="W387">
        <f t="shared" ref="W387:W450" si="25">IF(U387="Yes",1,0)</f>
        <v>1</v>
      </c>
      <c r="X387">
        <f t="shared" ref="X387:X450" si="26">IF(U387="Yes",S387,0)</f>
        <v>19.95</v>
      </c>
      <c r="Y387" t="str">
        <f t="shared" ref="Y387:Y450" si="27">IF(C387=1,"Senior Citizen","Non-Senior")</f>
        <v>Senior Citizen</v>
      </c>
    </row>
    <row r="388" spans="1:25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24"/>
        <v>49-60 Months</v>
      </c>
      <c r="W388">
        <f t="shared" si="25"/>
        <v>1</v>
      </c>
      <c r="X388">
        <f t="shared" si="26"/>
        <v>85.45</v>
      </c>
      <c r="Y388" t="str">
        <f t="shared" si="27"/>
        <v>Senior Citizen</v>
      </c>
    </row>
    <row r="389" spans="1:25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24"/>
        <v>37-48 Months</v>
      </c>
      <c r="W389">
        <f t="shared" si="25"/>
        <v>0</v>
      </c>
      <c r="X389">
        <f t="shared" si="26"/>
        <v>0</v>
      </c>
      <c r="Y389" t="str">
        <f t="shared" si="27"/>
        <v>Non-Senior</v>
      </c>
    </row>
    <row r="390" spans="1:25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24"/>
        <v>37-48 Months</v>
      </c>
      <c r="W390">
        <f t="shared" si="25"/>
        <v>0</v>
      </c>
      <c r="X390">
        <f t="shared" si="26"/>
        <v>0</v>
      </c>
      <c r="Y390" t="str">
        <f t="shared" si="27"/>
        <v>Non-Senior</v>
      </c>
    </row>
    <row r="391" spans="1:25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24"/>
        <v>0-12 Months</v>
      </c>
      <c r="W391">
        <f t="shared" si="25"/>
        <v>0</v>
      </c>
      <c r="X391">
        <f t="shared" si="26"/>
        <v>0</v>
      </c>
      <c r="Y391" t="str">
        <f t="shared" si="27"/>
        <v>Non-Senior</v>
      </c>
    </row>
    <row r="392" spans="1:25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24"/>
        <v>25-36 Months</v>
      </c>
      <c r="W392">
        <f t="shared" si="25"/>
        <v>0</v>
      </c>
      <c r="X392">
        <f t="shared" si="26"/>
        <v>0</v>
      </c>
      <c r="Y392" t="str">
        <f t="shared" si="27"/>
        <v>Non-Senior</v>
      </c>
    </row>
    <row r="393" spans="1:25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24"/>
        <v>25-36 Months</v>
      </c>
      <c r="W393">
        <f t="shared" si="25"/>
        <v>0</v>
      </c>
      <c r="X393">
        <f t="shared" si="26"/>
        <v>0</v>
      </c>
      <c r="Y393" t="str">
        <f t="shared" si="27"/>
        <v>Senior Citizen</v>
      </c>
    </row>
    <row r="394" spans="1:25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24"/>
        <v>0-12 Months</v>
      </c>
      <c r="W394">
        <f t="shared" si="25"/>
        <v>0</v>
      </c>
      <c r="X394">
        <f t="shared" si="26"/>
        <v>0</v>
      </c>
      <c r="Y394" t="str">
        <f t="shared" si="27"/>
        <v>Senior Citizen</v>
      </c>
    </row>
    <row r="395" spans="1:25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7082</v>
      </c>
      <c r="J395" t="s">
        <v>7084</v>
      </c>
      <c r="K395" t="s">
        <v>46</v>
      </c>
      <c r="L395" t="s">
        <v>7084</v>
      </c>
      <c r="M395" t="s">
        <v>7084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24"/>
        <v>13-24 Months</v>
      </c>
      <c r="W395">
        <f t="shared" si="25"/>
        <v>0</v>
      </c>
      <c r="X395">
        <f t="shared" si="26"/>
        <v>0</v>
      </c>
      <c r="Y395" t="str">
        <f t="shared" si="27"/>
        <v>Non-Senior</v>
      </c>
    </row>
    <row r="396" spans="1:25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24"/>
        <v>37-48 Months</v>
      </c>
      <c r="W396">
        <f t="shared" si="25"/>
        <v>0</v>
      </c>
      <c r="X396">
        <f t="shared" si="26"/>
        <v>0</v>
      </c>
      <c r="Y396" t="str">
        <f t="shared" si="27"/>
        <v>Senior Citizen</v>
      </c>
    </row>
    <row r="397" spans="1:25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24"/>
        <v>61-72 Months</v>
      </c>
      <c r="W397">
        <f t="shared" si="25"/>
        <v>0</v>
      </c>
      <c r="X397">
        <f t="shared" si="26"/>
        <v>0</v>
      </c>
      <c r="Y397" t="str">
        <f t="shared" si="27"/>
        <v>Non-Senior</v>
      </c>
    </row>
    <row r="398" spans="1:25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24"/>
        <v>25-36 Months</v>
      </c>
      <c r="W398">
        <f t="shared" si="25"/>
        <v>0</v>
      </c>
      <c r="X398">
        <f t="shared" si="26"/>
        <v>0</v>
      </c>
      <c r="Y398" t="str">
        <f t="shared" si="27"/>
        <v>Senior Citizen</v>
      </c>
    </row>
    <row r="399" spans="1:25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24"/>
        <v>25-36 Months</v>
      </c>
      <c r="W399">
        <f t="shared" si="25"/>
        <v>1</v>
      </c>
      <c r="X399">
        <f t="shared" si="26"/>
        <v>73.95</v>
      </c>
      <c r="Y399" t="str">
        <f t="shared" si="27"/>
        <v>Non-Senior</v>
      </c>
    </row>
    <row r="400" spans="1:25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24"/>
        <v>25-36 Months</v>
      </c>
      <c r="W400">
        <f t="shared" si="25"/>
        <v>0</v>
      </c>
      <c r="X400">
        <f t="shared" si="26"/>
        <v>0</v>
      </c>
      <c r="Y400" t="str">
        <f t="shared" si="27"/>
        <v>Senior Citizen</v>
      </c>
    </row>
    <row r="401" spans="1:25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7082</v>
      </c>
      <c r="J401" t="s">
        <v>7084</v>
      </c>
      <c r="K401" t="s">
        <v>46</v>
      </c>
      <c r="L401" t="s">
        <v>7084</v>
      </c>
      <c r="M401" t="s">
        <v>7084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24"/>
        <v>13-24 Months</v>
      </c>
      <c r="W401">
        <f t="shared" si="25"/>
        <v>0</v>
      </c>
      <c r="X401">
        <f t="shared" si="26"/>
        <v>0</v>
      </c>
      <c r="Y401" t="str">
        <f t="shared" si="27"/>
        <v>Non-Senior</v>
      </c>
    </row>
    <row r="402" spans="1:25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7082</v>
      </c>
      <c r="J402" t="s">
        <v>7084</v>
      </c>
      <c r="K402" t="s">
        <v>46</v>
      </c>
      <c r="L402" t="s">
        <v>7084</v>
      </c>
      <c r="M402" t="s">
        <v>7084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24"/>
        <v>25-36 Months</v>
      </c>
      <c r="W402">
        <f t="shared" si="25"/>
        <v>0</v>
      </c>
      <c r="X402">
        <f t="shared" si="26"/>
        <v>0</v>
      </c>
      <c r="Y402" t="str">
        <f t="shared" si="27"/>
        <v>Non-Senior</v>
      </c>
    </row>
    <row r="403" spans="1:25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7082</v>
      </c>
      <c r="J403" t="s">
        <v>7084</v>
      </c>
      <c r="K403" t="s">
        <v>46</v>
      </c>
      <c r="L403" t="s">
        <v>7084</v>
      </c>
      <c r="M403" t="s">
        <v>7084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24"/>
        <v>0-12 Months</v>
      </c>
      <c r="W403">
        <f t="shared" si="25"/>
        <v>0</v>
      </c>
      <c r="X403">
        <f t="shared" si="26"/>
        <v>0</v>
      </c>
      <c r="Y403" t="str">
        <f t="shared" si="27"/>
        <v>Non-Senior</v>
      </c>
    </row>
    <row r="404" spans="1:25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24"/>
        <v>61-72 Months</v>
      </c>
      <c r="W404">
        <f t="shared" si="25"/>
        <v>1</v>
      </c>
      <c r="X404">
        <f t="shared" si="26"/>
        <v>99.45</v>
      </c>
      <c r="Y404" t="str">
        <f t="shared" si="27"/>
        <v>Non-Senior</v>
      </c>
    </row>
    <row r="405" spans="1:25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24"/>
        <v>61-72 Months</v>
      </c>
      <c r="W405">
        <f t="shared" si="25"/>
        <v>0</v>
      </c>
      <c r="X405">
        <f t="shared" si="26"/>
        <v>0</v>
      </c>
      <c r="Y405" t="str">
        <f t="shared" si="27"/>
        <v>Non-Senior</v>
      </c>
    </row>
    <row r="406" spans="1:25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7082</v>
      </c>
      <c r="J406" t="s">
        <v>7084</v>
      </c>
      <c r="K406" t="s">
        <v>46</v>
      </c>
      <c r="L406" t="s">
        <v>7084</v>
      </c>
      <c r="M406" t="s">
        <v>7084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24"/>
        <v>13-24 Months</v>
      </c>
      <c r="W406">
        <f t="shared" si="25"/>
        <v>0</v>
      </c>
      <c r="X406">
        <f t="shared" si="26"/>
        <v>0</v>
      </c>
      <c r="Y406" t="str">
        <f t="shared" si="27"/>
        <v>Non-Senior</v>
      </c>
    </row>
    <row r="407" spans="1:25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7082</v>
      </c>
      <c r="J407" t="s">
        <v>7084</v>
      </c>
      <c r="K407" t="s">
        <v>46</v>
      </c>
      <c r="L407" t="s">
        <v>7084</v>
      </c>
      <c r="M407" t="s">
        <v>7084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24"/>
        <v>61-72 Months</v>
      </c>
      <c r="W407">
        <f t="shared" si="25"/>
        <v>0</v>
      </c>
      <c r="X407">
        <f t="shared" si="26"/>
        <v>0</v>
      </c>
      <c r="Y407" t="str">
        <f t="shared" si="27"/>
        <v>Non-Senior</v>
      </c>
    </row>
    <row r="408" spans="1:25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24"/>
        <v>49-60 Months</v>
      </c>
      <c r="W408">
        <f t="shared" si="25"/>
        <v>0</v>
      </c>
      <c r="X408">
        <f t="shared" si="26"/>
        <v>0</v>
      </c>
      <c r="Y408" t="str">
        <f t="shared" si="27"/>
        <v>Non-Senior</v>
      </c>
    </row>
    <row r="409" spans="1:25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24"/>
        <v>25-36 Months</v>
      </c>
      <c r="W409">
        <f t="shared" si="25"/>
        <v>0</v>
      </c>
      <c r="X409">
        <f t="shared" si="26"/>
        <v>0</v>
      </c>
      <c r="Y409" t="str">
        <f t="shared" si="27"/>
        <v>Senior Citizen</v>
      </c>
    </row>
    <row r="410" spans="1:25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7082</v>
      </c>
      <c r="J410" t="s">
        <v>7084</v>
      </c>
      <c r="K410" t="s">
        <v>46</v>
      </c>
      <c r="L410" t="s">
        <v>7084</v>
      </c>
      <c r="M410" t="s">
        <v>7084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24"/>
        <v>0-12 Months</v>
      </c>
      <c r="W410">
        <f t="shared" si="25"/>
        <v>1</v>
      </c>
      <c r="X410">
        <f t="shared" si="26"/>
        <v>19.899999999999999</v>
      </c>
      <c r="Y410" t="str">
        <f t="shared" si="27"/>
        <v>Non-Senior</v>
      </c>
    </row>
    <row r="411" spans="1:25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7082</v>
      </c>
      <c r="J411" t="s">
        <v>7084</v>
      </c>
      <c r="K411" t="s">
        <v>46</v>
      </c>
      <c r="L411" t="s">
        <v>7084</v>
      </c>
      <c r="M411" t="s">
        <v>7084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24"/>
        <v>0-12 Months</v>
      </c>
      <c r="W411">
        <f t="shared" si="25"/>
        <v>1</v>
      </c>
      <c r="X411">
        <f t="shared" si="26"/>
        <v>19.600000000000001</v>
      </c>
      <c r="Y411" t="str">
        <f t="shared" si="27"/>
        <v>Non-Senior</v>
      </c>
    </row>
    <row r="412" spans="1:25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24"/>
        <v>0-12 Months</v>
      </c>
      <c r="W412">
        <f t="shared" si="25"/>
        <v>1</v>
      </c>
      <c r="X412">
        <f t="shared" si="26"/>
        <v>81.349999999999994</v>
      </c>
      <c r="Y412" t="str">
        <f t="shared" si="27"/>
        <v>Senior Citizen</v>
      </c>
    </row>
    <row r="413" spans="1:25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7082</v>
      </c>
      <c r="J413" t="s">
        <v>7084</v>
      </c>
      <c r="K413" t="s">
        <v>46</v>
      </c>
      <c r="L413" t="s">
        <v>7084</v>
      </c>
      <c r="M413" t="s">
        <v>7084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24"/>
        <v>37-48 Months</v>
      </c>
      <c r="W413">
        <f t="shared" si="25"/>
        <v>0</v>
      </c>
      <c r="X413">
        <f t="shared" si="26"/>
        <v>0</v>
      </c>
      <c r="Y413" t="str">
        <f t="shared" si="27"/>
        <v>Non-Senior</v>
      </c>
    </row>
    <row r="414" spans="1:25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24"/>
        <v>25-36 Months</v>
      </c>
      <c r="W414">
        <f t="shared" si="25"/>
        <v>0</v>
      </c>
      <c r="X414">
        <f t="shared" si="26"/>
        <v>0</v>
      </c>
      <c r="Y414" t="str">
        <f t="shared" si="27"/>
        <v>Non-Senior</v>
      </c>
    </row>
    <row r="415" spans="1:25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24"/>
        <v>49-60 Months</v>
      </c>
      <c r="W415">
        <f t="shared" si="25"/>
        <v>0</v>
      </c>
      <c r="X415">
        <f t="shared" si="26"/>
        <v>0</v>
      </c>
      <c r="Y415" t="str">
        <f t="shared" si="27"/>
        <v>Non-Senior</v>
      </c>
    </row>
    <row r="416" spans="1:25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24"/>
        <v>37-48 Months</v>
      </c>
      <c r="W416">
        <f t="shared" si="25"/>
        <v>0</v>
      </c>
      <c r="X416">
        <f t="shared" si="26"/>
        <v>0</v>
      </c>
      <c r="Y416" t="str">
        <f t="shared" si="27"/>
        <v>Senior Citizen</v>
      </c>
    </row>
    <row r="417" spans="1:25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24"/>
        <v>13-24 Months</v>
      </c>
      <c r="W417">
        <f t="shared" si="25"/>
        <v>0</v>
      </c>
      <c r="X417">
        <f t="shared" si="26"/>
        <v>0</v>
      </c>
      <c r="Y417" t="str">
        <f t="shared" si="27"/>
        <v>Non-Senior</v>
      </c>
    </row>
    <row r="418" spans="1:25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24"/>
        <v>61-72 Months</v>
      </c>
      <c r="W418">
        <f t="shared" si="25"/>
        <v>0</v>
      </c>
      <c r="X418">
        <f t="shared" si="26"/>
        <v>0</v>
      </c>
      <c r="Y418" t="str">
        <f t="shared" si="27"/>
        <v>Non-Senior</v>
      </c>
    </row>
    <row r="419" spans="1:25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7082</v>
      </c>
      <c r="J419" t="s">
        <v>7084</v>
      </c>
      <c r="K419" t="s">
        <v>46</v>
      </c>
      <c r="L419" t="s">
        <v>7084</v>
      </c>
      <c r="M419" t="s">
        <v>7084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24"/>
        <v>37-48 Months</v>
      </c>
      <c r="W419">
        <f t="shared" si="25"/>
        <v>0</v>
      </c>
      <c r="X419">
        <f t="shared" si="26"/>
        <v>0</v>
      </c>
      <c r="Y419" t="str">
        <f t="shared" si="27"/>
        <v>Non-Senior</v>
      </c>
    </row>
    <row r="420" spans="1:25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24"/>
        <v>13-24 Months</v>
      </c>
      <c r="W420">
        <f t="shared" si="25"/>
        <v>1</v>
      </c>
      <c r="X420">
        <f t="shared" si="26"/>
        <v>83.3</v>
      </c>
      <c r="Y420" t="str">
        <f t="shared" si="27"/>
        <v>Non-Senior</v>
      </c>
    </row>
    <row r="421" spans="1:25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24"/>
        <v>0-12 Months</v>
      </c>
      <c r="W421">
        <f t="shared" si="25"/>
        <v>1</v>
      </c>
      <c r="X421">
        <f t="shared" si="26"/>
        <v>75.3</v>
      </c>
      <c r="Y421" t="str">
        <f t="shared" si="27"/>
        <v>Senior Citizen</v>
      </c>
    </row>
    <row r="422" spans="1:25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7082</v>
      </c>
      <c r="J422" t="s">
        <v>7084</v>
      </c>
      <c r="K422" t="s">
        <v>46</v>
      </c>
      <c r="L422" t="s">
        <v>7084</v>
      </c>
      <c r="M422" t="s">
        <v>7084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24"/>
        <v>0-12 Months</v>
      </c>
      <c r="W422">
        <f t="shared" si="25"/>
        <v>0</v>
      </c>
      <c r="X422">
        <f t="shared" si="26"/>
        <v>0</v>
      </c>
      <c r="Y422" t="str">
        <f t="shared" si="27"/>
        <v>Non-Senior</v>
      </c>
    </row>
    <row r="423" spans="1:25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24"/>
        <v>0-12 Months</v>
      </c>
      <c r="W423">
        <f t="shared" si="25"/>
        <v>0</v>
      </c>
      <c r="X423">
        <f t="shared" si="26"/>
        <v>0</v>
      </c>
      <c r="Y423" t="str">
        <f t="shared" si="27"/>
        <v>Non-Senior</v>
      </c>
    </row>
    <row r="424" spans="1:25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24"/>
        <v>25-36 Months</v>
      </c>
      <c r="W424">
        <f t="shared" si="25"/>
        <v>0</v>
      </c>
      <c r="X424">
        <f t="shared" si="26"/>
        <v>0</v>
      </c>
      <c r="Y424" t="str">
        <f t="shared" si="27"/>
        <v>Non-Senior</v>
      </c>
    </row>
    <row r="425" spans="1:25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7082</v>
      </c>
      <c r="J425" t="s">
        <v>7084</v>
      </c>
      <c r="K425" t="s">
        <v>46</v>
      </c>
      <c r="L425" t="s">
        <v>7084</v>
      </c>
      <c r="M425" t="s">
        <v>7084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24"/>
        <v>37-48 Months</v>
      </c>
      <c r="W425">
        <f t="shared" si="25"/>
        <v>0</v>
      </c>
      <c r="X425">
        <f t="shared" si="26"/>
        <v>0</v>
      </c>
      <c r="Y425" t="str">
        <f t="shared" si="27"/>
        <v>Non-Senior</v>
      </c>
    </row>
    <row r="426" spans="1:25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24"/>
        <v>0-12 Months</v>
      </c>
      <c r="W426">
        <f t="shared" si="25"/>
        <v>0</v>
      </c>
      <c r="X426">
        <f t="shared" si="26"/>
        <v>0</v>
      </c>
      <c r="Y426" t="str">
        <f t="shared" si="27"/>
        <v>Non-Senior</v>
      </c>
    </row>
    <row r="427" spans="1:25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24"/>
        <v>49-60 Months</v>
      </c>
      <c r="W427">
        <f t="shared" si="25"/>
        <v>0</v>
      </c>
      <c r="X427">
        <f t="shared" si="26"/>
        <v>0</v>
      </c>
      <c r="Y427" t="str">
        <f t="shared" si="27"/>
        <v>Senior Citizen</v>
      </c>
    </row>
    <row r="428" spans="1:25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24"/>
        <v>49-60 Months</v>
      </c>
      <c r="W428">
        <f t="shared" si="25"/>
        <v>0</v>
      </c>
      <c r="X428">
        <f t="shared" si="26"/>
        <v>0</v>
      </c>
      <c r="Y428" t="str">
        <f t="shared" si="27"/>
        <v>Senior Citizen</v>
      </c>
    </row>
    <row r="429" spans="1:25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24"/>
        <v>0-12 Months</v>
      </c>
      <c r="W429">
        <f t="shared" si="25"/>
        <v>0</v>
      </c>
      <c r="X429">
        <f t="shared" si="26"/>
        <v>0</v>
      </c>
      <c r="Y429" t="str">
        <f t="shared" si="27"/>
        <v>Non-Senior</v>
      </c>
    </row>
    <row r="430" spans="1:25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24"/>
        <v>13-24 Months</v>
      </c>
      <c r="W430">
        <f t="shared" si="25"/>
        <v>0</v>
      </c>
      <c r="X430">
        <f t="shared" si="26"/>
        <v>0</v>
      </c>
      <c r="Y430" t="str">
        <f t="shared" si="27"/>
        <v>Non-Senior</v>
      </c>
    </row>
    <row r="431" spans="1:25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24"/>
        <v>61-72 Months</v>
      </c>
      <c r="W431">
        <f t="shared" si="25"/>
        <v>0</v>
      </c>
      <c r="X431">
        <f t="shared" si="26"/>
        <v>0</v>
      </c>
      <c r="Y431" t="str">
        <f t="shared" si="27"/>
        <v>Non-Senior</v>
      </c>
    </row>
    <row r="432" spans="1:25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7082</v>
      </c>
      <c r="J432" t="s">
        <v>7084</v>
      </c>
      <c r="K432" t="s">
        <v>46</v>
      </c>
      <c r="L432" t="s">
        <v>7084</v>
      </c>
      <c r="M432" t="s">
        <v>7084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24"/>
        <v>61-72 Months</v>
      </c>
      <c r="W432">
        <f t="shared" si="25"/>
        <v>1</v>
      </c>
      <c r="X432">
        <f t="shared" si="26"/>
        <v>19.399999999999999</v>
      </c>
      <c r="Y432" t="str">
        <f t="shared" si="27"/>
        <v>Non-Senior</v>
      </c>
    </row>
    <row r="433" spans="1:25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24"/>
        <v>61-72 Months</v>
      </c>
      <c r="W433">
        <f t="shared" si="25"/>
        <v>0</v>
      </c>
      <c r="X433">
        <f t="shared" si="26"/>
        <v>0</v>
      </c>
      <c r="Y433" t="str">
        <f t="shared" si="27"/>
        <v>Non-Senior</v>
      </c>
    </row>
    <row r="434" spans="1:25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24"/>
        <v>0-12 Months</v>
      </c>
      <c r="W434">
        <f t="shared" si="25"/>
        <v>0</v>
      </c>
      <c r="X434">
        <f t="shared" si="26"/>
        <v>0</v>
      </c>
      <c r="Y434" t="str">
        <f t="shared" si="27"/>
        <v>Non-Senior</v>
      </c>
    </row>
    <row r="435" spans="1:25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24"/>
        <v>0-12 Months</v>
      </c>
      <c r="W435">
        <f t="shared" si="25"/>
        <v>1</v>
      </c>
      <c r="X435">
        <f t="shared" si="26"/>
        <v>45.4</v>
      </c>
      <c r="Y435" t="str">
        <f t="shared" si="27"/>
        <v>Non-Senior</v>
      </c>
    </row>
    <row r="436" spans="1:25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7082</v>
      </c>
      <c r="J436" t="s">
        <v>7084</v>
      </c>
      <c r="K436" t="s">
        <v>46</v>
      </c>
      <c r="L436" t="s">
        <v>7084</v>
      </c>
      <c r="M436" t="s">
        <v>7084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24"/>
        <v>37-48 Months</v>
      </c>
      <c r="W436">
        <f t="shared" si="25"/>
        <v>0</v>
      </c>
      <c r="X436">
        <f t="shared" si="26"/>
        <v>0</v>
      </c>
      <c r="Y436" t="str">
        <f t="shared" si="27"/>
        <v>Non-Senior</v>
      </c>
    </row>
    <row r="437" spans="1:25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24"/>
        <v>25-36 Months</v>
      </c>
      <c r="W437">
        <f t="shared" si="25"/>
        <v>0</v>
      </c>
      <c r="X437">
        <f t="shared" si="26"/>
        <v>0</v>
      </c>
      <c r="Y437" t="str">
        <f t="shared" si="27"/>
        <v>Non-Senior</v>
      </c>
    </row>
    <row r="438" spans="1:25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7082</v>
      </c>
      <c r="J438" t="s">
        <v>7084</v>
      </c>
      <c r="K438" t="s">
        <v>46</v>
      </c>
      <c r="L438" t="s">
        <v>7084</v>
      </c>
      <c r="M438" t="s">
        <v>7084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24"/>
        <v>25-36 Months</v>
      </c>
      <c r="W438">
        <f t="shared" si="25"/>
        <v>0</v>
      </c>
      <c r="X438">
        <f t="shared" si="26"/>
        <v>0</v>
      </c>
      <c r="Y438" t="str">
        <f t="shared" si="27"/>
        <v>Non-Senior</v>
      </c>
    </row>
    <row r="439" spans="1:25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24"/>
        <v>61-72 Months</v>
      </c>
      <c r="W439">
        <f t="shared" si="25"/>
        <v>0</v>
      </c>
      <c r="X439">
        <f t="shared" si="26"/>
        <v>0</v>
      </c>
      <c r="Y439" t="str">
        <f t="shared" si="27"/>
        <v>Non-Senior</v>
      </c>
    </row>
    <row r="440" spans="1:25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24"/>
        <v>25-36 Months</v>
      </c>
      <c r="W440">
        <f t="shared" si="25"/>
        <v>0</v>
      </c>
      <c r="X440">
        <f t="shared" si="26"/>
        <v>0</v>
      </c>
      <c r="Y440" t="str">
        <f t="shared" si="27"/>
        <v>Non-Senior</v>
      </c>
    </row>
    <row r="441" spans="1:25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24"/>
        <v>0-12 Months</v>
      </c>
      <c r="W441">
        <f t="shared" si="25"/>
        <v>0</v>
      </c>
      <c r="X441">
        <f t="shared" si="26"/>
        <v>0</v>
      </c>
      <c r="Y441" t="str">
        <f t="shared" si="27"/>
        <v>Non-Senior</v>
      </c>
    </row>
    <row r="442" spans="1:25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24"/>
        <v>13-24 Months</v>
      </c>
      <c r="W442">
        <f t="shared" si="25"/>
        <v>0</v>
      </c>
      <c r="X442">
        <f t="shared" si="26"/>
        <v>0</v>
      </c>
      <c r="Y442" t="str">
        <f t="shared" si="27"/>
        <v>Non-Senior</v>
      </c>
    </row>
    <row r="443" spans="1:25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24"/>
        <v>49-60 Months</v>
      </c>
      <c r="W443">
        <f t="shared" si="25"/>
        <v>0</v>
      </c>
      <c r="X443">
        <f t="shared" si="26"/>
        <v>0</v>
      </c>
      <c r="Y443" t="str">
        <f t="shared" si="27"/>
        <v>Senior Citizen</v>
      </c>
    </row>
    <row r="444" spans="1:25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24"/>
        <v>49-60 Months</v>
      </c>
      <c r="W444">
        <f t="shared" si="25"/>
        <v>0</v>
      </c>
      <c r="X444">
        <f t="shared" si="26"/>
        <v>0</v>
      </c>
      <c r="Y444" t="str">
        <f t="shared" si="27"/>
        <v>Non-Senior</v>
      </c>
    </row>
    <row r="445" spans="1:25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24"/>
        <v>13-24 Months</v>
      </c>
      <c r="W445">
        <f t="shared" si="25"/>
        <v>0</v>
      </c>
      <c r="X445">
        <f t="shared" si="26"/>
        <v>0</v>
      </c>
      <c r="Y445" t="str">
        <f t="shared" si="27"/>
        <v>Non-Senior</v>
      </c>
    </row>
    <row r="446" spans="1:25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24"/>
        <v>25-36 Months</v>
      </c>
      <c r="W446">
        <f t="shared" si="25"/>
        <v>0</v>
      </c>
      <c r="X446">
        <f t="shared" si="26"/>
        <v>0</v>
      </c>
      <c r="Y446" t="str">
        <f t="shared" si="27"/>
        <v>Non-Senior</v>
      </c>
    </row>
    <row r="447" spans="1:25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24"/>
        <v>49-60 Months</v>
      </c>
      <c r="W447">
        <f t="shared" si="25"/>
        <v>1</v>
      </c>
      <c r="X447">
        <f t="shared" si="26"/>
        <v>105.9</v>
      </c>
      <c r="Y447" t="str">
        <f t="shared" si="27"/>
        <v>Non-Senior</v>
      </c>
    </row>
    <row r="448" spans="1:25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24"/>
        <v>0-12 Months</v>
      </c>
      <c r="W448">
        <f t="shared" si="25"/>
        <v>1</v>
      </c>
      <c r="X448">
        <f t="shared" si="26"/>
        <v>69.55</v>
      </c>
      <c r="Y448" t="str">
        <f t="shared" si="27"/>
        <v>Non-Senior</v>
      </c>
    </row>
    <row r="449" spans="1:25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7082</v>
      </c>
      <c r="J449" t="s">
        <v>7084</v>
      </c>
      <c r="K449" t="s">
        <v>46</v>
      </c>
      <c r="L449" t="s">
        <v>7084</v>
      </c>
      <c r="M449" t="s">
        <v>7084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24"/>
        <v>49-60 Months</v>
      </c>
      <c r="W449">
        <f t="shared" si="25"/>
        <v>0</v>
      </c>
      <c r="X449">
        <f t="shared" si="26"/>
        <v>0</v>
      </c>
      <c r="Y449" t="str">
        <f t="shared" si="27"/>
        <v>Non-Senior</v>
      </c>
    </row>
    <row r="450" spans="1:25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si="24"/>
        <v>0-12 Months</v>
      </c>
      <c r="W450">
        <f t="shared" si="25"/>
        <v>0</v>
      </c>
      <c r="X450">
        <f t="shared" si="26"/>
        <v>0</v>
      </c>
      <c r="Y450" t="str">
        <f t="shared" si="27"/>
        <v>Non-Senior</v>
      </c>
    </row>
    <row r="451" spans="1:25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ref="V451:V514" si="28">IF(F451&lt;=12,"0-12 Months",IF(F451&lt;=24,"13-24 Months",IF(F451&lt;=36,"25-36 Months",IF(F451&lt;=48,"37-48 Months",IF(F451&lt;=60,"49-60 Months","61-72 Months")))))</f>
        <v>61-72 Months</v>
      </c>
      <c r="W451">
        <f t="shared" ref="W451:W514" si="29">IF(U451="Yes",1,0)</f>
        <v>0</v>
      </c>
      <c r="X451">
        <f t="shared" ref="X451:X514" si="30">IF(U451="Yes",S451,0)</f>
        <v>0</v>
      </c>
      <c r="Y451" t="str">
        <f t="shared" ref="Y451:Y514" si="31">IF(C451=1,"Senior Citizen","Non-Senior")</f>
        <v>Non-Senior</v>
      </c>
    </row>
    <row r="452" spans="1:25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7082</v>
      </c>
      <c r="J452" t="s">
        <v>7084</v>
      </c>
      <c r="K452" t="s">
        <v>46</v>
      </c>
      <c r="L452" t="s">
        <v>7084</v>
      </c>
      <c r="M452" t="s">
        <v>7084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28"/>
        <v>61-72 Months</v>
      </c>
      <c r="W452">
        <f t="shared" si="29"/>
        <v>0</v>
      </c>
      <c r="X452">
        <f t="shared" si="30"/>
        <v>0</v>
      </c>
      <c r="Y452" t="str">
        <f t="shared" si="31"/>
        <v>Non-Senior</v>
      </c>
    </row>
    <row r="453" spans="1:25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28"/>
        <v>13-24 Months</v>
      </c>
      <c r="W453">
        <f t="shared" si="29"/>
        <v>0</v>
      </c>
      <c r="X453">
        <f t="shared" si="30"/>
        <v>0</v>
      </c>
      <c r="Y453" t="str">
        <f t="shared" si="31"/>
        <v>Senior Citizen</v>
      </c>
    </row>
    <row r="454" spans="1:25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28"/>
        <v>49-60 Months</v>
      </c>
      <c r="W454">
        <f t="shared" si="29"/>
        <v>0</v>
      </c>
      <c r="X454">
        <f t="shared" si="30"/>
        <v>0</v>
      </c>
      <c r="Y454" t="str">
        <f t="shared" si="31"/>
        <v>Non-Senior</v>
      </c>
    </row>
    <row r="455" spans="1:25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28"/>
        <v>25-36 Months</v>
      </c>
      <c r="W455">
        <f t="shared" si="29"/>
        <v>1</v>
      </c>
      <c r="X455">
        <f t="shared" si="30"/>
        <v>81.05</v>
      </c>
      <c r="Y455" t="str">
        <f t="shared" si="31"/>
        <v>Non-Senior</v>
      </c>
    </row>
    <row r="456" spans="1:25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7082</v>
      </c>
      <c r="J456" t="s">
        <v>7084</v>
      </c>
      <c r="K456" t="s">
        <v>46</v>
      </c>
      <c r="L456" t="s">
        <v>7084</v>
      </c>
      <c r="M456" t="s">
        <v>7084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28"/>
        <v>61-72 Months</v>
      </c>
      <c r="W456">
        <f t="shared" si="29"/>
        <v>0</v>
      </c>
      <c r="X456">
        <f t="shared" si="30"/>
        <v>0</v>
      </c>
      <c r="Y456" t="str">
        <f t="shared" si="31"/>
        <v>Non-Senior</v>
      </c>
    </row>
    <row r="457" spans="1:25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28"/>
        <v>13-24 Months</v>
      </c>
      <c r="W457">
        <f t="shared" si="29"/>
        <v>0</v>
      </c>
      <c r="X457">
        <f t="shared" si="30"/>
        <v>0</v>
      </c>
      <c r="Y457" t="str">
        <f t="shared" si="31"/>
        <v>Non-Senior</v>
      </c>
    </row>
    <row r="458" spans="1:25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28"/>
        <v>25-36 Months</v>
      </c>
      <c r="W458">
        <f t="shared" si="29"/>
        <v>0</v>
      </c>
      <c r="X458">
        <f t="shared" si="30"/>
        <v>0</v>
      </c>
      <c r="Y458" t="str">
        <f t="shared" si="31"/>
        <v>Non-Senior</v>
      </c>
    </row>
    <row r="459" spans="1:25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28"/>
        <v>25-36 Months</v>
      </c>
      <c r="W459">
        <f t="shared" si="29"/>
        <v>0</v>
      </c>
      <c r="X459">
        <f t="shared" si="30"/>
        <v>0</v>
      </c>
      <c r="Y459" t="str">
        <f t="shared" si="31"/>
        <v>Non-Senior</v>
      </c>
    </row>
    <row r="460" spans="1:25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7082</v>
      </c>
      <c r="J460" t="s">
        <v>7084</v>
      </c>
      <c r="K460" t="s">
        <v>46</v>
      </c>
      <c r="L460" t="s">
        <v>7084</v>
      </c>
      <c r="M460" t="s">
        <v>7084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28"/>
        <v>0-12 Months</v>
      </c>
      <c r="W460">
        <f t="shared" si="29"/>
        <v>0</v>
      </c>
      <c r="X460">
        <f t="shared" si="30"/>
        <v>0</v>
      </c>
      <c r="Y460" t="str">
        <f t="shared" si="31"/>
        <v>Non-Senior</v>
      </c>
    </row>
    <row r="461" spans="1:25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28"/>
        <v>0-12 Months</v>
      </c>
      <c r="W461">
        <f t="shared" si="29"/>
        <v>0</v>
      </c>
      <c r="X461">
        <f t="shared" si="30"/>
        <v>0</v>
      </c>
      <c r="Y461" t="str">
        <f t="shared" si="31"/>
        <v>Non-Senior</v>
      </c>
    </row>
    <row r="462" spans="1:25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7082</v>
      </c>
      <c r="J462" t="s">
        <v>7084</v>
      </c>
      <c r="K462" t="s">
        <v>46</v>
      </c>
      <c r="L462" t="s">
        <v>7084</v>
      </c>
      <c r="M462" t="s">
        <v>7084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28"/>
        <v>0-12 Months</v>
      </c>
      <c r="W462">
        <f t="shared" si="29"/>
        <v>0</v>
      </c>
      <c r="X462">
        <f t="shared" si="30"/>
        <v>0</v>
      </c>
      <c r="Y462" t="str">
        <f t="shared" si="31"/>
        <v>Non-Senior</v>
      </c>
    </row>
    <row r="463" spans="1:25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28"/>
        <v>13-24 Months</v>
      </c>
      <c r="W463">
        <f t="shared" si="29"/>
        <v>0</v>
      </c>
      <c r="X463">
        <f t="shared" si="30"/>
        <v>0</v>
      </c>
      <c r="Y463" t="str">
        <f t="shared" si="31"/>
        <v>Non-Senior</v>
      </c>
    </row>
    <row r="464" spans="1:25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28"/>
        <v>0-12 Months</v>
      </c>
      <c r="W464">
        <f t="shared" si="29"/>
        <v>1</v>
      </c>
      <c r="X464">
        <f t="shared" si="30"/>
        <v>101.15</v>
      </c>
      <c r="Y464" t="str">
        <f t="shared" si="31"/>
        <v>Non-Senior</v>
      </c>
    </row>
    <row r="465" spans="1:25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28"/>
        <v>0-12 Months</v>
      </c>
      <c r="W465">
        <f t="shared" si="29"/>
        <v>1</v>
      </c>
      <c r="X465">
        <f t="shared" si="30"/>
        <v>99.8</v>
      </c>
      <c r="Y465" t="str">
        <f t="shared" si="31"/>
        <v>Non-Senior</v>
      </c>
    </row>
    <row r="466" spans="1:25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28"/>
        <v>61-72 Months</v>
      </c>
      <c r="W466">
        <f t="shared" si="29"/>
        <v>0</v>
      </c>
      <c r="X466">
        <f t="shared" si="30"/>
        <v>0</v>
      </c>
      <c r="Y466" t="str">
        <f t="shared" si="31"/>
        <v>Senior Citizen</v>
      </c>
    </row>
    <row r="467" spans="1:25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28"/>
        <v>61-72 Months</v>
      </c>
      <c r="W467">
        <f t="shared" si="29"/>
        <v>0</v>
      </c>
      <c r="X467">
        <f t="shared" si="30"/>
        <v>0</v>
      </c>
      <c r="Y467" t="str">
        <f t="shared" si="31"/>
        <v>Non-Senior</v>
      </c>
    </row>
    <row r="468" spans="1:25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28"/>
        <v>61-72 Months</v>
      </c>
      <c r="W468">
        <f t="shared" si="29"/>
        <v>0</v>
      </c>
      <c r="X468">
        <f t="shared" si="30"/>
        <v>0</v>
      </c>
      <c r="Y468" t="str">
        <f t="shared" si="31"/>
        <v>Senior Citizen</v>
      </c>
    </row>
    <row r="469" spans="1:25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28"/>
        <v>61-72 Months</v>
      </c>
      <c r="W469">
        <f t="shared" si="29"/>
        <v>0</v>
      </c>
      <c r="X469">
        <f t="shared" si="30"/>
        <v>0</v>
      </c>
      <c r="Y469" t="str">
        <f t="shared" si="31"/>
        <v>Non-Senior</v>
      </c>
    </row>
    <row r="470" spans="1:25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7082</v>
      </c>
      <c r="J470" t="s">
        <v>7084</v>
      </c>
      <c r="K470" t="s">
        <v>46</v>
      </c>
      <c r="L470" t="s">
        <v>7084</v>
      </c>
      <c r="M470" t="s">
        <v>7084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28"/>
        <v>37-48 Months</v>
      </c>
      <c r="W470">
        <f t="shared" si="29"/>
        <v>0</v>
      </c>
      <c r="X470">
        <f t="shared" si="30"/>
        <v>0</v>
      </c>
      <c r="Y470" t="str">
        <f t="shared" si="31"/>
        <v>Non-Senior</v>
      </c>
    </row>
    <row r="471" spans="1:25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28"/>
        <v>13-24 Months</v>
      </c>
      <c r="W471">
        <f t="shared" si="29"/>
        <v>1</v>
      </c>
      <c r="X471">
        <f t="shared" si="30"/>
        <v>55.95</v>
      </c>
      <c r="Y471" t="str">
        <f t="shared" si="31"/>
        <v>Non-Senior</v>
      </c>
    </row>
    <row r="472" spans="1:25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7082</v>
      </c>
      <c r="J472" t="s">
        <v>7084</v>
      </c>
      <c r="K472" t="s">
        <v>46</v>
      </c>
      <c r="L472" t="s">
        <v>7084</v>
      </c>
      <c r="M472" t="s">
        <v>7084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28"/>
        <v>13-24 Months</v>
      </c>
      <c r="W472">
        <f t="shared" si="29"/>
        <v>0</v>
      </c>
      <c r="X472">
        <f t="shared" si="30"/>
        <v>0</v>
      </c>
      <c r="Y472" t="str">
        <f t="shared" si="31"/>
        <v>Senior Citizen</v>
      </c>
    </row>
    <row r="473" spans="1:25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28"/>
        <v>0-12 Months</v>
      </c>
      <c r="W473">
        <f t="shared" si="29"/>
        <v>1</v>
      </c>
      <c r="X473">
        <f t="shared" si="30"/>
        <v>55</v>
      </c>
      <c r="Y473" t="str">
        <f t="shared" si="31"/>
        <v>Non-Senior</v>
      </c>
    </row>
    <row r="474" spans="1:25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28"/>
        <v>0-12 Months</v>
      </c>
      <c r="W474">
        <f t="shared" si="29"/>
        <v>0</v>
      </c>
      <c r="X474">
        <f t="shared" si="30"/>
        <v>0</v>
      </c>
      <c r="Y474" t="str">
        <f t="shared" si="31"/>
        <v>Non-Senior</v>
      </c>
    </row>
    <row r="475" spans="1:25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28"/>
        <v>13-24 Months</v>
      </c>
      <c r="W475">
        <f t="shared" si="29"/>
        <v>0</v>
      </c>
      <c r="X475">
        <f t="shared" si="30"/>
        <v>0</v>
      </c>
      <c r="Y475" t="str">
        <f t="shared" si="31"/>
        <v>Non-Senior</v>
      </c>
    </row>
    <row r="476" spans="1:25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28"/>
        <v>0-12 Months</v>
      </c>
      <c r="W476">
        <f t="shared" si="29"/>
        <v>1</v>
      </c>
      <c r="X476">
        <f t="shared" si="30"/>
        <v>74.7</v>
      </c>
      <c r="Y476" t="str">
        <f t="shared" si="31"/>
        <v>Non-Senior</v>
      </c>
    </row>
    <row r="477" spans="1:25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28"/>
        <v>13-24 Months</v>
      </c>
      <c r="W477">
        <f t="shared" si="29"/>
        <v>1</v>
      </c>
      <c r="X477">
        <f t="shared" si="30"/>
        <v>80.25</v>
      </c>
      <c r="Y477" t="str">
        <f t="shared" si="31"/>
        <v>Non-Senior</v>
      </c>
    </row>
    <row r="478" spans="1:25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28"/>
        <v>25-36 Months</v>
      </c>
      <c r="W478">
        <f t="shared" si="29"/>
        <v>0</v>
      </c>
      <c r="X478">
        <f t="shared" si="30"/>
        <v>0</v>
      </c>
      <c r="Y478" t="str">
        <f t="shared" si="31"/>
        <v>Senior Citizen</v>
      </c>
    </row>
    <row r="479" spans="1:25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28"/>
        <v>0-12 Months</v>
      </c>
      <c r="W479">
        <f t="shared" si="29"/>
        <v>0</v>
      </c>
      <c r="X479">
        <f t="shared" si="30"/>
        <v>0</v>
      </c>
      <c r="Y479" t="str">
        <f t="shared" si="31"/>
        <v>Non-Senior</v>
      </c>
    </row>
    <row r="480" spans="1:25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28"/>
        <v>0-12 Months</v>
      </c>
      <c r="W480">
        <f t="shared" si="29"/>
        <v>1</v>
      </c>
      <c r="X480">
        <f t="shared" si="30"/>
        <v>96.1</v>
      </c>
      <c r="Y480" t="str">
        <f t="shared" si="31"/>
        <v>Non-Senior</v>
      </c>
    </row>
    <row r="481" spans="1:25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28"/>
        <v>13-24 Months</v>
      </c>
      <c r="W481">
        <f t="shared" si="29"/>
        <v>1</v>
      </c>
      <c r="X481">
        <f t="shared" si="30"/>
        <v>69</v>
      </c>
      <c r="Y481" t="str">
        <f t="shared" si="31"/>
        <v>Non-Senior</v>
      </c>
    </row>
    <row r="482" spans="1:25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7082</v>
      </c>
      <c r="J482" t="s">
        <v>7084</v>
      </c>
      <c r="K482" t="s">
        <v>46</v>
      </c>
      <c r="L482" t="s">
        <v>7084</v>
      </c>
      <c r="M482" t="s">
        <v>7084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28"/>
        <v>0-12 Months</v>
      </c>
      <c r="W482">
        <f t="shared" si="29"/>
        <v>0</v>
      </c>
      <c r="X482">
        <f t="shared" si="30"/>
        <v>0</v>
      </c>
      <c r="Y482" t="str">
        <f t="shared" si="31"/>
        <v>Non-Senior</v>
      </c>
    </row>
    <row r="483" spans="1:25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28"/>
        <v>37-48 Months</v>
      </c>
      <c r="W483">
        <f t="shared" si="29"/>
        <v>1</v>
      </c>
      <c r="X483">
        <f t="shared" si="30"/>
        <v>45.3</v>
      </c>
      <c r="Y483" t="str">
        <f t="shared" si="31"/>
        <v>Non-Senior</v>
      </c>
    </row>
    <row r="484" spans="1:25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28"/>
        <v>13-24 Months</v>
      </c>
      <c r="W484">
        <f t="shared" si="29"/>
        <v>0</v>
      </c>
      <c r="X484">
        <f t="shared" si="30"/>
        <v>0</v>
      </c>
      <c r="Y484" t="str">
        <f t="shared" si="31"/>
        <v>Senior Citizen</v>
      </c>
    </row>
    <row r="485" spans="1:25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28"/>
        <v>61-72 Months</v>
      </c>
      <c r="W485">
        <f t="shared" si="29"/>
        <v>0</v>
      </c>
      <c r="X485">
        <f t="shared" si="30"/>
        <v>0</v>
      </c>
      <c r="Y485" t="str">
        <f t="shared" si="31"/>
        <v>Non-Senior</v>
      </c>
    </row>
    <row r="486" spans="1:25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28"/>
        <v>0-12 Months</v>
      </c>
      <c r="W486">
        <f t="shared" si="29"/>
        <v>1</v>
      </c>
      <c r="X486">
        <f t="shared" si="30"/>
        <v>83.55</v>
      </c>
      <c r="Y486" t="str">
        <f t="shared" si="31"/>
        <v>Non-Senior</v>
      </c>
    </row>
    <row r="487" spans="1:25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28"/>
        <v>61-72 Months</v>
      </c>
      <c r="W487">
        <f t="shared" si="29"/>
        <v>0</v>
      </c>
      <c r="X487">
        <f t="shared" si="30"/>
        <v>0</v>
      </c>
      <c r="Y487" t="str">
        <f t="shared" si="31"/>
        <v>Non-Senior</v>
      </c>
    </row>
    <row r="488" spans="1:25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28"/>
        <v>13-24 Months</v>
      </c>
      <c r="W488">
        <f t="shared" si="29"/>
        <v>0</v>
      </c>
      <c r="X488">
        <f t="shared" si="30"/>
        <v>0</v>
      </c>
      <c r="Y488" t="str">
        <f t="shared" si="31"/>
        <v>Non-Senior</v>
      </c>
    </row>
    <row r="489" spans="1:25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28"/>
        <v>61-72 Months</v>
      </c>
      <c r="W489">
        <f t="shared" si="29"/>
        <v>0</v>
      </c>
      <c r="X489">
        <f t="shared" si="30"/>
        <v>0</v>
      </c>
      <c r="Y489" t="str">
        <f t="shared" si="31"/>
        <v>Non-Senior</v>
      </c>
    </row>
    <row r="490" spans="1:25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 t="str">
        <f t="shared" si="28"/>
        <v>0-12 Months</v>
      </c>
      <c r="W490">
        <f t="shared" si="29"/>
        <v>0</v>
      </c>
      <c r="X490">
        <f t="shared" si="30"/>
        <v>0</v>
      </c>
      <c r="Y490" t="str">
        <f t="shared" si="31"/>
        <v>Non-Senior</v>
      </c>
    </row>
    <row r="491" spans="1:25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28"/>
        <v>0-12 Months</v>
      </c>
      <c r="W491">
        <f t="shared" si="29"/>
        <v>1</v>
      </c>
      <c r="X491">
        <f t="shared" si="30"/>
        <v>74.349999999999994</v>
      </c>
      <c r="Y491" t="str">
        <f t="shared" si="31"/>
        <v>Non-Senior</v>
      </c>
    </row>
    <row r="492" spans="1:25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28"/>
        <v>61-72 Months</v>
      </c>
      <c r="W492">
        <f t="shared" si="29"/>
        <v>0</v>
      </c>
      <c r="X492">
        <f t="shared" si="30"/>
        <v>0</v>
      </c>
      <c r="Y492" t="str">
        <f t="shared" si="31"/>
        <v>Non-Senior</v>
      </c>
    </row>
    <row r="493" spans="1:25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28"/>
        <v>0-12 Months</v>
      </c>
      <c r="W493">
        <f t="shared" si="29"/>
        <v>0</v>
      </c>
      <c r="X493">
        <f t="shared" si="30"/>
        <v>0</v>
      </c>
      <c r="Y493" t="str">
        <f t="shared" si="31"/>
        <v>Non-Senior</v>
      </c>
    </row>
    <row r="494" spans="1:25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28"/>
        <v>0-12 Months</v>
      </c>
      <c r="W494">
        <f t="shared" si="29"/>
        <v>1</v>
      </c>
      <c r="X494">
        <f t="shared" si="30"/>
        <v>74.400000000000006</v>
      </c>
      <c r="Y494" t="str">
        <f t="shared" si="31"/>
        <v>Non-Senior</v>
      </c>
    </row>
    <row r="495" spans="1:25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28"/>
        <v>61-72 Months</v>
      </c>
      <c r="W495">
        <f t="shared" si="29"/>
        <v>0</v>
      </c>
      <c r="X495">
        <f t="shared" si="30"/>
        <v>0</v>
      </c>
      <c r="Y495" t="str">
        <f t="shared" si="31"/>
        <v>Senior Citizen</v>
      </c>
    </row>
    <row r="496" spans="1:25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7082</v>
      </c>
      <c r="J496" t="s">
        <v>7084</v>
      </c>
      <c r="K496" t="s">
        <v>46</v>
      </c>
      <c r="L496" t="s">
        <v>7084</v>
      </c>
      <c r="M496" t="s">
        <v>7084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28"/>
        <v>0-12 Months</v>
      </c>
      <c r="W496">
        <f t="shared" si="29"/>
        <v>0</v>
      </c>
      <c r="X496">
        <f t="shared" si="30"/>
        <v>0</v>
      </c>
      <c r="Y496" t="str">
        <f t="shared" si="31"/>
        <v>Non-Senior</v>
      </c>
    </row>
    <row r="497" spans="1:25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28"/>
        <v>13-24 Months</v>
      </c>
      <c r="W497">
        <f t="shared" si="29"/>
        <v>1</v>
      </c>
      <c r="X497">
        <f t="shared" si="30"/>
        <v>43.75</v>
      </c>
      <c r="Y497" t="str">
        <f t="shared" si="31"/>
        <v>Non-Senior</v>
      </c>
    </row>
    <row r="498" spans="1:25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28"/>
        <v>25-36 Months</v>
      </c>
      <c r="W498">
        <f t="shared" si="29"/>
        <v>0</v>
      </c>
      <c r="X498">
        <f t="shared" si="30"/>
        <v>0</v>
      </c>
      <c r="Y498" t="str">
        <f t="shared" si="31"/>
        <v>Non-Senior</v>
      </c>
    </row>
    <row r="499" spans="1:25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7082</v>
      </c>
      <c r="J499" t="s">
        <v>7084</v>
      </c>
      <c r="K499" t="s">
        <v>46</v>
      </c>
      <c r="L499" t="s">
        <v>7084</v>
      </c>
      <c r="M499" t="s">
        <v>7084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28"/>
        <v>61-72 Months</v>
      </c>
      <c r="W499">
        <f t="shared" si="29"/>
        <v>0</v>
      </c>
      <c r="X499">
        <f t="shared" si="30"/>
        <v>0</v>
      </c>
      <c r="Y499" t="str">
        <f t="shared" si="31"/>
        <v>Non-Senior</v>
      </c>
    </row>
    <row r="500" spans="1:25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28"/>
        <v>0-12 Months</v>
      </c>
      <c r="W500">
        <f t="shared" si="29"/>
        <v>1</v>
      </c>
      <c r="X500">
        <f t="shared" si="30"/>
        <v>28.45</v>
      </c>
      <c r="Y500" t="str">
        <f t="shared" si="31"/>
        <v>Senior Citizen</v>
      </c>
    </row>
    <row r="501" spans="1:25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28"/>
        <v>0-12 Months</v>
      </c>
      <c r="W501">
        <f t="shared" si="29"/>
        <v>1</v>
      </c>
      <c r="X501">
        <f t="shared" si="30"/>
        <v>99.7</v>
      </c>
      <c r="Y501" t="str">
        <f t="shared" si="31"/>
        <v>Non-Senior</v>
      </c>
    </row>
    <row r="502" spans="1:25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28"/>
        <v>25-36 Months</v>
      </c>
      <c r="W502">
        <f t="shared" si="29"/>
        <v>0</v>
      </c>
      <c r="X502">
        <f t="shared" si="30"/>
        <v>0</v>
      </c>
      <c r="Y502" t="str">
        <f t="shared" si="31"/>
        <v>Non-Senior</v>
      </c>
    </row>
    <row r="503" spans="1:25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28"/>
        <v>61-72 Months</v>
      </c>
      <c r="W503">
        <f t="shared" si="29"/>
        <v>0</v>
      </c>
      <c r="X503">
        <f t="shared" si="30"/>
        <v>0</v>
      </c>
      <c r="Y503" t="str">
        <f t="shared" si="31"/>
        <v>Senior Citizen</v>
      </c>
    </row>
    <row r="504" spans="1:25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28"/>
        <v>61-72 Months</v>
      </c>
      <c r="W504">
        <f t="shared" si="29"/>
        <v>0</v>
      </c>
      <c r="X504">
        <f t="shared" si="30"/>
        <v>0</v>
      </c>
      <c r="Y504" t="str">
        <f t="shared" si="31"/>
        <v>Non-Senior</v>
      </c>
    </row>
    <row r="505" spans="1:25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28"/>
        <v>49-60 Months</v>
      </c>
      <c r="W505">
        <f t="shared" si="29"/>
        <v>0</v>
      </c>
      <c r="X505">
        <f t="shared" si="30"/>
        <v>0</v>
      </c>
      <c r="Y505" t="str">
        <f t="shared" si="31"/>
        <v>Non-Senior</v>
      </c>
    </row>
    <row r="506" spans="1:25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28"/>
        <v>61-72 Months</v>
      </c>
      <c r="W506">
        <f t="shared" si="29"/>
        <v>0</v>
      </c>
      <c r="X506">
        <f t="shared" si="30"/>
        <v>0</v>
      </c>
      <c r="Y506" t="str">
        <f t="shared" si="31"/>
        <v>Non-Senior</v>
      </c>
    </row>
    <row r="507" spans="1:25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28"/>
        <v>13-24 Months</v>
      </c>
      <c r="W507">
        <f t="shared" si="29"/>
        <v>1</v>
      </c>
      <c r="X507">
        <f t="shared" si="30"/>
        <v>94.1</v>
      </c>
      <c r="Y507" t="str">
        <f t="shared" si="31"/>
        <v>Senior Citizen</v>
      </c>
    </row>
    <row r="508" spans="1:25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28"/>
        <v>0-12 Months</v>
      </c>
      <c r="W508">
        <f t="shared" si="29"/>
        <v>0</v>
      </c>
      <c r="X508">
        <f t="shared" si="30"/>
        <v>0</v>
      </c>
      <c r="Y508" t="str">
        <f t="shared" si="31"/>
        <v>Non-Senior</v>
      </c>
    </row>
    <row r="509" spans="1:25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28"/>
        <v>0-12 Months</v>
      </c>
      <c r="W509">
        <f t="shared" si="29"/>
        <v>1</v>
      </c>
      <c r="X509">
        <f t="shared" si="30"/>
        <v>94.2</v>
      </c>
      <c r="Y509" t="str">
        <f t="shared" si="31"/>
        <v>Non-Senior</v>
      </c>
    </row>
    <row r="510" spans="1:25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28"/>
        <v>0-12 Months</v>
      </c>
      <c r="W510">
        <f t="shared" si="29"/>
        <v>1</v>
      </c>
      <c r="X510">
        <f t="shared" si="30"/>
        <v>80.5</v>
      </c>
      <c r="Y510" t="str">
        <f t="shared" si="31"/>
        <v>Non-Senior</v>
      </c>
    </row>
    <row r="511" spans="1:25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7082</v>
      </c>
      <c r="J511" t="s">
        <v>7084</v>
      </c>
      <c r="K511" t="s">
        <v>46</v>
      </c>
      <c r="L511" t="s">
        <v>7084</v>
      </c>
      <c r="M511" t="s">
        <v>7084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28"/>
        <v>0-12 Months</v>
      </c>
      <c r="W511">
        <f t="shared" si="29"/>
        <v>0</v>
      </c>
      <c r="X511">
        <f t="shared" si="30"/>
        <v>0</v>
      </c>
      <c r="Y511" t="str">
        <f t="shared" si="31"/>
        <v>Non-Senior</v>
      </c>
    </row>
    <row r="512" spans="1:25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28"/>
        <v>13-24 Months</v>
      </c>
      <c r="W512">
        <f t="shared" si="29"/>
        <v>0</v>
      </c>
      <c r="X512">
        <f t="shared" si="30"/>
        <v>0</v>
      </c>
      <c r="Y512" t="str">
        <f t="shared" si="31"/>
        <v>Senior Citizen</v>
      </c>
    </row>
    <row r="513" spans="1:25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28"/>
        <v>61-72 Months</v>
      </c>
      <c r="W513">
        <f t="shared" si="29"/>
        <v>0</v>
      </c>
      <c r="X513">
        <f t="shared" si="30"/>
        <v>0</v>
      </c>
      <c r="Y513" t="str">
        <f t="shared" si="31"/>
        <v>Non-Senior</v>
      </c>
    </row>
    <row r="514" spans="1:25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si="28"/>
        <v>0-12 Months</v>
      </c>
      <c r="W514">
        <f t="shared" si="29"/>
        <v>1</v>
      </c>
      <c r="X514">
        <f t="shared" si="30"/>
        <v>74.349999999999994</v>
      </c>
      <c r="Y514" t="str">
        <f t="shared" si="31"/>
        <v>Senior Citizen</v>
      </c>
    </row>
    <row r="515" spans="1:25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ref="V515:V578" si="32">IF(F515&lt;=12,"0-12 Months",IF(F515&lt;=24,"13-24 Months",IF(F515&lt;=36,"25-36 Months",IF(F515&lt;=48,"37-48 Months",IF(F515&lt;=60,"49-60 Months","61-72 Months")))))</f>
        <v>49-60 Months</v>
      </c>
      <c r="W515">
        <f t="shared" ref="W515:W578" si="33">IF(U515="Yes",1,0)</f>
        <v>0</v>
      </c>
      <c r="X515">
        <f t="shared" ref="X515:X578" si="34">IF(U515="Yes",S515,0)</f>
        <v>0</v>
      </c>
      <c r="Y515" t="str">
        <f t="shared" ref="Y515:Y578" si="35">IF(C515=1,"Senior Citizen","Non-Senior")</f>
        <v>Non-Senior</v>
      </c>
    </row>
    <row r="516" spans="1:25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32"/>
        <v>25-36 Months</v>
      </c>
      <c r="W516">
        <f t="shared" si="33"/>
        <v>0</v>
      </c>
      <c r="X516">
        <f t="shared" si="34"/>
        <v>0</v>
      </c>
      <c r="Y516" t="str">
        <f t="shared" si="35"/>
        <v>Non-Senior</v>
      </c>
    </row>
    <row r="517" spans="1:25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32"/>
        <v>37-48 Months</v>
      </c>
      <c r="W517">
        <f t="shared" si="33"/>
        <v>1</v>
      </c>
      <c r="X517">
        <f t="shared" si="34"/>
        <v>104.8</v>
      </c>
      <c r="Y517" t="str">
        <f t="shared" si="35"/>
        <v>Non-Senior</v>
      </c>
    </row>
    <row r="518" spans="1:25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32"/>
        <v>25-36 Months</v>
      </c>
      <c r="W518">
        <f t="shared" si="33"/>
        <v>0</v>
      </c>
      <c r="X518">
        <f t="shared" si="34"/>
        <v>0</v>
      </c>
      <c r="Y518" t="str">
        <f t="shared" si="35"/>
        <v>Non-Senior</v>
      </c>
    </row>
    <row r="519" spans="1:25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32"/>
        <v>0-12 Months</v>
      </c>
      <c r="W519">
        <f t="shared" si="33"/>
        <v>0</v>
      </c>
      <c r="X519">
        <f t="shared" si="34"/>
        <v>0</v>
      </c>
      <c r="Y519" t="str">
        <f t="shared" si="35"/>
        <v>Senior Citizen</v>
      </c>
    </row>
    <row r="520" spans="1:25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32"/>
        <v>25-36 Months</v>
      </c>
      <c r="W520">
        <f t="shared" si="33"/>
        <v>1</v>
      </c>
      <c r="X520">
        <f t="shared" si="34"/>
        <v>75.2</v>
      </c>
      <c r="Y520" t="str">
        <f t="shared" si="35"/>
        <v>Senior Citizen</v>
      </c>
    </row>
    <row r="521" spans="1:25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7082</v>
      </c>
      <c r="J521" t="s">
        <v>7084</v>
      </c>
      <c r="K521" t="s">
        <v>46</v>
      </c>
      <c r="L521" t="s">
        <v>7084</v>
      </c>
      <c r="M521" t="s">
        <v>7084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32"/>
        <v>0-12 Months</v>
      </c>
      <c r="W521">
        <f t="shared" si="33"/>
        <v>0</v>
      </c>
      <c r="X521">
        <f t="shared" si="34"/>
        <v>0</v>
      </c>
      <c r="Y521" t="str">
        <f t="shared" si="35"/>
        <v>Non-Senior</v>
      </c>
    </row>
    <row r="522" spans="1:25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32"/>
        <v>61-72 Months</v>
      </c>
      <c r="W522">
        <f t="shared" si="33"/>
        <v>0</v>
      </c>
      <c r="X522">
        <f t="shared" si="34"/>
        <v>0</v>
      </c>
      <c r="Y522" t="str">
        <f t="shared" si="35"/>
        <v>Non-Senior</v>
      </c>
    </row>
    <row r="523" spans="1:25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32"/>
        <v>25-36 Months</v>
      </c>
      <c r="W523">
        <f t="shared" si="33"/>
        <v>0</v>
      </c>
      <c r="X523">
        <f t="shared" si="34"/>
        <v>0</v>
      </c>
      <c r="Y523" t="str">
        <f t="shared" si="35"/>
        <v>Senior Citizen</v>
      </c>
    </row>
    <row r="524" spans="1:25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32"/>
        <v>49-60 Months</v>
      </c>
      <c r="W524">
        <f t="shared" si="33"/>
        <v>0</v>
      </c>
      <c r="X524">
        <f t="shared" si="34"/>
        <v>0</v>
      </c>
      <c r="Y524" t="str">
        <f t="shared" si="35"/>
        <v>Non-Senior</v>
      </c>
    </row>
    <row r="525" spans="1:25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32"/>
        <v>13-24 Months</v>
      </c>
      <c r="W525">
        <f t="shared" si="33"/>
        <v>1</v>
      </c>
      <c r="X525">
        <f t="shared" si="34"/>
        <v>75.599999999999994</v>
      </c>
      <c r="Y525" t="str">
        <f t="shared" si="35"/>
        <v>Non-Senior</v>
      </c>
    </row>
    <row r="526" spans="1:25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32"/>
        <v>25-36 Months</v>
      </c>
      <c r="W526">
        <f t="shared" si="33"/>
        <v>1</v>
      </c>
      <c r="X526">
        <f t="shared" si="34"/>
        <v>100.05</v>
      </c>
      <c r="Y526" t="str">
        <f t="shared" si="35"/>
        <v>Non-Senior</v>
      </c>
    </row>
    <row r="527" spans="1:25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32"/>
        <v>49-60 Months</v>
      </c>
      <c r="W527">
        <f t="shared" si="33"/>
        <v>0</v>
      </c>
      <c r="X527">
        <f t="shared" si="34"/>
        <v>0</v>
      </c>
      <c r="Y527" t="str">
        <f t="shared" si="35"/>
        <v>Non-Senior</v>
      </c>
    </row>
    <row r="528" spans="1:25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32"/>
        <v>61-72 Months</v>
      </c>
      <c r="W528">
        <f t="shared" si="33"/>
        <v>0</v>
      </c>
      <c r="X528">
        <f t="shared" si="34"/>
        <v>0</v>
      </c>
      <c r="Y528" t="str">
        <f t="shared" si="35"/>
        <v>Senior Citizen</v>
      </c>
    </row>
    <row r="529" spans="1:25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32"/>
        <v>49-60 Months</v>
      </c>
      <c r="W529">
        <f t="shared" si="33"/>
        <v>0</v>
      </c>
      <c r="X529">
        <f t="shared" si="34"/>
        <v>0</v>
      </c>
      <c r="Y529" t="str">
        <f t="shared" si="35"/>
        <v>Non-Senior</v>
      </c>
    </row>
    <row r="530" spans="1:25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7082</v>
      </c>
      <c r="J530" t="s">
        <v>7084</v>
      </c>
      <c r="K530" t="s">
        <v>46</v>
      </c>
      <c r="L530" t="s">
        <v>7084</v>
      </c>
      <c r="M530" t="s">
        <v>7084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32"/>
        <v>25-36 Months</v>
      </c>
      <c r="W530">
        <f t="shared" si="33"/>
        <v>0</v>
      </c>
      <c r="X530">
        <f t="shared" si="34"/>
        <v>0</v>
      </c>
      <c r="Y530" t="str">
        <f t="shared" si="35"/>
        <v>Non-Senior</v>
      </c>
    </row>
    <row r="531" spans="1:25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32"/>
        <v>49-60 Months</v>
      </c>
      <c r="W531">
        <f t="shared" si="33"/>
        <v>0</v>
      </c>
      <c r="X531">
        <f t="shared" si="34"/>
        <v>0</v>
      </c>
      <c r="Y531" t="str">
        <f t="shared" si="35"/>
        <v>Senior Citizen</v>
      </c>
    </row>
    <row r="532" spans="1:25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7082</v>
      </c>
      <c r="J532" t="s">
        <v>7084</v>
      </c>
      <c r="K532" t="s">
        <v>46</v>
      </c>
      <c r="L532" t="s">
        <v>7084</v>
      </c>
      <c r="M532" t="s">
        <v>7084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32"/>
        <v>13-24 Months</v>
      </c>
      <c r="W532">
        <f t="shared" si="33"/>
        <v>0</v>
      </c>
      <c r="X532">
        <f t="shared" si="34"/>
        <v>0</v>
      </c>
      <c r="Y532" t="str">
        <f t="shared" si="35"/>
        <v>Non-Senior</v>
      </c>
    </row>
    <row r="533" spans="1:25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7082</v>
      </c>
      <c r="J533" t="s">
        <v>7084</v>
      </c>
      <c r="K533" t="s">
        <v>46</v>
      </c>
      <c r="L533" t="s">
        <v>7084</v>
      </c>
      <c r="M533" t="s">
        <v>7084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32"/>
        <v>61-72 Months</v>
      </c>
      <c r="W533">
        <f t="shared" si="33"/>
        <v>0</v>
      </c>
      <c r="X533">
        <f t="shared" si="34"/>
        <v>0</v>
      </c>
      <c r="Y533" t="str">
        <f t="shared" si="35"/>
        <v>Non-Senior</v>
      </c>
    </row>
    <row r="534" spans="1:25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32"/>
        <v>0-12 Months</v>
      </c>
      <c r="W534">
        <f t="shared" si="33"/>
        <v>0</v>
      </c>
      <c r="X534">
        <f t="shared" si="34"/>
        <v>0</v>
      </c>
      <c r="Y534" t="str">
        <f t="shared" si="35"/>
        <v>Non-Senior</v>
      </c>
    </row>
    <row r="535" spans="1:25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32"/>
        <v>61-72 Months</v>
      </c>
      <c r="W535">
        <f t="shared" si="33"/>
        <v>0</v>
      </c>
      <c r="X535">
        <f t="shared" si="34"/>
        <v>0</v>
      </c>
      <c r="Y535" t="str">
        <f t="shared" si="35"/>
        <v>Senior Citizen</v>
      </c>
    </row>
    <row r="536" spans="1:25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32"/>
        <v>0-12 Months</v>
      </c>
      <c r="W536">
        <f t="shared" si="33"/>
        <v>1</v>
      </c>
      <c r="X536">
        <f t="shared" si="34"/>
        <v>85</v>
      </c>
      <c r="Y536" t="str">
        <f t="shared" si="35"/>
        <v>Non-Senior</v>
      </c>
    </row>
    <row r="537" spans="1:25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32"/>
        <v>0-12 Months</v>
      </c>
      <c r="W537">
        <f t="shared" si="33"/>
        <v>0</v>
      </c>
      <c r="X537">
        <f t="shared" si="34"/>
        <v>0</v>
      </c>
      <c r="Y537" t="str">
        <f t="shared" si="35"/>
        <v>Non-Senior</v>
      </c>
    </row>
    <row r="538" spans="1:25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32"/>
        <v>61-72 Months</v>
      </c>
      <c r="W538">
        <f t="shared" si="33"/>
        <v>0</v>
      </c>
      <c r="X538">
        <f t="shared" si="34"/>
        <v>0</v>
      </c>
      <c r="Y538" t="str">
        <f t="shared" si="35"/>
        <v>Non-Senior</v>
      </c>
    </row>
    <row r="539" spans="1:25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32"/>
        <v>25-36 Months</v>
      </c>
      <c r="W539">
        <f t="shared" si="33"/>
        <v>0</v>
      </c>
      <c r="X539">
        <f t="shared" si="34"/>
        <v>0</v>
      </c>
      <c r="Y539" t="str">
        <f t="shared" si="35"/>
        <v>Non-Senior</v>
      </c>
    </row>
    <row r="540" spans="1:25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32"/>
        <v>61-72 Months</v>
      </c>
      <c r="W540">
        <f t="shared" si="33"/>
        <v>0</v>
      </c>
      <c r="X540">
        <f t="shared" si="34"/>
        <v>0</v>
      </c>
      <c r="Y540" t="str">
        <f t="shared" si="35"/>
        <v>Non-Senior</v>
      </c>
    </row>
    <row r="541" spans="1:25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32"/>
        <v>49-60 Months</v>
      </c>
      <c r="W541">
        <f t="shared" si="33"/>
        <v>0</v>
      </c>
      <c r="X541">
        <f t="shared" si="34"/>
        <v>0</v>
      </c>
      <c r="Y541" t="str">
        <f t="shared" si="35"/>
        <v>Non-Senior</v>
      </c>
    </row>
    <row r="542" spans="1:25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32"/>
        <v>61-72 Months</v>
      </c>
      <c r="W542">
        <f t="shared" si="33"/>
        <v>0</v>
      </c>
      <c r="X542">
        <f t="shared" si="34"/>
        <v>0</v>
      </c>
      <c r="Y542" t="str">
        <f t="shared" si="35"/>
        <v>Non-Senior</v>
      </c>
    </row>
    <row r="543" spans="1:25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32"/>
        <v>0-12 Months</v>
      </c>
      <c r="W543">
        <f t="shared" si="33"/>
        <v>0</v>
      </c>
      <c r="X543">
        <f t="shared" si="34"/>
        <v>0</v>
      </c>
      <c r="Y543" t="str">
        <f t="shared" si="35"/>
        <v>Non-Senior</v>
      </c>
    </row>
    <row r="544" spans="1:25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7082</v>
      </c>
      <c r="J544" t="s">
        <v>7084</v>
      </c>
      <c r="K544" t="s">
        <v>46</v>
      </c>
      <c r="L544" t="s">
        <v>7084</v>
      </c>
      <c r="M544" t="s">
        <v>7084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32"/>
        <v>0-12 Months</v>
      </c>
      <c r="W544">
        <f t="shared" si="33"/>
        <v>0</v>
      </c>
      <c r="X544">
        <f t="shared" si="34"/>
        <v>0</v>
      </c>
      <c r="Y544" t="str">
        <f t="shared" si="35"/>
        <v>Non-Senior</v>
      </c>
    </row>
    <row r="545" spans="1:25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32"/>
        <v>0-12 Months</v>
      </c>
      <c r="W545">
        <f t="shared" si="33"/>
        <v>1</v>
      </c>
      <c r="X545">
        <f t="shared" si="34"/>
        <v>86.05</v>
      </c>
      <c r="Y545" t="str">
        <f t="shared" si="35"/>
        <v>Non-Senior</v>
      </c>
    </row>
    <row r="546" spans="1:25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32"/>
        <v>13-24 Months</v>
      </c>
      <c r="W546">
        <f t="shared" si="33"/>
        <v>1</v>
      </c>
      <c r="X546">
        <f t="shared" si="34"/>
        <v>45.55</v>
      </c>
      <c r="Y546" t="str">
        <f t="shared" si="35"/>
        <v>Non-Senior</v>
      </c>
    </row>
    <row r="547" spans="1:25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32"/>
        <v>25-36 Months</v>
      </c>
      <c r="W547">
        <f t="shared" si="33"/>
        <v>0</v>
      </c>
      <c r="X547">
        <f t="shared" si="34"/>
        <v>0</v>
      </c>
      <c r="Y547" t="str">
        <f t="shared" si="35"/>
        <v>Non-Senior</v>
      </c>
    </row>
    <row r="548" spans="1:25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32"/>
        <v>37-48 Months</v>
      </c>
      <c r="W548">
        <f t="shared" si="33"/>
        <v>1</v>
      </c>
      <c r="X548">
        <f t="shared" si="34"/>
        <v>86.3</v>
      </c>
      <c r="Y548" t="str">
        <f t="shared" si="35"/>
        <v>Non-Senior</v>
      </c>
    </row>
    <row r="549" spans="1:25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32"/>
        <v>61-72 Months</v>
      </c>
      <c r="W549">
        <f t="shared" si="33"/>
        <v>0</v>
      </c>
      <c r="X549">
        <f t="shared" si="34"/>
        <v>0</v>
      </c>
      <c r="Y549" t="str">
        <f t="shared" si="35"/>
        <v>Non-Senior</v>
      </c>
    </row>
    <row r="550" spans="1:25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32"/>
        <v>49-60 Months</v>
      </c>
      <c r="W550">
        <f t="shared" si="33"/>
        <v>0</v>
      </c>
      <c r="X550">
        <f t="shared" si="34"/>
        <v>0</v>
      </c>
      <c r="Y550" t="str">
        <f t="shared" si="35"/>
        <v>Senior Citizen</v>
      </c>
    </row>
    <row r="551" spans="1:25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7082</v>
      </c>
      <c r="J551" t="s">
        <v>7084</v>
      </c>
      <c r="K551" t="s">
        <v>46</v>
      </c>
      <c r="L551" t="s">
        <v>7084</v>
      </c>
      <c r="M551" t="s">
        <v>7084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32"/>
        <v>13-24 Months</v>
      </c>
      <c r="W551">
        <f t="shared" si="33"/>
        <v>0</v>
      </c>
      <c r="X551">
        <f t="shared" si="34"/>
        <v>0</v>
      </c>
      <c r="Y551" t="str">
        <f t="shared" si="35"/>
        <v>Non-Senior</v>
      </c>
    </row>
    <row r="552" spans="1:25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32"/>
        <v>61-72 Months</v>
      </c>
      <c r="W552">
        <f t="shared" si="33"/>
        <v>0</v>
      </c>
      <c r="X552">
        <f t="shared" si="34"/>
        <v>0</v>
      </c>
      <c r="Y552" t="str">
        <f t="shared" si="35"/>
        <v>Non-Senior</v>
      </c>
    </row>
    <row r="553" spans="1:25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32"/>
        <v>61-72 Months</v>
      </c>
      <c r="W553">
        <f t="shared" si="33"/>
        <v>0</v>
      </c>
      <c r="X553">
        <f t="shared" si="34"/>
        <v>0</v>
      </c>
      <c r="Y553" t="str">
        <f t="shared" si="35"/>
        <v>Non-Senior</v>
      </c>
    </row>
    <row r="554" spans="1:25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7082</v>
      </c>
      <c r="J554" t="s">
        <v>7084</v>
      </c>
      <c r="K554" t="s">
        <v>46</v>
      </c>
      <c r="L554" t="s">
        <v>7084</v>
      </c>
      <c r="M554" t="s">
        <v>7084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32"/>
        <v>49-60 Months</v>
      </c>
      <c r="W554">
        <f t="shared" si="33"/>
        <v>0</v>
      </c>
      <c r="X554">
        <f t="shared" si="34"/>
        <v>0</v>
      </c>
      <c r="Y554" t="str">
        <f t="shared" si="35"/>
        <v>Non-Senior</v>
      </c>
    </row>
    <row r="555" spans="1:25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7082</v>
      </c>
      <c r="J555" t="s">
        <v>7084</v>
      </c>
      <c r="K555" t="s">
        <v>46</v>
      </c>
      <c r="L555" t="s">
        <v>7084</v>
      </c>
      <c r="M555" t="s">
        <v>7084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32"/>
        <v>13-24 Months</v>
      </c>
      <c r="W555">
        <f t="shared" si="33"/>
        <v>0</v>
      </c>
      <c r="X555">
        <f t="shared" si="34"/>
        <v>0</v>
      </c>
      <c r="Y555" t="str">
        <f t="shared" si="35"/>
        <v>Non-Senior</v>
      </c>
    </row>
    <row r="556" spans="1:25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32"/>
        <v>25-36 Months</v>
      </c>
      <c r="W556">
        <f t="shared" si="33"/>
        <v>1</v>
      </c>
      <c r="X556">
        <f t="shared" si="34"/>
        <v>80.349999999999994</v>
      </c>
      <c r="Y556" t="str">
        <f t="shared" si="35"/>
        <v>Non-Senior</v>
      </c>
    </row>
    <row r="557" spans="1:25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32"/>
        <v>49-60 Months</v>
      </c>
      <c r="W557">
        <f t="shared" si="33"/>
        <v>0</v>
      </c>
      <c r="X557">
        <f t="shared" si="34"/>
        <v>0</v>
      </c>
      <c r="Y557" t="str">
        <f t="shared" si="35"/>
        <v>Non-Senior</v>
      </c>
    </row>
    <row r="558" spans="1:25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7082</v>
      </c>
      <c r="J558" t="s">
        <v>7084</v>
      </c>
      <c r="K558" t="s">
        <v>46</v>
      </c>
      <c r="L558" t="s">
        <v>7084</v>
      </c>
      <c r="M558" t="s">
        <v>7084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32"/>
        <v>0-12 Months</v>
      </c>
      <c r="W558">
        <f t="shared" si="33"/>
        <v>0</v>
      </c>
      <c r="X558">
        <f t="shared" si="34"/>
        <v>0</v>
      </c>
      <c r="Y558" t="str">
        <f t="shared" si="35"/>
        <v>Non-Senior</v>
      </c>
    </row>
    <row r="559" spans="1:25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32"/>
        <v>37-48 Months</v>
      </c>
      <c r="W559">
        <f t="shared" si="33"/>
        <v>0</v>
      </c>
      <c r="X559">
        <f t="shared" si="34"/>
        <v>0</v>
      </c>
      <c r="Y559" t="str">
        <f t="shared" si="35"/>
        <v>Non-Senior</v>
      </c>
    </row>
    <row r="560" spans="1:25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32"/>
        <v>0-12 Months</v>
      </c>
      <c r="W560">
        <f t="shared" si="33"/>
        <v>0</v>
      </c>
      <c r="X560">
        <f t="shared" si="34"/>
        <v>0</v>
      </c>
      <c r="Y560" t="str">
        <f t="shared" si="35"/>
        <v>Non-Senior</v>
      </c>
    </row>
    <row r="561" spans="1:25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32"/>
        <v>0-12 Months</v>
      </c>
      <c r="W561">
        <f t="shared" si="33"/>
        <v>0</v>
      </c>
      <c r="X561">
        <f t="shared" si="34"/>
        <v>0</v>
      </c>
      <c r="Y561" t="str">
        <f t="shared" si="35"/>
        <v>Non-Senior</v>
      </c>
    </row>
    <row r="562" spans="1:25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32"/>
        <v>49-60 Months</v>
      </c>
      <c r="W562">
        <f t="shared" si="33"/>
        <v>0</v>
      </c>
      <c r="X562">
        <f t="shared" si="34"/>
        <v>0</v>
      </c>
      <c r="Y562" t="str">
        <f t="shared" si="35"/>
        <v>Non-Senior</v>
      </c>
    </row>
    <row r="563" spans="1:25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7082</v>
      </c>
      <c r="J563" t="s">
        <v>7084</v>
      </c>
      <c r="K563" t="s">
        <v>46</v>
      </c>
      <c r="L563" t="s">
        <v>7084</v>
      </c>
      <c r="M563" t="s">
        <v>7084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32"/>
        <v>0-12 Months</v>
      </c>
      <c r="W563">
        <f t="shared" si="33"/>
        <v>0</v>
      </c>
      <c r="X563">
        <f t="shared" si="34"/>
        <v>0</v>
      </c>
      <c r="Y563" t="str">
        <f t="shared" si="35"/>
        <v>Non-Senior</v>
      </c>
    </row>
    <row r="564" spans="1:25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32"/>
        <v>0-12 Months</v>
      </c>
      <c r="W564">
        <f t="shared" si="33"/>
        <v>0</v>
      </c>
      <c r="X564">
        <f t="shared" si="34"/>
        <v>0</v>
      </c>
      <c r="Y564" t="str">
        <f t="shared" si="35"/>
        <v>Non-Senior</v>
      </c>
    </row>
    <row r="565" spans="1:25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32"/>
        <v>49-60 Months</v>
      </c>
      <c r="W565">
        <f t="shared" si="33"/>
        <v>0</v>
      </c>
      <c r="X565">
        <f t="shared" si="34"/>
        <v>0</v>
      </c>
      <c r="Y565" t="str">
        <f t="shared" si="35"/>
        <v>Non-Senior</v>
      </c>
    </row>
    <row r="566" spans="1:25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32"/>
        <v>0-12 Months</v>
      </c>
      <c r="W566">
        <f t="shared" si="33"/>
        <v>0</v>
      </c>
      <c r="X566">
        <f t="shared" si="34"/>
        <v>0</v>
      </c>
      <c r="Y566" t="str">
        <f t="shared" si="35"/>
        <v>Non-Senior</v>
      </c>
    </row>
    <row r="567" spans="1:25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32"/>
        <v>61-72 Months</v>
      </c>
      <c r="W567">
        <f t="shared" si="33"/>
        <v>0</v>
      </c>
      <c r="X567">
        <f t="shared" si="34"/>
        <v>0</v>
      </c>
      <c r="Y567" t="str">
        <f t="shared" si="35"/>
        <v>Non-Senior</v>
      </c>
    </row>
    <row r="568" spans="1:25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32"/>
        <v>13-24 Months</v>
      </c>
      <c r="W568">
        <f t="shared" si="33"/>
        <v>0</v>
      </c>
      <c r="X568">
        <f t="shared" si="34"/>
        <v>0</v>
      </c>
      <c r="Y568" t="str">
        <f t="shared" si="35"/>
        <v>Non-Senior</v>
      </c>
    </row>
    <row r="569" spans="1:25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32"/>
        <v>61-72 Months</v>
      </c>
      <c r="W569">
        <f t="shared" si="33"/>
        <v>0</v>
      </c>
      <c r="X569">
        <f t="shared" si="34"/>
        <v>0</v>
      </c>
      <c r="Y569" t="str">
        <f t="shared" si="35"/>
        <v>Non-Senior</v>
      </c>
    </row>
    <row r="570" spans="1:25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32"/>
        <v>25-36 Months</v>
      </c>
      <c r="W570">
        <f t="shared" si="33"/>
        <v>1</v>
      </c>
      <c r="X570">
        <f t="shared" si="34"/>
        <v>100.25</v>
      </c>
      <c r="Y570" t="str">
        <f t="shared" si="35"/>
        <v>Non-Senior</v>
      </c>
    </row>
    <row r="571" spans="1:25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32"/>
        <v>0-12 Months</v>
      </c>
      <c r="W571">
        <f t="shared" si="33"/>
        <v>0</v>
      </c>
      <c r="X571">
        <f t="shared" si="34"/>
        <v>0</v>
      </c>
      <c r="Y571" t="str">
        <f t="shared" si="35"/>
        <v>Non-Senior</v>
      </c>
    </row>
    <row r="572" spans="1:25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7082</v>
      </c>
      <c r="J572" t="s">
        <v>7084</v>
      </c>
      <c r="K572" t="s">
        <v>46</v>
      </c>
      <c r="L572" t="s">
        <v>7084</v>
      </c>
      <c r="M572" t="s">
        <v>7084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32"/>
        <v>49-60 Months</v>
      </c>
      <c r="W572">
        <f t="shared" si="33"/>
        <v>0</v>
      </c>
      <c r="X572">
        <f t="shared" si="34"/>
        <v>0</v>
      </c>
      <c r="Y572" t="str">
        <f t="shared" si="35"/>
        <v>Non-Senior</v>
      </c>
    </row>
    <row r="573" spans="1:25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32"/>
        <v>37-48 Months</v>
      </c>
      <c r="W573">
        <f t="shared" si="33"/>
        <v>0</v>
      </c>
      <c r="X573">
        <f t="shared" si="34"/>
        <v>0</v>
      </c>
      <c r="Y573" t="str">
        <f t="shared" si="35"/>
        <v>Senior Citizen</v>
      </c>
    </row>
    <row r="574" spans="1:25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32"/>
        <v>0-12 Months</v>
      </c>
      <c r="W574">
        <f t="shared" si="33"/>
        <v>0</v>
      </c>
      <c r="X574">
        <f t="shared" si="34"/>
        <v>0</v>
      </c>
      <c r="Y574" t="str">
        <f t="shared" si="35"/>
        <v>Non-Senior</v>
      </c>
    </row>
    <row r="575" spans="1:25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32"/>
        <v>49-60 Months</v>
      </c>
      <c r="W575">
        <f t="shared" si="33"/>
        <v>1</v>
      </c>
      <c r="X575">
        <f t="shared" si="34"/>
        <v>100.3</v>
      </c>
      <c r="Y575" t="str">
        <f t="shared" si="35"/>
        <v>Non-Senior</v>
      </c>
    </row>
    <row r="576" spans="1:25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32"/>
        <v>25-36 Months</v>
      </c>
      <c r="W576">
        <f t="shared" si="33"/>
        <v>0</v>
      </c>
      <c r="X576">
        <f t="shared" si="34"/>
        <v>0</v>
      </c>
      <c r="Y576" t="str">
        <f t="shared" si="35"/>
        <v>Senior Citizen</v>
      </c>
    </row>
    <row r="577" spans="1:25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32"/>
        <v>61-72 Months</v>
      </c>
      <c r="W577">
        <f t="shared" si="33"/>
        <v>0</v>
      </c>
      <c r="X577">
        <f t="shared" si="34"/>
        <v>0</v>
      </c>
      <c r="Y577" t="str">
        <f t="shared" si="35"/>
        <v>Non-Senior</v>
      </c>
    </row>
    <row r="578" spans="1:25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si="32"/>
        <v>25-36 Months</v>
      </c>
      <c r="W578">
        <f t="shared" si="33"/>
        <v>0</v>
      </c>
      <c r="X578">
        <f t="shared" si="34"/>
        <v>0</v>
      </c>
      <c r="Y578" t="str">
        <f t="shared" si="35"/>
        <v>Non-Senior</v>
      </c>
    </row>
    <row r="579" spans="1:25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ref="V579:V642" si="36">IF(F579&lt;=12,"0-12 Months",IF(F579&lt;=24,"13-24 Months",IF(F579&lt;=36,"25-36 Months",IF(F579&lt;=48,"37-48 Months",IF(F579&lt;=60,"49-60 Months","61-72 Months")))))</f>
        <v>0-12 Months</v>
      </c>
      <c r="W579">
        <f t="shared" ref="W579:W642" si="37">IF(U579="Yes",1,0)</f>
        <v>0</v>
      </c>
      <c r="X579">
        <f t="shared" ref="X579:X642" si="38">IF(U579="Yes",S579,0)</f>
        <v>0</v>
      </c>
      <c r="Y579" t="str">
        <f t="shared" ref="Y579:Y642" si="39">IF(C579=1,"Senior Citizen","Non-Senior")</f>
        <v>Non-Senior</v>
      </c>
    </row>
    <row r="580" spans="1:25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36"/>
        <v>25-36 Months</v>
      </c>
      <c r="W580">
        <f t="shared" si="37"/>
        <v>0</v>
      </c>
      <c r="X580">
        <f t="shared" si="38"/>
        <v>0</v>
      </c>
      <c r="Y580" t="str">
        <f t="shared" si="39"/>
        <v>Senior Citizen</v>
      </c>
    </row>
    <row r="581" spans="1:25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7082</v>
      </c>
      <c r="J581" t="s">
        <v>7084</v>
      </c>
      <c r="K581" t="s">
        <v>46</v>
      </c>
      <c r="L581" t="s">
        <v>7084</v>
      </c>
      <c r="M581" t="s">
        <v>7084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36"/>
        <v>0-12 Months</v>
      </c>
      <c r="W581">
        <f t="shared" si="37"/>
        <v>0</v>
      </c>
      <c r="X581">
        <f t="shared" si="38"/>
        <v>0</v>
      </c>
      <c r="Y581" t="str">
        <f t="shared" si="39"/>
        <v>Non-Senior</v>
      </c>
    </row>
    <row r="582" spans="1:25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7082</v>
      </c>
      <c r="J582" t="s">
        <v>7084</v>
      </c>
      <c r="K582" t="s">
        <v>46</v>
      </c>
      <c r="L582" t="s">
        <v>7084</v>
      </c>
      <c r="M582" t="s">
        <v>7084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36"/>
        <v>0-12 Months</v>
      </c>
      <c r="W582">
        <f t="shared" si="37"/>
        <v>1</v>
      </c>
      <c r="X582">
        <f t="shared" si="38"/>
        <v>19</v>
      </c>
      <c r="Y582" t="str">
        <f t="shared" si="39"/>
        <v>Non-Senior</v>
      </c>
    </row>
    <row r="583" spans="1:25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36"/>
        <v>0-12 Months</v>
      </c>
      <c r="W583">
        <f t="shared" si="37"/>
        <v>1</v>
      </c>
      <c r="X583">
        <f t="shared" si="38"/>
        <v>75.3</v>
      </c>
      <c r="Y583" t="str">
        <f t="shared" si="39"/>
        <v>Non-Senior</v>
      </c>
    </row>
    <row r="584" spans="1:25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36"/>
        <v>0-12 Months</v>
      </c>
      <c r="W584">
        <f t="shared" si="37"/>
        <v>1</v>
      </c>
      <c r="X584">
        <f t="shared" si="38"/>
        <v>89.2</v>
      </c>
      <c r="Y584" t="str">
        <f t="shared" si="39"/>
        <v>Senior Citizen</v>
      </c>
    </row>
    <row r="585" spans="1:25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7082</v>
      </c>
      <c r="J585" t="s">
        <v>7084</v>
      </c>
      <c r="K585" t="s">
        <v>46</v>
      </c>
      <c r="L585" t="s">
        <v>7084</v>
      </c>
      <c r="M585" t="s">
        <v>7084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36"/>
        <v>0-12 Months</v>
      </c>
      <c r="W585">
        <f t="shared" si="37"/>
        <v>0</v>
      </c>
      <c r="X585">
        <f t="shared" si="38"/>
        <v>0</v>
      </c>
      <c r="Y585" t="str">
        <f t="shared" si="39"/>
        <v>Non-Senior</v>
      </c>
    </row>
    <row r="586" spans="1:25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7082</v>
      </c>
      <c r="J586" t="s">
        <v>7084</v>
      </c>
      <c r="K586" t="s">
        <v>46</v>
      </c>
      <c r="L586" t="s">
        <v>7084</v>
      </c>
      <c r="M586" t="s">
        <v>7084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36"/>
        <v>0-12 Months</v>
      </c>
      <c r="W586">
        <f t="shared" si="37"/>
        <v>0</v>
      </c>
      <c r="X586">
        <f t="shared" si="38"/>
        <v>0</v>
      </c>
      <c r="Y586" t="str">
        <f t="shared" si="39"/>
        <v>Non-Senior</v>
      </c>
    </row>
    <row r="587" spans="1:25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36"/>
        <v>0-12 Months</v>
      </c>
      <c r="W587">
        <f t="shared" si="37"/>
        <v>1</v>
      </c>
      <c r="X587">
        <f t="shared" si="38"/>
        <v>85.7</v>
      </c>
      <c r="Y587" t="str">
        <f t="shared" si="39"/>
        <v>Senior Citizen</v>
      </c>
    </row>
    <row r="588" spans="1:25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36"/>
        <v>49-60 Months</v>
      </c>
      <c r="W588">
        <f t="shared" si="37"/>
        <v>0</v>
      </c>
      <c r="X588">
        <f t="shared" si="38"/>
        <v>0</v>
      </c>
      <c r="Y588" t="str">
        <f t="shared" si="39"/>
        <v>Non-Senior</v>
      </c>
    </row>
    <row r="589" spans="1:25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7082</v>
      </c>
      <c r="J589" t="s">
        <v>7084</v>
      </c>
      <c r="K589" t="s">
        <v>46</v>
      </c>
      <c r="L589" t="s">
        <v>7084</v>
      </c>
      <c r="M589" t="s">
        <v>7084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36"/>
        <v>0-12 Months</v>
      </c>
      <c r="W589">
        <f t="shared" si="37"/>
        <v>0</v>
      </c>
      <c r="X589">
        <f t="shared" si="38"/>
        <v>0</v>
      </c>
      <c r="Y589" t="str">
        <f t="shared" si="39"/>
        <v>Non-Senior</v>
      </c>
    </row>
    <row r="590" spans="1:25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36"/>
        <v>61-72 Months</v>
      </c>
      <c r="W590">
        <f t="shared" si="37"/>
        <v>0</v>
      </c>
      <c r="X590">
        <f t="shared" si="38"/>
        <v>0</v>
      </c>
      <c r="Y590" t="str">
        <f t="shared" si="39"/>
        <v>Non-Senior</v>
      </c>
    </row>
    <row r="591" spans="1:25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36"/>
        <v>61-72 Months</v>
      </c>
      <c r="W591">
        <f t="shared" si="37"/>
        <v>0</v>
      </c>
      <c r="X591">
        <f t="shared" si="38"/>
        <v>0</v>
      </c>
      <c r="Y591" t="str">
        <f t="shared" si="39"/>
        <v>Non-Senior</v>
      </c>
    </row>
    <row r="592" spans="1:25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36"/>
        <v>61-72 Months</v>
      </c>
      <c r="W592">
        <f t="shared" si="37"/>
        <v>0</v>
      </c>
      <c r="X592">
        <f t="shared" si="38"/>
        <v>0</v>
      </c>
      <c r="Y592" t="str">
        <f t="shared" si="39"/>
        <v>Non-Senior</v>
      </c>
    </row>
    <row r="593" spans="1:25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7082</v>
      </c>
      <c r="J593" t="s">
        <v>7084</v>
      </c>
      <c r="K593" t="s">
        <v>46</v>
      </c>
      <c r="L593" t="s">
        <v>7084</v>
      </c>
      <c r="M593" t="s">
        <v>7084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36"/>
        <v>37-48 Months</v>
      </c>
      <c r="W593">
        <f t="shared" si="37"/>
        <v>0</v>
      </c>
      <c r="X593">
        <f t="shared" si="38"/>
        <v>0</v>
      </c>
      <c r="Y593" t="str">
        <f t="shared" si="39"/>
        <v>Non-Senior</v>
      </c>
    </row>
    <row r="594" spans="1:25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36"/>
        <v>61-72 Months</v>
      </c>
      <c r="W594">
        <f t="shared" si="37"/>
        <v>0</v>
      </c>
      <c r="X594">
        <f t="shared" si="38"/>
        <v>0</v>
      </c>
      <c r="Y594" t="str">
        <f t="shared" si="39"/>
        <v>Non-Senior</v>
      </c>
    </row>
    <row r="595" spans="1:25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36"/>
        <v>25-36 Months</v>
      </c>
      <c r="W595">
        <f t="shared" si="37"/>
        <v>0</v>
      </c>
      <c r="X595">
        <f t="shared" si="38"/>
        <v>0</v>
      </c>
      <c r="Y595" t="str">
        <f t="shared" si="39"/>
        <v>Non-Senior</v>
      </c>
    </row>
    <row r="596" spans="1:25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36"/>
        <v>0-12 Months</v>
      </c>
      <c r="W596">
        <f t="shared" si="37"/>
        <v>0</v>
      </c>
      <c r="X596">
        <f t="shared" si="38"/>
        <v>0</v>
      </c>
      <c r="Y596" t="str">
        <f t="shared" si="39"/>
        <v>Non-Senior</v>
      </c>
    </row>
    <row r="597" spans="1:25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36"/>
        <v>0-12 Months</v>
      </c>
      <c r="W597">
        <f t="shared" si="37"/>
        <v>1</v>
      </c>
      <c r="X597">
        <f t="shared" si="38"/>
        <v>61.65</v>
      </c>
      <c r="Y597" t="str">
        <f t="shared" si="39"/>
        <v>Non-Senior</v>
      </c>
    </row>
    <row r="598" spans="1:25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36"/>
        <v>13-24 Months</v>
      </c>
      <c r="W598">
        <f t="shared" si="37"/>
        <v>0</v>
      </c>
      <c r="X598">
        <f t="shared" si="38"/>
        <v>0</v>
      </c>
      <c r="Y598" t="str">
        <f t="shared" si="39"/>
        <v>Non-Senior</v>
      </c>
    </row>
    <row r="599" spans="1:25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36"/>
        <v>0-12 Months</v>
      </c>
      <c r="W599">
        <f t="shared" si="37"/>
        <v>0</v>
      </c>
      <c r="X599">
        <f t="shared" si="38"/>
        <v>0</v>
      </c>
      <c r="Y599" t="str">
        <f t="shared" si="39"/>
        <v>Non-Senior</v>
      </c>
    </row>
    <row r="600" spans="1:25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36"/>
        <v>49-60 Months</v>
      </c>
      <c r="W600">
        <f t="shared" si="37"/>
        <v>0</v>
      </c>
      <c r="X600">
        <f t="shared" si="38"/>
        <v>0</v>
      </c>
      <c r="Y600" t="str">
        <f t="shared" si="39"/>
        <v>Non-Senior</v>
      </c>
    </row>
    <row r="601" spans="1:25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7082</v>
      </c>
      <c r="J601" t="s">
        <v>7084</v>
      </c>
      <c r="K601" t="s">
        <v>46</v>
      </c>
      <c r="L601" t="s">
        <v>7084</v>
      </c>
      <c r="M601" t="s">
        <v>7084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36"/>
        <v>61-72 Months</v>
      </c>
      <c r="W601">
        <f t="shared" si="37"/>
        <v>0</v>
      </c>
      <c r="X601">
        <f t="shared" si="38"/>
        <v>0</v>
      </c>
      <c r="Y601" t="str">
        <f t="shared" si="39"/>
        <v>Non-Senior</v>
      </c>
    </row>
    <row r="602" spans="1:25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36"/>
        <v>13-24 Months</v>
      </c>
      <c r="W602">
        <f t="shared" si="37"/>
        <v>0</v>
      </c>
      <c r="X602">
        <f t="shared" si="38"/>
        <v>0</v>
      </c>
      <c r="Y602" t="str">
        <f t="shared" si="39"/>
        <v>Non-Senior</v>
      </c>
    </row>
    <row r="603" spans="1:25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7082</v>
      </c>
      <c r="J603" t="s">
        <v>7084</v>
      </c>
      <c r="K603" t="s">
        <v>46</v>
      </c>
      <c r="L603" t="s">
        <v>7084</v>
      </c>
      <c r="M603" t="s">
        <v>7084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36"/>
        <v>0-12 Months</v>
      </c>
      <c r="W603">
        <f t="shared" si="37"/>
        <v>0</v>
      </c>
      <c r="X603">
        <f t="shared" si="38"/>
        <v>0</v>
      </c>
      <c r="Y603" t="str">
        <f t="shared" si="39"/>
        <v>Non-Senior</v>
      </c>
    </row>
    <row r="604" spans="1:25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36"/>
        <v>61-72 Months</v>
      </c>
      <c r="W604">
        <f t="shared" si="37"/>
        <v>0</v>
      </c>
      <c r="X604">
        <f t="shared" si="38"/>
        <v>0</v>
      </c>
      <c r="Y604" t="str">
        <f t="shared" si="39"/>
        <v>Non-Senior</v>
      </c>
    </row>
    <row r="605" spans="1:25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36"/>
        <v>37-48 Months</v>
      </c>
      <c r="W605">
        <f t="shared" si="37"/>
        <v>0</v>
      </c>
      <c r="X605">
        <f t="shared" si="38"/>
        <v>0</v>
      </c>
      <c r="Y605" t="str">
        <f t="shared" si="39"/>
        <v>Non-Senior</v>
      </c>
    </row>
    <row r="606" spans="1:25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36"/>
        <v>25-36 Months</v>
      </c>
      <c r="W606">
        <f t="shared" si="37"/>
        <v>0</v>
      </c>
      <c r="X606">
        <f t="shared" si="38"/>
        <v>0</v>
      </c>
      <c r="Y606" t="str">
        <f t="shared" si="39"/>
        <v>Non-Senior</v>
      </c>
    </row>
    <row r="607" spans="1:25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36"/>
        <v>61-72 Months</v>
      </c>
      <c r="W607">
        <f t="shared" si="37"/>
        <v>0</v>
      </c>
      <c r="X607">
        <f t="shared" si="38"/>
        <v>0</v>
      </c>
      <c r="Y607" t="str">
        <f t="shared" si="39"/>
        <v>Non-Senior</v>
      </c>
    </row>
    <row r="608" spans="1:25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36"/>
        <v>37-48 Months</v>
      </c>
      <c r="W608">
        <f t="shared" si="37"/>
        <v>0</v>
      </c>
      <c r="X608">
        <f t="shared" si="38"/>
        <v>0</v>
      </c>
      <c r="Y608" t="str">
        <f t="shared" si="39"/>
        <v>Non-Senior</v>
      </c>
    </row>
    <row r="609" spans="1:25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36"/>
        <v>49-60 Months</v>
      </c>
      <c r="W609">
        <f t="shared" si="37"/>
        <v>0</v>
      </c>
      <c r="X609">
        <f t="shared" si="38"/>
        <v>0</v>
      </c>
      <c r="Y609" t="str">
        <f t="shared" si="39"/>
        <v>Non-Senior</v>
      </c>
    </row>
    <row r="610" spans="1:25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36"/>
        <v>61-72 Months</v>
      </c>
      <c r="W610">
        <f t="shared" si="37"/>
        <v>0</v>
      </c>
      <c r="X610">
        <f t="shared" si="38"/>
        <v>0</v>
      </c>
      <c r="Y610" t="str">
        <f t="shared" si="39"/>
        <v>Non-Senior</v>
      </c>
    </row>
    <row r="611" spans="1:25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36"/>
        <v>61-72 Months</v>
      </c>
      <c r="W611">
        <f t="shared" si="37"/>
        <v>1</v>
      </c>
      <c r="X611">
        <f t="shared" si="38"/>
        <v>105.25</v>
      </c>
      <c r="Y611" t="str">
        <f t="shared" si="39"/>
        <v>Senior Citizen</v>
      </c>
    </row>
    <row r="612" spans="1:25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36"/>
        <v>0-12 Months</v>
      </c>
      <c r="W612">
        <f t="shared" si="37"/>
        <v>1</v>
      </c>
      <c r="X612">
        <f t="shared" si="38"/>
        <v>29.95</v>
      </c>
      <c r="Y612" t="str">
        <f t="shared" si="39"/>
        <v>Non-Senior</v>
      </c>
    </row>
    <row r="613" spans="1:25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36"/>
        <v>0-12 Months</v>
      </c>
      <c r="W613">
        <f t="shared" si="37"/>
        <v>1</v>
      </c>
      <c r="X613">
        <f t="shared" si="38"/>
        <v>65</v>
      </c>
      <c r="Y613" t="str">
        <f t="shared" si="39"/>
        <v>Non-Senior</v>
      </c>
    </row>
    <row r="614" spans="1:25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7082</v>
      </c>
      <c r="J614" t="s">
        <v>7084</v>
      </c>
      <c r="K614" t="s">
        <v>46</v>
      </c>
      <c r="L614" t="s">
        <v>7084</v>
      </c>
      <c r="M614" t="s">
        <v>7084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36"/>
        <v>61-72 Months</v>
      </c>
      <c r="W614">
        <f t="shared" si="37"/>
        <v>0</v>
      </c>
      <c r="X614">
        <f t="shared" si="38"/>
        <v>0</v>
      </c>
      <c r="Y614" t="str">
        <f t="shared" si="39"/>
        <v>Non-Senior</v>
      </c>
    </row>
    <row r="615" spans="1:25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36"/>
        <v>37-48 Months</v>
      </c>
      <c r="W615">
        <f t="shared" si="37"/>
        <v>0</v>
      </c>
      <c r="X615">
        <f t="shared" si="38"/>
        <v>0</v>
      </c>
      <c r="Y615" t="str">
        <f t="shared" si="39"/>
        <v>Senior Citizen</v>
      </c>
    </row>
    <row r="616" spans="1:25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36"/>
        <v>49-60 Months</v>
      </c>
      <c r="W616">
        <f t="shared" si="37"/>
        <v>0</v>
      </c>
      <c r="X616">
        <f t="shared" si="38"/>
        <v>0</v>
      </c>
      <c r="Y616" t="str">
        <f t="shared" si="39"/>
        <v>Non-Senior</v>
      </c>
    </row>
    <row r="617" spans="1:25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36"/>
        <v>13-24 Months</v>
      </c>
      <c r="W617">
        <f t="shared" si="37"/>
        <v>0</v>
      </c>
      <c r="X617">
        <f t="shared" si="38"/>
        <v>0</v>
      </c>
      <c r="Y617" t="str">
        <f t="shared" si="39"/>
        <v>Non-Senior</v>
      </c>
    </row>
    <row r="618" spans="1:25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36"/>
        <v>0-12 Months</v>
      </c>
      <c r="W618">
        <f t="shared" si="37"/>
        <v>0</v>
      </c>
      <c r="X618">
        <f t="shared" si="38"/>
        <v>0</v>
      </c>
      <c r="Y618" t="str">
        <f t="shared" si="39"/>
        <v>Non-Senior</v>
      </c>
    </row>
    <row r="619" spans="1:25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36"/>
        <v>61-72 Months</v>
      </c>
      <c r="W619">
        <f t="shared" si="37"/>
        <v>0</v>
      </c>
      <c r="X619">
        <f t="shared" si="38"/>
        <v>0</v>
      </c>
      <c r="Y619" t="str">
        <f t="shared" si="39"/>
        <v>Senior Citizen</v>
      </c>
    </row>
    <row r="620" spans="1:25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36"/>
        <v>49-60 Months</v>
      </c>
      <c r="W620">
        <f t="shared" si="37"/>
        <v>0</v>
      </c>
      <c r="X620">
        <f t="shared" si="38"/>
        <v>0</v>
      </c>
      <c r="Y620" t="str">
        <f t="shared" si="39"/>
        <v>Non-Senior</v>
      </c>
    </row>
    <row r="621" spans="1:25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36"/>
        <v>0-12 Months</v>
      </c>
      <c r="W621">
        <f t="shared" si="37"/>
        <v>0</v>
      </c>
      <c r="X621">
        <f t="shared" si="38"/>
        <v>0</v>
      </c>
      <c r="Y621" t="str">
        <f t="shared" si="39"/>
        <v>Non-Senior</v>
      </c>
    </row>
    <row r="622" spans="1:25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36"/>
        <v>0-12 Months</v>
      </c>
      <c r="W622">
        <f t="shared" si="37"/>
        <v>0</v>
      </c>
      <c r="X622">
        <f t="shared" si="38"/>
        <v>0</v>
      </c>
      <c r="Y622" t="str">
        <f t="shared" si="39"/>
        <v>Senior Citizen</v>
      </c>
    </row>
    <row r="623" spans="1:25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36"/>
        <v>61-72 Months</v>
      </c>
      <c r="W623">
        <f t="shared" si="37"/>
        <v>0</v>
      </c>
      <c r="X623">
        <f t="shared" si="38"/>
        <v>0</v>
      </c>
      <c r="Y623" t="str">
        <f t="shared" si="39"/>
        <v>Non-Senior</v>
      </c>
    </row>
    <row r="624" spans="1:25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36"/>
        <v>37-48 Months</v>
      </c>
      <c r="W624">
        <f t="shared" si="37"/>
        <v>0</v>
      </c>
      <c r="X624">
        <f t="shared" si="38"/>
        <v>0</v>
      </c>
      <c r="Y624" t="str">
        <f t="shared" si="39"/>
        <v>Non-Senior</v>
      </c>
    </row>
    <row r="625" spans="1:25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7082</v>
      </c>
      <c r="J625" t="s">
        <v>7084</v>
      </c>
      <c r="K625" t="s">
        <v>46</v>
      </c>
      <c r="L625" t="s">
        <v>7084</v>
      </c>
      <c r="M625" t="s">
        <v>7084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36"/>
        <v>13-24 Months</v>
      </c>
      <c r="W625">
        <f t="shared" si="37"/>
        <v>0</v>
      </c>
      <c r="X625">
        <f t="shared" si="38"/>
        <v>0</v>
      </c>
      <c r="Y625" t="str">
        <f t="shared" si="39"/>
        <v>Non-Senior</v>
      </c>
    </row>
    <row r="626" spans="1:25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7082</v>
      </c>
      <c r="J626" t="s">
        <v>7084</v>
      </c>
      <c r="K626" t="s">
        <v>46</v>
      </c>
      <c r="L626" t="s">
        <v>7084</v>
      </c>
      <c r="M626" t="s">
        <v>7084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36"/>
        <v>0-12 Months</v>
      </c>
      <c r="W626">
        <f t="shared" si="37"/>
        <v>1</v>
      </c>
      <c r="X626">
        <f t="shared" si="38"/>
        <v>20</v>
      </c>
      <c r="Y626" t="str">
        <f t="shared" si="39"/>
        <v>Non-Senior</v>
      </c>
    </row>
    <row r="627" spans="1:25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36"/>
        <v>25-36 Months</v>
      </c>
      <c r="W627">
        <f t="shared" si="37"/>
        <v>0</v>
      </c>
      <c r="X627">
        <f t="shared" si="38"/>
        <v>0</v>
      </c>
      <c r="Y627" t="str">
        <f t="shared" si="39"/>
        <v>Non-Senior</v>
      </c>
    </row>
    <row r="628" spans="1:25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36"/>
        <v>13-24 Months</v>
      </c>
      <c r="W628">
        <f t="shared" si="37"/>
        <v>0</v>
      </c>
      <c r="X628">
        <f t="shared" si="38"/>
        <v>0</v>
      </c>
      <c r="Y628" t="str">
        <f t="shared" si="39"/>
        <v>Non-Senior</v>
      </c>
    </row>
    <row r="629" spans="1:25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36"/>
        <v>61-72 Months</v>
      </c>
      <c r="W629">
        <f t="shared" si="37"/>
        <v>0</v>
      </c>
      <c r="X629">
        <f t="shared" si="38"/>
        <v>0</v>
      </c>
      <c r="Y629" t="str">
        <f t="shared" si="39"/>
        <v>Senior Citizen</v>
      </c>
    </row>
    <row r="630" spans="1:25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36"/>
        <v>61-72 Months</v>
      </c>
      <c r="W630">
        <f t="shared" si="37"/>
        <v>0</v>
      </c>
      <c r="X630">
        <f t="shared" si="38"/>
        <v>0</v>
      </c>
      <c r="Y630" t="str">
        <f t="shared" si="39"/>
        <v>Senior Citizen</v>
      </c>
    </row>
    <row r="631" spans="1:25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36"/>
        <v>49-60 Months</v>
      </c>
      <c r="W631">
        <f t="shared" si="37"/>
        <v>1</v>
      </c>
      <c r="X631">
        <f t="shared" si="38"/>
        <v>90.05</v>
      </c>
      <c r="Y631" t="str">
        <f t="shared" si="39"/>
        <v>Senior Citizen</v>
      </c>
    </row>
    <row r="632" spans="1:25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36"/>
        <v>37-48 Months</v>
      </c>
      <c r="W632">
        <f t="shared" si="37"/>
        <v>1</v>
      </c>
      <c r="X632">
        <f t="shared" si="38"/>
        <v>110.75</v>
      </c>
      <c r="Y632" t="str">
        <f t="shared" si="39"/>
        <v>Senior Citizen</v>
      </c>
    </row>
    <row r="633" spans="1:25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36"/>
        <v>37-48 Months</v>
      </c>
      <c r="W633">
        <f t="shared" si="37"/>
        <v>0</v>
      </c>
      <c r="X633">
        <f t="shared" si="38"/>
        <v>0</v>
      </c>
      <c r="Y633" t="str">
        <f t="shared" si="39"/>
        <v>Non-Senior</v>
      </c>
    </row>
    <row r="634" spans="1:25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36"/>
        <v>61-72 Months</v>
      </c>
      <c r="W634">
        <f t="shared" si="37"/>
        <v>0</v>
      </c>
      <c r="X634">
        <f t="shared" si="38"/>
        <v>0</v>
      </c>
      <c r="Y634" t="str">
        <f t="shared" si="39"/>
        <v>Non-Senior</v>
      </c>
    </row>
    <row r="635" spans="1:25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7082</v>
      </c>
      <c r="J635" t="s">
        <v>7084</v>
      </c>
      <c r="K635" t="s">
        <v>46</v>
      </c>
      <c r="L635" t="s">
        <v>7084</v>
      </c>
      <c r="M635" t="s">
        <v>7084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36"/>
        <v>0-12 Months</v>
      </c>
      <c r="W635">
        <f t="shared" si="37"/>
        <v>0</v>
      </c>
      <c r="X635">
        <f t="shared" si="38"/>
        <v>0</v>
      </c>
      <c r="Y635" t="str">
        <f t="shared" si="39"/>
        <v>Non-Senior</v>
      </c>
    </row>
    <row r="636" spans="1:25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36"/>
        <v>37-48 Months</v>
      </c>
      <c r="W636">
        <f t="shared" si="37"/>
        <v>0</v>
      </c>
      <c r="X636">
        <f t="shared" si="38"/>
        <v>0</v>
      </c>
      <c r="Y636" t="str">
        <f t="shared" si="39"/>
        <v>Non-Senior</v>
      </c>
    </row>
    <row r="637" spans="1:25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36"/>
        <v>61-72 Months</v>
      </c>
      <c r="W637">
        <f t="shared" si="37"/>
        <v>1</v>
      </c>
      <c r="X637">
        <f t="shared" si="38"/>
        <v>105.5</v>
      </c>
      <c r="Y637" t="str">
        <f t="shared" si="39"/>
        <v>Non-Senior</v>
      </c>
    </row>
    <row r="638" spans="1:25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36"/>
        <v>25-36 Months</v>
      </c>
      <c r="W638">
        <f t="shared" si="37"/>
        <v>0</v>
      </c>
      <c r="X638">
        <f t="shared" si="38"/>
        <v>0</v>
      </c>
      <c r="Y638" t="str">
        <f t="shared" si="39"/>
        <v>Non-Senior</v>
      </c>
    </row>
    <row r="639" spans="1:25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36"/>
        <v>61-72 Months</v>
      </c>
      <c r="W639">
        <f t="shared" si="37"/>
        <v>0</v>
      </c>
      <c r="X639">
        <f t="shared" si="38"/>
        <v>0</v>
      </c>
      <c r="Y639" t="str">
        <f t="shared" si="39"/>
        <v>Non-Senior</v>
      </c>
    </row>
    <row r="640" spans="1:25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36"/>
        <v>49-60 Months</v>
      </c>
      <c r="W640">
        <f t="shared" si="37"/>
        <v>1</v>
      </c>
      <c r="X640">
        <f t="shared" si="38"/>
        <v>104.55</v>
      </c>
      <c r="Y640" t="str">
        <f t="shared" si="39"/>
        <v>Senior Citizen</v>
      </c>
    </row>
    <row r="641" spans="1:25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36"/>
        <v>0-12 Months</v>
      </c>
      <c r="W641">
        <f t="shared" si="37"/>
        <v>1</v>
      </c>
      <c r="X641">
        <f t="shared" si="38"/>
        <v>85.25</v>
      </c>
      <c r="Y641" t="str">
        <f t="shared" si="39"/>
        <v>Non-Senior</v>
      </c>
    </row>
    <row r="642" spans="1:25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7082</v>
      </c>
      <c r="J642" t="s">
        <v>7084</v>
      </c>
      <c r="K642" t="s">
        <v>46</v>
      </c>
      <c r="L642" t="s">
        <v>7084</v>
      </c>
      <c r="M642" t="s">
        <v>7084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si="36"/>
        <v>61-72 Months</v>
      </c>
      <c r="W642">
        <f t="shared" si="37"/>
        <v>0</v>
      </c>
      <c r="X642">
        <f t="shared" si="38"/>
        <v>0</v>
      </c>
      <c r="Y642" t="str">
        <f t="shared" si="39"/>
        <v>Non-Senior</v>
      </c>
    </row>
    <row r="643" spans="1:25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ref="V643:V706" si="40">IF(F643&lt;=12,"0-12 Months",IF(F643&lt;=24,"13-24 Months",IF(F643&lt;=36,"25-36 Months",IF(F643&lt;=48,"37-48 Months",IF(F643&lt;=60,"49-60 Months","61-72 Months")))))</f>
        <v>37-48 Months</v>
      </c>
      <c r="W643">
        <f t="shared" ref="W643:W706" si="41">IF(U643="Yes",1,0)</f>
        <v>1</v>
      </c>
      <c r="X643">
        <f t="shared" ref="X643:X706" si="42">IF(U643="Yes",S643,0)</f>
        <v>56.15</v>
      </c>
      <c r="Y643" t="str">
        <f t="shared" ref="Y643:Y706" si="43">IF(C643=1,"Senior Citizen","Non-Senior")</f>
        <v>Non-Senior</v>
      </c>
    </row>
    <row r="644" spans="1:25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40"/>
        <v>0-12 Months</v>
      </c>
      <c r="W644">
        <f t="shared" si="41"/>
        <v>1</v>
      </c>
      <c r="X644">
        <f t="shared" si="42"/>
        <v>89.55</v>
      </c>
      <c r="Y644" t="str">
        <f t="shared" si="43"/>
        <v>Non-Senior</v>
      </c>
    </row>
    <row r="645" spans="1:25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40"/>
        <v>49-60 Months</v>
      </c>
      <c r="W645">
        <f t="shared" si="41"/>
        <v>0</v>
      </c>
      <c r="X645">
        <f t="shared" si="42"/>
        <v>0</v>
      </c>
      <c r="Y645" t="str">
        <f t="shared" si="43"/>
        <v>Senior Citizen</v>
      </c>
    </row>
    <row r="646" spans="1:25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7082</v>
      </c>
      <c r="J646" t="s">
        <v>7084</v>
      </c>
      <c r="K646" t="s">
        <v>46</v>
      </c>
      <c r="L646" t="s">
        <v>7084</v>
      </c>
      <c r="M646" t="s">
        <v>7084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40"/>
        <v>13-24 Months</v>
      </c>
      <c r="W646">
        <f t="shared" si="41"/>
        <v>0</v>
      </c>
      <c r="X646">
        <f t="shared" si="42"/>
        <v>0</v>
      </c>
      <c r="Y646" t="str">
        <f t="shared" si="43"/>
        <v>Non-Senior</v>
      </c>
    </row>
    <row r="647" spans="1:25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40"/>
        <v>13-24 Months</v>
      </c>
      <c r="W647">
        <f t="shared" si="41"/>
        <v>1</v>
      </c>
      <c r="X647">
        <f t="shared" si="42"/>
        <v>94.55</v>
      </c>
      <c r="Y647" t="str">
        <f t="shared" si="43"/>
        <v>Senior Citizen</v>
      </c>
    </row>
    <row r="648" spans="1:25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40"/>
        <v>0-12 Months</v>
      </c>
      <c r="W648">
        <f t="shared" si="41"/>
        <v>1</v>
      </c>
      <c r="X648">
        <f t="shared" si="42"/>
        <v>45.7</v>
      </c>
      <c r="Y648" t="str">
        <f t="shared" si="43"/>
        <v>Non-Senior</v>
      </c>
    </row>
    <row r="649" spans="1:25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40"/>
        <v>49-60 Months</v>
      </c>
      <c r="W649">
        <f t="shared" si="41"/>
        <v>0</v>
      </c>
      <c r="X649">
        <f t="shared" si="42"/>
        <v>0</v>
      </c>
      <c r="Y649" t="str">
        <f t="shared" si="43"/>
        <v>Non-Senior</v>
      </c>
    </row>
    <row r="650" spans="1:25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40"/>
        <v>0-12 Months</v>
      </c>
      <c r="W650">
        <f t="shared" si="41"/>
        <v>1</v>
      </c>
      <c r="X650">
        <f t="shared" si="42"/>
        <v>89.5</v>
      </c>
      <c r="Y650" t="str">
        <f t="shared" si="43"/>
        <v>Senior Citizen</v>
      </c>
    </row>
    <row r="651" spans="1:25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40"/>
        <v>13-24 Months</v>
      </c>
      <c r="W651">
        <f t="shared" si="41"/>
        <v>0</v>
      </c>
      <c r="X651">
        <f t="shared" si="42"/>
        <v>0</v>
      </c>
      <c r="Y651" t="str">
        <f t="shared" si="43"/>
        <v>Senior Citizen</v>
      </c>
    </row>
    <row r="652" spans="1:25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40"/>
        <v>0-12 Months</v>
      </c>
      <c r="W652">
        <f t="shared" si="41"/>
        <v>1</v>
      </c>
      <c r="X652">
        <f t="shared" si="42"/>
        <v>69.55</v>
      </c>
      <c r="Y652" t="str">
        <f t="shared" si="43"/>
        <v>Non-Senior</v>
      </c>
    </row>
    <row r="653" spans="1:25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40"/>
        <v>0-12 Months</v>
      </c>
      <c r="W653">
        <f t="shared" si="41"/>
        <v>1</v>
      </c>
      <c r="X653">
        <f t="shared" si="42"/>
        <v>74.599999999999994</v>
      </c>
      <c r="Y653" t="str">
        <f t="shared" si="43"/>
        <v>Non-Senior</v>
      </c>
    </row>
    <row r="654" spans="1:25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7082</v>
      </c>
      <c r="J654" t="s">
        <v>7084</v>
      </c>
      <c r="K654" t="s">
        <v>46</v>
      </c>
      <c r="L654" t="s">
        <v>7084</v>
      </c>
      <c r="M654" t="s">
        <v>7084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40"/>
        <v>25-36 Months</v>
      </c>
      <c r="W654">
        <f t="shared" si="41"/>
        <v>0</v>
      </c>
      <c r="X654">
        <f t="shared" si="42"/>
        <v>0</v>
      </c>
      <c r="Y654" t="str">
        <f t="shared" si="43"/>
        <v>Non-Senior</v>
      </c>
    </row>
    <row r="655" spans="1:25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7082</v>
      </c>
      <c r="J655" t="s">
        <v>7084</v>
      </c>
      <c r="K655" t="s">
        <v>46</v>
      </c>
      <c r="L655" t="s">
        <v>7084</v>
      </c>
      <c r="M655" t="s">
        <v>7084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40"/>
        <v>13-24 Months</v>
      </c>
      <c r="W655">
        <f t="shared" si="41"/>
        <v>0</v>
      </c>
      <c r="X655">
        <f t="shared" si="42"/>
        <v>0</v>
      </c>
      <c r="Y655" t="str">
        <f t="shared" si="43"/>
        <v>Non-Senior</v>
      </c>
    </row>
    <row r="656" spans="1:25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7082</v>
      </c>
      <c r="J656" t="s">
        <v>7084</v>
      </c>
      <c r="K656" t="s">
        <v>46</v>
      </c>
      <c r="L656" t="s">
        <v>7084</v>
      </c>
      <c r="M656" t="s">
        <v>7084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40"/>
        <v>0-12 Months</v>
      </c>
      <c r="W656">
        <f t="shared" si="41"/>
        <v>1</v>
      </c>
      <c r="X656">
        <f t="shared" si="42"/>
        <v>19.649999999999999</v>
      </c>
      <c r="Y656" t="str">
        <f t="shared" si="43"/>
        <v>Senior Citizen</v>
      </c>
    </row>
    <row r="657" spans="1:25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40"/>
        <v>0-12 Months</v>
      </c>
      <c r="W657">
        <f t="shared" si="41"/>
        <v>0</v>
      </c>
      <c r="X657">
        <f t="shared" si="42"/>
        <v>0</v>
      </c>
      <c r="Y657" t="str">
        <f t="shared" si="43"/>
        <v>Non-Senior</v>
      </c>
    </row>
    <row r="658" spans="1:25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40"/>
        <v>61-72 Months</v>
      </c>
      <c r="W658">
        <f t="shared" si="41"/>
        <v>0</v>
      </c>
      <c r="X658">
        <f t="shared" si="42"/>
        <v>0</v>
      </c>
      <c r="Y658" t="str">
        <f t="shared" si="43"/>
        <v>Non-Senior</v>
      </c>
    </row>
    <row r="659" spans="1:25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40"/>
        <v>37-48 Months</v>
      </c>
      <c r="W659">
        <f t="shared" si="41"/>
        <v>0</v>
      </c>
      <c r="X659">
        <f t="shared" si="42"/>
        <v>0</v>
      </c>
      <c r="Y659" t="str">
        <f t="shared" si="43"/>
        <v>Non-Senior</v>
      </c>
    </row>
    <row r="660" spans="1:25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7082</v>
      </c>
      <c r="J660" t="s">
        <v>7084</v>
      </c>
      <c r="K660" t="s">
        <v>46</v>
      </c>
      <c r="L660" t="s">
        <v>7084</v>
      </c>
      <c r="M660" t="s">
        <v>7084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40"/>
        <v>0-12 Months</v>
      </c>
      <c r="W660">
        <f t="shared" si="41"/>
        <v>1</v>
      </c>
      <c r="X660">
        <f t="shared" si="42"/>
        <v>19.850000000000001</v>
      </c>
      <c r="Y660" t="str">
        <f t="shared" si="43"/>
        <v>Non-Senior</v>
      </c>
    </row>
    <row r="661" spans="1:25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7082</v>
      </c>
      <c r="J661" t="s">
        <v>7084</v>
      </c>
      <c r="K661" t="s">
        <v>46</v>
      </c>
      <c r="L661" t="s">
        <v>7084</v>
      </c>
      <c r="M661" t="s">
        <v>7084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40"/>
        <v>37-48 Months</v>
      </c>
      <c r="W661">
        <f t="shared" si="41"/>
        <v>0</v>
      </c>
      <c r="X661">
        <f t="shared" si="42"/>
        <v>0</v>
      </c>
      <c r="Y661" t="str">
        <f t="shared" si="43"/>
        <v>Non-Senior</v>
      </c>
    </row>
    <row r="662" spans="1:25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40"/>
        <v>0-12 Months</v>
      </c>
      <c r="W662">
        <f t="shared" si="41"/>
        <v>1</v>
      </c>
      <c r="X662">
        <f t="shared" si="42"/>
        <v>24.25</v>
      </c>
      <c r="Y662" t="str">
        <f t="shared" si="43"/>
        <v>Non-Senior</v>
      </c>
    </row>
    <row r="663" spans="1:25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40"/>
        <v>0-12 Months</v>
      </c>
      <c r="W663">
        <f t="shared" si="41"/>
        <v>0</v>
      </c>
      <c r="X663">
        <f t="shared" si="42"/>
        <v>0</v>
      </c>
      <c r="Y663" t="str">
        <f t="shared" si="43"/>
        <v>Non-Senior</v>
      </c>
    </row>
    <row r="664" spans="1:25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7082</v>
      </c>
      <c r="J664" t="s">
        <v>7084</v>
      </c>
      <c r="K664" t="s">
        <v>46</v>
      </c>
      <c r="L664" t="s">
        <v>7084</v>
      </c>
      <c r="M664" t="s">
        <v>7084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40"/>
        <v>0-12 Months</v>
      </c>
      <c r="W664">
        <f t="shared" si="41"/>
        <v>0</v>
      </c>
      <c r="X664">
        <f t="shared" si="42"/>
        <v>0</v>
      </c>
      <c r="Y664" t="str">
        <f t="shared" si="43"/>
        <v>Non-Senior</v>
      </c>
    </row>
    <row r="665" spans="1:25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40"/>
        <v>61-72 Months</v>
      </c>
      <c r="W665">
        <f t="shared" si="41"/>
        <v>0</v>
      </c>
      <c r="X665">
        <f t="shared" si="42"/>
        <v>0</v>
      </c>
      <c r="Y665" t="str">
        <f t="shared" si="43"/>
        <v>Non-Senior</v>
      </c>
    </row>
    <row r="666" spans="1:25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7082</v>
      </c>
      <c r="J666" t="s">
        <v>7084</v>
      </c>
      <c r="K666" t="s">
        <v>46</v>
      </c>
      <c r="L666" t="s">
        <v>7084</v>
      </c>
      <c r="M666" t="s">
        <v>7084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40"/>
        <v>49-60 Months</v>
      </c>
      <c r="W666">
        <f t="shared" si="41"/>
        <v>0</v>
      </c>
      <c r="X666">
        <f t="shared" si="42"/>
        <v>0</v>
      </c>
      <c r="Y666" t="str">
        <f t="shared" si="43"/>
        <v>Non-Senior</v>
      </c>
    </row>
    <row r="667" spans="1:25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40"/>
        <v>0-12 Months</v>
      </c>
      <c r="W667">
        <f t="shared" si="41"/>
        <v>0</v>
      </c>
      <c r="X667">
        <f t="shared" si="42"/>
        <v>0</v>
      </c>
      <c r="Y667" t="str">
        <f t="shared" si="43"/>
        <v>Non-Senior</v>
      </c>
    </row>
    <row r="668" spans="1:25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40"/>
        <v>0-12 Months</v>
      </c>
      <c r="W668">
        <f t="shared" si="41"/>
        <v>1</v>
      </c>
      <c r="X668">
        <f t="shared" si="42"/>
        <v>69.650000000000006</v>
      </c>
      <c r="Y668" t="str">
        <f t="shared" si="43"/>
        <v>Non-Senior</v>
      </c>
    </row>
    <row r="669" spans="1:25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40"/>
        <v>49-60 Months</v>
      </c>
      <c r="W669">
        <f t="shared" si="41"/>
        <v>0</v>
      </c>
      <c r="X669">
        <f t="shared" si="42"/>
        <v>0</v>
      </c>
      <c r="Y669" t="str">
        <f t="shared" si="43"/>
        <v>Non-Senior</v>
      </c>
    </row>
    <row r="670" spans="1:25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40"/>
        <v>0-12 Months</v>
      </c>
      <c r="W670">
        <f t="shared" si="41"/>
        <v>1</v>
      </c>
      <c r="X670">
        <f t="shared" si="42"/>
        <v>45.65</v>
      </c>
      <c r="Y670" t="str">
        <f t="shared" si="43"/>
        <v>Non-Senior</v>
      </c>
    </row>
    <row r="671" spans="1:25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40"/>
        <v>61-72 Months</v>
      </c>
      <c r="W671">
        <f t="shared" si="41"/>
        <v>0</v>
      </c>
      <c r="X671">
        <f t="shared" si="42"/>
        <v>0</v>
      </c>
      <c r="Y671" t="str">
        <f t="shared" si="43"/>
        <v>Non-Senior</v>
      </c>
    </row>
    <row r="672" spans="1:25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7082</v>
      </c>
      <c r="J672" t="s">
        <v>7084</v>
      </c>
      <c r="K672" t="s">
        <v>46</v>
      </c>
      <c r="L672" t="s">
        <v>7084</v>
      </c>
      <c r="M672" t="s">
        <v>7084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40"/>
        <v>49-60 Months</v>
      </c>
      <c r="W672">
        <f t="shared" si="41"/>
        <v>0</v>
      </c>
      <c r="X672">
        <f t="shared" si="42"/>
        <v>0</v>
      </c>
      <c r="Y672" t="str">
        <f t="shared" si="43"/>
        <v>Non-Senior</v>
      </c>
    </row>
    <row r="673" spans="1:25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7082</v>
      </c>
      <c r="J673" t="s">
        <v>7084</v>
      </c>
      <c r="K673" t="s">
        <v>46</v>
      </c>
      <c r="L673" t="s">
        <v>7084</v>
      </c>
      <c r="M673" t="s">
        <v>7084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40"/>
        <v>49-60 Months</v>
      </c>
      <c r="W673">
        <f t="shared" si="41"/>
        <v>0</v>
      </c>
      <c r="X673">
        <f t="shared" si="42"/>
        <v>0</v>
      </c>
      <c r="Y673" t="str">
        <f t="shared" si="43"/>
        <v>Non-Senior</v>
      </c>
    </row>
    <row r="674" spans="1:25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40"/>
        <v>0-12 Months</v>
      </c>
      <c r="W674">
        <f t="shared" si="41"/>
        <v>1</v>
      </c>
      <c r="X674">
        <f t="shared" si="42"/>
        <v>75.05</v>
      </c>
      <c r="Y674" t="str">
        <f t="shared" si="43"/>
        <v>Non-Senior</v>
      </c>
    </row>
    <row r="675" spans="1:25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7082</v>
      </c>
      <c r="J675" t="s">
        <v>7084</v>
      </c>
      <c r="K675" t="s">
        <v>46</v>
      </c>
      <c r="L675" t="s">
        <v>7084</v>
      </c>
      <c r="M675" t="s">
        <v>7084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40"/>
        <v>13-24 Months</v>
      </c>
      <c r="W675">
        <f t="shared" si="41"/>
        <v>0</v>
      </c>
      <c r="X675">
        <f t="shared" si="42"/>
        <v>0</v>
      </c>
      <c r="Y675" t="str">
        <f t="shared" si="43"/>
        <v>Non-Senior</v>
      </c>
    </row>
    <row r="676" spans="1:25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40"/>
        <v>49-60 Months</v>
      </c>
      <c r="W676">
        <f t="shared" si="41"/>
        <v>1</v>
      </c>
      <c r="X676">
        <f t="shared" si="42"/>
        <v>49.15</v>
      </c>
      <c r="Y676" t="str">
        <f t="shared" si="43"/>
        <v>Senior Citizen</v>
      </c>
    </row>
    <row r="677" spans="1:25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40"/>
        <v>61-72 Months</v>
      </c>
      <c r="W677">
        <f t="shared" si="41"/>
        <v>0</v>
      </c>
      <c r="X677">
        <f t="shared" si="42"/>
        <v>0</v>
      </c>
      <c r="Y677" t="str">
        <f t="shared" si="43"/>
        <v>Senior Citizen</v>
      </c>
    </row>
    <row r="678" spans="1:25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7082</v>
      </c>
      <c r="J678" t="s">
        <v>7084</v>
      </c>
      <c r="K678" t="s">
        <v>46</v>
      </c>
      <c r="L678" t="s">
        <v>7084</v>
      </c>
      <c r="M678" t="s">
        <v>7084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40"/>
        <v>37-48 Months</v>
      </c>
      <c r="W678">
        <f t="shared" si="41"/>
        <v>0</v>
      </c>
      <c r="X678">
        <f t="shared" si="42"/>
        <v>0</v>
      </c>
      <c r="Y678" t="str">
        <f t="shared" si="43"/>
        <v>Non-Senior</v>
      </c>
    </row>
    <row r="679" spans="1:25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40"/>
        <v>0-12 Months</v>
      </c>
      <c r="W679">
        <f t="shared" si="41"/>
        <v>1</v>
      </c>
      <c r="X679">
        <f t="shared" si="42"/>
        <v>34.700000000000003</v>
      </c>
      <c r="Y679" t="str">
        <f t="shared" si="43"/>
        <v>Non-Senior</v>
      </c>
    </row>
    <row r="680" spans="1:25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40"/>
        <v>0-12 Months</v>
      </c>
      <c r="W680">
        <f t="shared" si="41"/>
        <v>0</v>
      </c>
      <c r="X680">
        <f t="shared" si="42"/>
        <v>0</v>
      </c>
      <c r="Y680" t="str">
        <f t="shared" si="43"/>
        <v>Non-Senior</v>
      </c>
    </row>
    <row r="681" spans="1:25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40"/>
        <v>37-48 Months</v>
      </c>
      <c r="W681">
        <f t="shared" si="41"/>
        <v>0</v>
      </c>
      <c r="X681">
        <f t="shared" si="42"/>
        <v>0</v>
      </c>
      <c r="Y681" t="str">
        <f t="shared" si="43"/>
        <v>Non-Senior</v>
      </c>
    </row>
    <row r="682" spans="1:25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40"/>
        <v>0-12 Months</v>
      </c>
      <c r="W682">
        <f t="shared" si="41"/>
        <v>1</v>
      </c>
      <c r="X682">
        <f t="shared" si="42"/>
        <v>80</v>
      </c>
      <c r="Y682" t="str">
        <f t="shared" si="43"/>
        <v>Non-Senior</v>
      </c>
    </row>
    <row r="683" spans="1:25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40"/>
        <v>61-72 Months</v>
      </c>
      <c r="W683">
        <f t="shared" si="41"/>
        <v>0</v>
      </c>
      <c r="X683">
        <f t="shared" si="42"/>
        <v>0</v>
      </c>
      <c r="Y683" t="str">
        <f t="shared" si="43"/>
        <v>Non-Senior</v>
      </c>
    </row>
    <row r="684" spans="1:25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40"/>
        <v>0-12 Months</v>
      </c>
      <c r="W684">
        <f t="shared" si="41"/>
        <v>0</v>
      </c>
      <c r="X684">
        <f t="shared" si="42"/>
        <v>0</v>
      </c>
      <c r="Y684" t="str">
        <f t="shared" si="43"/>
        <v>Non-Senior</v>
      </c>
    </row>
    <row r="685" spans="1:25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40"/>
        <v>37-48 Months</v>
      </c>
      <c r="W685">
        <f t="shared" si="41"/>
        <v>0</v>
      </c>
      <c r="X685">
        <f t="shared" si="42"/>
        <v>0</v>
      </c>
      <c r="Y685" t="str">
        <f t="shared" si="43"/>
        <v>Senior Citizen</v>
      </c>
    </row>
    <row r="686" spans="1:25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40"/>
        <v>0-12 Months</v>
      </c>
      <c r="W686">
        <f t="shared" si="41"/>
        <v>0</v>
      </c>
      <c r="X686">
        <f t="shared" si="42"/>
        <v>0</v>
      </c>
      <c r="Y686" t="str">
        <f t="shared" si="43"/>
        <v>Non-Senior</v>
      </c>
    </row>
    <row r="687" spans="1:25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40"/>
        <v>0-12 Months</v>
      </c>
      <c r="W687">
        <f t="shared" si="41"/>
        <v>0</v>
      </c>
      <c r="X687">
        <f t="shared" si="42"/>
        <v>0</v>
      </c>
      <c r="Y687" t="str">
        <f t="shared" si="43"/>
        <v>Non-Senior</v>
      </c>
    </row>
    <row r="688" spans="1:25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7082</v>
      </c>
      <c r="J688" t="s">
        <v>7084</v>
      </c>
      <c r="K688" t="s">
        <v>46</v>
      </c>
      <c r="L688" t="s">
        <v>7084</v>
      </c>
      <c r="M688" t="s">
        <v>7084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40"/>
        <v>49-60 Months</v>
      </c>
      <c r="W688">
        <f t="shared" si="41"/>
        <v>0</v>
      </c>
      <c r="X688">
        <f t="shared" si="42"/>
        <v>0</v>
      </c>
      <c r="Y688" t="str">
        <f t="shared" si="43"/>
        <v>Non-Senior</v>
      </c>
    </row>
    <row r="689" spans="1:25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40"/>
        <v>0-12 Months</v>
      </c>
      <c r="W689">
        <f t="shared" si="41"/>
        <v>1</v>
      </c>
      <c r="X689">
        <f t="shared" si="42"/>
        <v>49.25</v>
      </c>
      <c r="Y689" t="str">
        <f t="shared" si="43"/>
        <v>Senior Citizen</v>
      </c>
    </row>
    <row r="690" spans="1:25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40"/>
        <v>49-60 Months</v>
      </c>
      <c r="W690">
        <f t="shared" si="41"/>
        <v>0</v>
      </c>
      <c r="X690">
        <f t="shared" si="42"/>
        <v>0</v>
      </c>
      <c r="Y690" t="str">
        <f t="shared" si="43"/>
        <v>Non-Senior</v>
      </c>
    </row>
    <row r="691" spans="1:25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40"/>
        <v>49-60 Months</v>
      </c>
      <c r="W691">
        <f t="shared" si="41"/>
        <v>0</v>
      </c>
      <c r="X691">
        <f t="shared" si="42"/>
        <v>0</v>
      </c>
      <c r="Y691" t="str">
        <f t="shared" si="43"/>
        <v>Non-Senior</v>
      </c>
    </row>
    <row r="692" spans="1:25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7082</v>
      </c>
      <c r="J692" t="s">
        <v>7084</v>
      </c>
      <c r="K692" t="s">
        <v>46</v>
      </c>
      <c r="L692" t="s">
        <v>7084</v>
      </c>
      <c r="M692" t="s">
        <v>7084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40"/>
        <v>0-12 Months</v>
      </c>
      <c r="W692">
        <f t="shared" si="41"/>
        <v>0</v>
      </c>
      <c r="X692">
        <f t="shared" si="42"/>
        <v>0</v>
      </c>
      <c r="Y692" t="str">
        <f t="shared" si="43"/>
        <v>Non-Senior</v>
      </c>
    </row>
    <row r="693" spans="1:25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40"/>
        <v>25-36 Months</v>
      </c>
      <c r="W693">
        <f t="shared" si="41"/>
        <v>0</v>
      </c>
      <c r="X693">
        <f t="shared" si="42"/>
        <v>0</v>
      </c>
      <c r="Y693" t="str">
        <f t="shared" si="43"/>
        <v>Non-Senior</v>
      </c>
    </row>
    <row r="694" spans="1:25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7082</v>
      </c>
      <c r="J694" t="s">
        <v>7084</v>
      </c>
      <c r="K694" t="s">
        <v>46</v>
      </c>
      <c r="L694" t="s">
        <v>7084</v>
      </c>
      <c r="M694" t="s">
        <v>7084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40"/>
        <v>37-48 Months</v>
      </c>
      <c r="W694">
        <f t="shared" si="41"/>
        <v>0</v>
      </c>
      <c r="X694">
        <f t="shared" si="42"/>
        <v>0</v>
      </c>
      <c r="Y694" t="str">
        <f t="shared" si="43"/>
        <v>Non-Senior</v>
      </c>
    </row>
    <row r="695" spans="1:25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40"/>
        <v>0-12 Months</v>
      </c>
      <c r="W695">
        <f t="shared" si="41"/>
        <v>1</v>
      </c>
      <c r="X695">
        <f t="shared" si="42"/>
        <v>75.099999999999994</v>
      </c>
      <c r="Y695" t="str">
        <f t="shared" si="43"/>
        <v>Non-Senior</v>
      </c>
    </row>
    <row r="696" spans="1:25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7082</v>
      </c>
      <c r="J696" t="s">
        <v>7084</v>
      </c>
      <c r="K696" t="s">
        <v>46</v>
      </c>
      <c r="L696" t="s">
        <v>7084</v>
      </c>
      <c r="M696" t="s">
        <v>7084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40"/>
        <v>13-24 Months</v>
      </c>
      <c r="W696">
        <f t="shared" si="41"/>
        <v>0</v>
      </c>
      <c r="X696">
        <f t="shared" si="42"/>
        <v>0</v>
      </c>
      <c r="Y696" t="str">
        <f t="shared" si="43"/>
        <v>Senior Citizen</v>
      </c>
    </row>
    <row r="697" spans="1:25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7082</v>
      </c>
      <c r="J697" t="s">
        <v>7084</v>
      </c>
      <c r="K697" t="s">
        <v>46</v>
      </c>
      <c r="L697" t="s">
        <v>7084</v>
      </c>
      <c r="M697" t="s">
        <v>7084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40"/>
        <v>0-12 Months</v>
      </c>
      <c r="W697">
        <f t="shared" si="41"/>
        <v>0</v>
      </c>
      <c r="X697">
        <f t="shared" si="42"/>
        <v>0</v>
      </c>
      <c r="Y697" t="str">
        <f t="shared" si="43"/>
        <v>Non-Senior</v>
      </c>
    </row>
    <row r="698" spans="1:25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40"/>
        <v>61-72 Months</v>
      </c>
      <c r="W698">
        <f t="shared" si="41"/>
        <v>0</v>
      </c>
      <c r="X698">
        <f t="shared" si="42"/>
        <v>0</v>
      </c>
      <c r="Y698" t="str">
        <f t="shared" si="43"/>
        <v>Non-Senior</v>
      </c>
    </row>
    <row r="699" spans="1:25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40"/>
        <v>0-12 Months</v>
      </c>
      <c r="W699">
        <f t="shared" si="41"/>
        <v>1</v>
      </c>
      <c r="X699">
        <f t="shared" si="42"/>
        <v>50.15</v>
      </c>
      <c r="Y699" t="str">
        <f t="shared" si="43"/>
        <v>Non-Senior</v>
      </c>
    </row>
    <row r="700" spans="1:25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40"/>
        <v>37-48 Months</v>
      </c>
      <c r="W700">
        <f t="shared" si="41"/>
        <v>0</v>
      </c>
      <c r="X700">
        <f t="shared" si="42"/>
        <v>0</v>
      </c>
      <c r="Y700" t="str">
        <f t="shared" si="43"/>
        <v>Senior Citizen</v>
      </c>
    </row>
    <row r="701" spans="1:25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40"/>
        <v>61-72 Months</v>
      </c>
      <c r="W701">
        <f t="shared" si="41"/>
        <v>0</v>
      </c>
      <c r="X701">
        <f t="shared" si="42"/>
        <v>0</v>
      </c>
      <c r="Y701" t="str">
        <f t="shared" si="43"/>
        <v>Non-Senior</v>
      </c>
    </row>
    <row r="702" spans="1:25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40"/>
        <v>61-72 Months</v>
      </c>
      <c r="W702">
        <f t="shared" si="41"/>
        <v>0</v>
      </c>
      <c r="X702">
        <f t="shared" si="42"/>
        <v>0</v>
      </c>
      <c r="Y702" t="str">
        <f t="shared" si="43"/>
        <v>Non-Senior</v>
      </c>
    </row>
    <row r="703" spans="1:25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40"/>
        <v>25-36 Months</v>
      </c>
      <c r="W703">
        <f t="shared" si="41"/>
        <v>0</v>
      </c>
      <c r="X703">
        <f t="shared" si="42"/>
        <v>0</v>
      </c>
      <c r="Y703" t="str">
        <f t="shared" si="43"/>
        <v>Non-Senior</v>
      </c>
    </row>
    <row r="704" spans="1:25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40"/>
        <v>25-36 Months</v>
      </c>
      <c r="W704">
        <f t="shared" si="41"/>
        <v>0</v>
      </c>
      <c r="X704">
        <f t="shared" si="42"/>
        <v>0</v>
      </c>
      <c r="Y704" t="str">
        <f t="shared" si="43"/>
        <v>Non-Senior</v>
      </c>
    </row>
    <row r="705" spans="1:25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7082</v>
      </c>
      <c r="J705" t="s">
        <v>7084</v>
      </c>
      <c r="K705" t="s">
        <v>46</v>
      </c>
      <c r="L705" t="s">
        <v>7084</v>
      </c>
      <c r="M705" t="s">
        <v>7084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40"/>
        <v>0-12 Months</v>
      </c>
      <c r="W705">
        <f t="shared" si="41"/>
        <v>0</v>
      </c>
      <c r="X705">
        <f t="shared" si="42"/>
        <v>0</v>
      </c>
      <c r="Y705" t="str">
        <f t="shared" si="43"/>
        <v>Non-Senior</v>
      </c>
    </row>
    <row r="706" spans="1:25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si="40"/>
        <v>0-12 Months</v>
      </c>
      <c r="W706">
        <f t="shared" si="41"/>
        <v>0</v>
      </c>
      <c r="X706">
        <f t="shared" si="42"/>
        <v>0</v>
      </c>
      <c r="Y706" t="str">
        <f t="shared" si="43"/>
        <v>Non-Senior</v>
      </c>
    </row>
    <row r="707" spans="1:25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ref="V707:V770" si="44">IF(F707&lt;=12,"0-12 Months",IF(F707&lt;=24,"13-24 Months",IF(F707&lt;=36,"25-36 Months",IF(F707&lt;=48,"37-48 Months",IF(F707&lt;=60,"49-60 Months","61-72 Months")))))</f>
        <v>25-36 Months</v>
      </c>
      <c r="W707">
        <f t="shared" ref="W707:W770" si="45">IF(U707="Yes",1,0)</f>
        <v>1</v>
      </c>
      <c r="X707">
        <f t="shared" ref="X707:X770" si="46">IF(U707="Yes",S707,0)</f>
        <v>79.849999999999994</v>
      </c>
      <c r="Y707" t="str">
        <f t="shared" ref="Y707:Y770" si="47">IF(C707=1,"Senior Citizen","Non-Senior")</f>
        <v>Non-Senior</v>
      </c>
    </row>
    <row r="708" spans="1:25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44"/>
        <v>61-72 Months</v>
      </c>
      <c r="W708">
        <f t="shared" si="45"/>
        <v>0</v>
      </c>
      <c r="X708">
        <f t="shared" si="46"/>
        <v>0</v>
      </c>
      <c r="Y708" t="str">
        <f t="shared" si="47"/>
        <v>Non-Senior</v>
      </c>
    </row>
    <row r="709" spans="1:25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44"/>
        <v>25-36 Months</v>
      </c>
      <c r="W709">
        <f t="shared" si="45"/>
        <v>0</v>
      </c>
      <c r="X709">
        <f t="shared" si="46"/>
        <v>0</v>
      </c>
      <c r="Y709" t="str">
        <f t="shared" si="47"/>
        <v>Senior Citizen</v>
      </c>
    </row>
    <row r="710" spans="1:25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44"/>
        <v>25-36 Months</v>
      </c>
      <c r="W710">
        <f t="shared" si="45"/>
        <v>0</v>
      </c>
      <c r="X710">
        <f t="shared" si="46"/>
        <v>0</v>
      </c>
      <c r="Y710" t="str">
        <f t="shared" si="47"/>
        <v>Non-Senior</v>
      </c>
    </row>
    <row r="711" spans="1:25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44"/>
        <v>25-36 Months</v>
      </c>
      <c r="W711">
        <f t="shared" si="45"/>
        <v>0</v>
      </c>
      <c r="X711">
        <f t="shared" si="46"/>
        <v>0</v>
      </c>
      <c r="Y711" t="str">
        <f t="shared" si="47"/>
        <v>Non-Senior</v>
      </c>
    </row>
    <row r="712" spans="1:25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7082</v>
      </c>
      <c r="J712" t="s">
        <v>7084</v>
      </c>
      <c r="K712" t="s">
        <v>46</v>
      </c>
      <c r="L712" t="s">
        <v>7084</v>
      </c>
      <c r="M712" t="s">
        <v>7084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44"/>
        <v>0-12 Months</v>
      </c>
      <c r="W712">
        <f t="shared" si="45"/>
        <v>1</v>
      </c>
      <c r="X712">
        <f t="shared" si="46"/>
        <v>19.55</v>
      </c>
      <c r="Y712" t="str">
        <f t="shared" si="47"/>
        <v>Non-Senior</v>
      </c>
    </row>
    <row r="713" spans="1:25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44"/>
        <v>13-24 Months</v>
      </c>
      <c r="W713">
        <f t="shared" si="45"/>
        <v>0</v>
      </c>
      <c r="X713">
        <f t="shared" si="46"/>
        <v>0</v>
      </c>
      <c r="Y713" t="str">
        <f t="shared" si="47"/>
        <v>Non-Senior</v>
      </c>
    </row>
    <row r="714" spans="1:25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7082</v>
      </c>
      <c r="J714" t="s">
        <v>7084</v>
      </c>
      <c r="K714" t="s">
        <v>46</v>
      </c>
      <c r="L714" t="s">
        <v>7084</v>
      </c>
      <c r="M714" t="s">
        <v>7084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44"/>
        <v>49-60 Months</v>
      </c>
      <c r="W714">
        <f t="shared" si="45"/>
        <v>0</v>
      </c>
      <c r="X714">
        <f t="shared" si="46"/>
        <v>0</v>
      </c>
      <c r="Y714" t="str">
        <f t="shared" si="47"/>
        <v>Non-Senior</v>
      </c>
    </row>
    <row r="715" spans="1:25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44"/>
        <v>13-24 Months</v>
      </c>
      <c r="W715">
        <f t="shared" si="45"/>
        <v>0</v>
      </c>
      <c r="X715">
        <f t="shared" si="46"/>
        <v>0</v>
      </c>
      <c r="Y715" t="str">
        <f t="shared" si="47"/>
        <v>Non-Senior</v>
      </c>
    </row>
    <row r="716" spans="1:25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7082</v>
      </c>
      <c r="J716" t="s">
        <v>7084</v>
      </c>
      <c r="K716" t="s">
        <v>46</v>
      </c>
      <c r="L716" t="s">
        <v>7084</v>
      </c>
      <c r="M716" t="s">
        <v>7084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44"/>
        <v>61-72 Months</v>
      </c>
      <c r="W716">
        <f t="shared" si="45"/>
        <v>0</v>
      </c>
      <c r="X716">
        <f t="shared" si="46"/>
        <v>0</v>
      </c>
      <c r="Y716" t="str">
        <f t="shared" si="47"/>
        <v>Non-Senior</v>
      </c>
    </row>
    <row r="717" spans="1:25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44"/>
        <v>37-48 Months</v>
      </c>
      <c r="W717">
        <f t="shared" si="45"/>
        <v>0</v>
      </c>
      <c r="X717">
        <f t="shared" si="46"/>
        <v>0</v>
      </c>
      <c r="Y717" t="str">
        <f t="shared" si="47"/>
        <v>Non-Senior</v>
      </c>
    </row>
    <row r="718" spans="1:25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44"/>
        <v>61-72 Months</v>
      </c>
      <c r="W718">
        <f t="shared" si="45"/>
        <v>0</v>
      </c>
      <c r="X718">
        <f t="shared" si="46"/>
        <v>0</v>
      </c>
      <c r="Y718" t="str">
        <f t="shared" si="47"/>
        <v>Non-Senior</v>
      </c>
    </row>
    <row r="719" spans="1:25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44"/>
        <v>25-36 Months</v>
      </c>
      <c r="W719">
        <f t="shared" si="45"/>
        <v>0</v>
      </c>
      <c r="X719">
        <f t="shared" si="46"/>
        <v>0</v>
      </c>
      <c r="Y719" t="str">
        <f t="shared" si="47"/>
        <v>Non-Senior</v>
      </c>
    </row>
    <row r="720" spans="1:25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44"/>
        <v>25-36 Months</v>
      </c>
      <c r="W720">
        <f t="shared" si="45"/>
        <v>0</v>
      </c>
      <c r="X720">
        <f t="shared" si="46"/>
        <v>0</v>
      </c>
      <c r="Y720" t="str">
        <f t="shared" si="47"/>
        <v>Non-Senior</v>
      </c>
    </row>
    <row r="721" spans="1:25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44"/>
        <v>61-72 Months</v>
      </c>
      <c r="W721">
        <f t="shared" si="45"/>
        <v>0</v>
      </c>
      <c r="X721">
        <f t="shared" si="46"/>
        <v>0</v>
      </c>
      <c r="Y721" t="str">
        <f t="shared" si="47"/>
        <v>Senior Citizen</v>
      </c>
    </row>
    <row r="722" spans="1:25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7082</v>
      </c>
      <c r="J722" t="s">
        <v>7084</v>
      </c>
      <c r="K722" t="s">
        <v>46</v>
      </c>
      <c r="L722" t="s">
        <v>7084</v>
      </c>
      <c r="M722" t="s">
        <v>7084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44"/>
        <v>0-12 Months</v>
      </c>
      <c r="W722">
        <f t="shared" si="45"/>
        <v>0</v>
      </c>
      <c r="X722">
        <f t="shared" si="46"/>
        <v>0</v>
      </c>
      <c r="Y722" t="str">
        <f t="shared" si="47"/>
        <v>Non-Senior</v>
      </c>
    </row>
    <row r="723" spans="1:25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7082</v>
      </c>
      <c r="J723" t="s">
        <v>7084</v>
      </c>
      <c r="K723" t="s">
        <v>46</v>
      </c>
      <c r="L723" t="s">
        <v>7084</v>
      </c>
      <c r="M723" t="s">
        <v>7084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44"/>
        <v>61-72 Months</v>
      </c>
      <c r="W723">
        <f t="shared" si="45"/>
        <v>0</v>
      </c>
      <c r="X723">
        <f t="shared" si="46"/>
        <v>0</v>
      </c>
      <c r="Y723" t="str">
        <f t="shared" si="47"/>
        <v>Non-Senior</v>
      </c>
    </row>
    <row r="724" spans="1:25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44"/>
        <v>0-12 Months</v>
      </c>
      <c r="W724">
        <f t="shared" si="45"/>
        <v>1</v>
      </c>
      <c r="X724">
        <f t="shared" si="46"/>
        <v>85.95</v>
      </c>
      <c r="Y724" t="str">
        <f t="shared" si="47"/>
        <v>Non-Senior</v>
      </c>
    </row>
    <row r="725" spans="1:25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44"/>
        <v>0-12 Months</v>
      </c>
      <c r="W725">
        <f t="shared" si="45"/>
        <v>1</v>
      </c>
      <c r="X725">
        <f t="shared" si="46"/>
        <v>45.35</v>
      </c>
      <c r="Y725" t="str">
        <f t="shared" si="47"/>
        <v>Non-Senior</v>
      </c>
    </row>
    <row r="726" spans="1:25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44"/>
        <v>25-36 Months</v>
      </c>
      <c r="W726">
        <f t="shared" si="45"/>
        <v>1</v>
      </c>
      <c r="X726">
        <f t="shared" si="46"/>
        <v>94.5</v>
      </c>
      <c r="Y726" t="str">
        <f t="shared" si="47"/>
        <v>Senior Citizen</v>
      </c>
    </row>
    <row r="727" spans="1:25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7082</v>
      </c>
      <c r="J727" t="s">
        <v>7084</v>
      </c>
      <c r="K727" t="s">
        <v>46</v>
      </c>
      <c r="L727" t="s">
        <v>7084</v>
      </c>
      <c r="M727" t="s">
        <v>7084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44"/>
        <v>0-12 Months</v>
      </c>
      <c r="W727">
        <f t="shared" si="45"/>
        <v>0</v>
      </c>
      <c r="X727">
        <f t="shared" si="46"/>
        <v>0</v>
      </c>
      <c r="Y727" t="str">
        <f t="shared" si="47"/>
        <v>Senior Citizen</v>
      </c>
    </row>
    <row r="728" spans="1:25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7082</v>
      </c>
      <c r="J728" t="s">
        <v>7084</v>
      </c>
      <c r="K728" t="s">
        <v>46</v>
      </c>
      <c r="L728" t="s">
        <v>7084</v>
      </c>
      <c r="M728" t="s">
        <v>7084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44"/>
        <v>13-24 Months</v>
      </c>
      <c r="W728">
        <f t="shared" si="45"/>
        <v>0</v>
      </c>
      <c r="X728">
        <f t="shared" si="46"/>
        <v>0</v>
      </c>
      <c r="Y728" t="str">
        <f t="shared" si="47"/>
        <v>Non-Senior</v>
      </c>
    </row>
    <row r="729" spans="1:25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44"/>
        <v>0-12 Months</v>
      </c>
      <c r="W729">
        <f t="shared" si="45"/>
        <v>0</v>
      </c>
      <c r="X729">
        <f t="shared" si="46"/>
        <v>0</v>
      </c>
      <c r="Y729" t="str">
        <f t="shared" si="47"/>
        <v>Non-Senior</v>
      </c>
    </row>
    <row r="730" spans="1:25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44"/>
        <v>25-36 Months</v>
      </c>
      <c r="W730">
        <f t="shared" si="45"/>
        <v>1</v>
      </c>
      <c r="X730">
        <f t="shared" si="46"/>
        <v>91.7</v>
      </c>
      <c r="Y730" t="str">
        <f t="shared" si="47"/>
        <v>Senior Citizen</v>
      </c>
    </row>
    <row r="731" spans="1:25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44"/>
        <v>61-72 Months</v>
      </c>
      <c r="W731">
        <f t="shared" si="45"/>
        <v>0</v>
      </c>
      <c r="X731">
        <f t="shared" si="46"/>
        <v>0</v>
      </c>
      <c r="Y731" t="str">
        <f t="shared" si="47"/>
        <v>Non-Senior</v>
      </c>
    </row>
    <row r="732" spans="1:25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44"/>
        <v>37-48 Months</v>
      </c>
      <c r="W732">
        <f t="shared" si="45"/>
        <v>1</v>
      </c>
      <c r="X732">
        <f t="shared" si="46"/>
        <v>87.25</v>
      </c>
      <c r="Y732" t="str">
        <f t="shared" si="47"/>
        <v>Non-Senior</v>
      </c>
    </row>
    <row r="733" spans="1:25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7082</v>
      </c>
      <c r="J733" t="s">
        <v>7084</v>
      </c>
      <c r="K733" t="s">
        <v>46</v>
      </c>
      <c r="L733" t="s">
        <v>7084</v>
      </c>
      <c r="M733" t="s">
        <v>7084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44"/>
        <v>0-12 Months</v>
      </c>
      <c r="W733">
        <f t="shared" si="45"/>
        <v>0</v>
      </c>
      <c r="X733">
        <f t="shared" si="46"/>
        <v>0</v>
      </c>
      <c r="Y733" t="str">
        <f t="shared" si="47"/>
        <v>Non-Senior</v>
      </c>
    </row>
    <row r="734" spans="1:25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44"/>
        <v>25-36 Months</v>
      </c>
      <c r="W734">
        <f t="shared" si="45"/>
        <v>0</v>
      </c>
      <c r="X734">
        <f t="shared" si="46"/>
        <v>0</v>
      </c>
      <c r="Y734" t="str">
        <f t="shared" si="47"/>
        <v>Non-Senior</v>
      </c>
    </row>
    <row r="735" spans="1:25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44"/>
        <v>61-72 Months</v>
      </c>
      <c r="W735">
        <f t="shared" si="45"/>
        <v>0</v>
      </c>
      <c r="X735">
        <f t="shared" si="46"/>
        <v>0</v>
      </c>
      <c r="Y735" t="str">
        <f t="shared" si="47"/>
        <v>Non-Senior</v>
      </c>
    </row>
    <row r="736" spans="1:25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44"/>
        <v>25-36 Months</v>
      </c>
      <c r="W736">
        <f t="shared" si="45"/>
        <v>0</v>
      </c>
      <c r="X736">
        <f t="shared" si="46"/>
        <v>0</v>
      </c>
      <c r="Y736" t="str">
        <f t="shared" si="47"/>
        <v>Non-Senior</v>
      </c>
    </row>
    <row r="737" spans="1:25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44"/>
        <v>25-36 Months</v>
      </c>
      <c r="W737">
        <f t="shared" si="45"/>
        <v>0</v>
      </c>
      <c r="X737">
        <f t="shared" si="46"/>
        <v>0</v>
      </c>
      <c r="Y737" t="str">
        <f t="shared" si="47"/>
        <v>Non-Senior</v>
      </c>
    </row>
    <row r="738" spans="1:25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44"/>
        <v>25-36 Months</v>
      </c>
      <c r="W738">
        <f t="shared" si="45"/>
        <v>0</v>
      </c>
      <c r="X738">
        <f t="shared" si="46"/>
        <v>0</v>
      </c>
      <c r="Y738" t="str">
        <f t="shared" si="47"/>
        <v>Non-Senior</v>
      </c>
    </row>
    <row r="739" spans="1:25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44"/>
        <v>61-72 Months</v>
      </c>
      <c r="W739">
        <f t="shared" si="45"/>
        <v>0</v>
      </c>
      <c r="X739">
        <f t="shared" si="46"/>
        <v>0</v>
      </c>
      <c r="Y739" t="str">
        <f t="shared" si="47"/>
        <v>Non-Senior</v>
      </c>
    </row>
    <row r="740" spans="1:25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44"/>
        <v>37-48 Months</v>
      </c>
      <c r="W740">
        <f t="shared" si="45"/>
        <v>0</v>
      </c>
      <c r="X740">
        <f t="shared" si="46"/>
        <v>0</v>
      </c>
      <c r="Y740" t="str">
        <f t="shared" si="47"/>
        <v>Senior Citizen</v>
      </c>
    </row>
    <row r="741" spans="1:25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44"/>
        <v>61-72 Months</v>
      </c>
      <c r="W741">
        <f t="shared" si="45"/>
        <v>0</v>
      </c>
      <c r="X741">
        <f t="shared" si="46"/>
        <v>0</v>
      </c>
      <c r="Y741" t="str">
        <f t="shared" si="47"/>
        <v>Senior Citizen</v>
      </c>
    </row>
    <row r="742" spans="1:25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44"/>
        <v>37-48 Months</v>
      </c>
      <c r="W742">
        <f t="shared" si="45"/>
        <v>0</v>
      </c>
      <c r="X742">
        <f t="shared" si="46"/>
        <v>0</v>
      </c>
      <c r="Y742" t="str">
        <f t="shared" si="47"/>
        <v>Non-Senior</v>
      </c>
    </row>
    <row r="743" spans="1:25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44"/>
        <v>0-12 Months</v>
      </c>
      <c r="W743">
        <f t="shared" si="45"/>
        <v>0</v>
      </c>
      <c r="X743">
        <f t="shared" si="46"/>
        <v>0</v>
      </c>
      <c r="Y743" t="str">
        <f t="shared" si="47"/>
        <v>Non-Senior</v>
      </c>
    </row>
    <row r="744" spans="1:25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44"/>
        <v>0-12 Months</v>
      </c>
      <c r="W744">
        <f t="shared" si="45"/>
        <v>1</v>
      </c>
      <c r="X744">
        <f t="shared" si="46"/>
        <v>98.55</v>
      </c>
      <c r="Y744" t="str">
        <f t="shared" si="47"/>
        <v>Non-Senior</v>
      </c>
    </row>
    <row r="745" spans="1:25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7082</v>
      </c>
      <c r="J745" t="s">
        <v>7084</v>
      </c>
      <c r="K745" t="s">
        <v>46</v>
      </c>
      <c r="L745" t="s">
        <v>7084</v>
      </c>
      <c r="M745" t="s">
        <v>7084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44"/>
        <v>61-72 Months</v>
      </c>
      <c r="W745">
        <f t="shared" si="45"/>
        <v>0</v>
      </c>
      <c r="X745">
        <f t="shared" si="46"/>
        <v>0</v>
      </c>
      <c r="Y745" t="str">
        <f t="shared" si="47"/>
        <v>Non-Senior</v>
      </c>
    </row>
    <row r="746" spans="1:25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44"/>
        <v>0-12 Months</v>
      </c>
      <c r="W746">
        <f t="shared" si="45"/>
        <v>0</v>
      </c>
      <c r="X746">
        <f t="shared" si="46"/>
        <v>0</v>
      </c>
      <c r="Y746" t="str">
        <f t="shared" si="47"/>
        <v>Non-Senior</v>
      </c>
    </row>
    <row r="747" spans="1:25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44"/>
        <v>61-72 Months</v>
      </c>
      <c r="W747">
        <f t="shared" si="45"/>
        <v>0</v>
      </c>
      <c r="X747">
        <f t="shared" si="46"/>
        <v>0</v>
      </c>
      <c r="Y747" t="str">
        <f t="shared" si="47"/>
        <v>Senior Citizen</v>
      </c>
    </row>
    <row r="748" spans="1:25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44"/>
        <v>61-72 Months</v>
      </c>
      <c r="W748">
        <f t="shared" si="45"/>
        <v>0</v>
      </c>
      <c r="X748">
        <f t="shared" si="46"/>
        <v>0</v>
      </c>
      <c r="Y748" t="str">
        <f t="shared" si="47"/>
        <v>Senior Citizen</v>
      </c>
    </row>
    <row r="749" spans="1:25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44"/>
        <v>0-12 Months</v>
      </c>
      <c r="W749">
        <f t="shared" si="45"/>
        <v>0</v>
      </c>
      <c r="X749">
        <f t="shared" si="46"/>
        <v>0</v>
      </c>
      <c r="Y749" t="str">
        <f t="shared" si="47"/>
        <v>Senior Citizen</v>
      </c>
    </row>
    <row r="750" spans="1:25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7082</v>
      </c>
      <c r="J750" t="s">
        <v>7084</v>
      </c>
      <c r="K750" t="s">
        <v>46</v>
      </c>
      <c r="L750" t="s">
        <v>7084</v>
      </c>
      <c r="M750" t="s">
        <v>7084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44"/>
        <v>37-48 Months</v>
      </c>
      <c r="W750">
        <f t="shared" si="45"/>
        <v>0</v>
      </c>
      <c r="X750">
        <f t="shared" si="46"/>
        <v>0</v>
      </c>
      <c r="Y750" t="str">
        <f t="shared" si="47"/>
        <v>Non-Senior</v>
      </c>
    </row>
    <row r="751" spans="1:25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44"/>
        <v>61-72 Months</v>
      </c>
      <c r="W751">
        <f t="shared" si="45"/>
        <v>0</v>
      </c>
      <c r="X751">
        <f t="shared" si="46"/>
        <v>0</v>
      </c>
      <c r="Y751" t="str">
        <f t="shared" si="47"/>
        <v>Non-Senior</v>
      </c>
    </row>
    <row r="752" spans="1:25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44"/>
        <v>25-36 Months</v>
      </c>
      <c r="W752">
        <f t="shared" si="45"/>
        <v>0</v>
      </c>
      <c r="X752">
        <f t="shared" si="46"/>
        <v>0</v>
      </c>
      <c r="Y752" t="str">
        <f t="shared" si="47"/>
        <v>Non-Senior</v>
      </c>
    </row>
    <row r="753" spans="1:25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44"/>
        <v>61-72 Months</v>
      </c>
      <c r="W753">
        <f t="shared" si="45"/>
        <v>0</v>
      </c>
      <c r="X753">
        <f t="shared" si="46"/>
        <v>0</v>
      </c>
      <c r="Y753" t="str">
        <f t="shared" si="47"/>
        <v>Non-Senior</v>
      </c>
    </row>
    <row r="754" spans="1:25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44"/>
        <v>0-12 Months</v>
      </c>
      <c r="W754">
        <f t="shared" si="45"/>
        <v>0</v>
      </c>
      <c r="X754">
        <f t="shared" si="46"/>
        <v>0</v>
      </c>
      <c r="Y754" t="str">
        <f t="shared" si="47"/>
        <v>Non-Senior</v>
      </c>
    </row>
    <row r="755" spans="1:25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7082</v>
      </c>
      <c r="J755" t="s">
        <v>7084</v>
      </c>
      <c r="K755" t="s">
        <v>46</v>
      </c>
      <c r="L755" t="s">
        <v>7084</v>
      </c>
      <c r="M755" t="s">
        <v>7084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 t="str">
        <f t="shared" si="44"/>
        <v>0-12 Months</v>
      </c>
      <c r="W755">
        <f t="shared" si="45"/>
        <v>0</v>
      </c>
      <c r="X755">
        <f t="shared" si="46"/>
        <v>0</v>
      </c>
      <c r="Y755" t="str">
        <f t="shared" si="47"/>
        <v>Non-Senior</v>
      </c>
    </row>
    <row r="756" spans="1:25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44"/>
        <v>0-12 Months</v>
      </c>
      <c r="W756">
        <f t="shared" si="45"/>
        <v>0</v>
      </c>
      <c r="X756">
        <f t="shared" si="46"/>
        <v>0</v>
      </c>
      <c r="Y756" t="str">
        <f t="shared" si="47"/>
        <v>Non-Senior</v>
      </c>
    </row>
    <row r="757" spans="1:25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44"/>
        <v>13-24 Months</v>
      </c>
      <c r="W757">
        <f t="shared" si="45"/>
        <v>1</v>
      </c>
      <c r="X757">
        <f t="shared" si="46"/>
        <v>98.55</v>
      </c>
      <c r="Y757" t="str">
        <f t="shared" si="47"/>
        <v>Senior Citizen</v>
      </c>
    </row>
    <row r="758" spans="1:25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7082</v>
      </c>
      <c r="J758" t="s">
        <v>7084</v>
      </c>
      <c r="K758" t="s">
        <v>46</v>
      </c>
      <c r="L758" t="s">
        <v>7084</v>
      </c>
      <c r="M758" t="s">
        <v>7084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44"/>
        <v>61-72 Months</v>
      </c>
      <c r="W758">
        <f t="shared" si="45"/>
        <v>0</v>
      </c>
      <c r="X758">
        <f t="shared" si="46"/>
        <v>0</v>
      </c>
      <c r="Y758" t="str">
        <f t="shared" si="47"/>
        <v>Non-Senior</v>
      </c>
    </row>
    <row r="759" spans="1:25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7082</v>
      </c>
      <c r="J759" t="s">
        <v>7084</v>
      </c>
      <c r="K759" t="s">
        <v>46</v>
      </c>
      <c r="L759" t="s">
        <v>7084</v>
      </c>
      <c r="M759" t="s">
        <v>7084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44"/>
        <v>0-12 Months</v>
      </c>
      <c r="W759">
        <f t="shared" si="45"/>
        <v>0</v>
      </c>
      <c r="X759">
        <f t="shared" si="46"/>
        <v>0</v>
      </c>
      <c r="Y759" t="str">
        <f t="shared" si="47"/>
        <v>Non-Senior</v>
      </c>
    </row>
    <row r="760" spans="1:25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44"/>
        <v>13-24 Months</v>
      </c>
      <c r="W760">
        <f t="shared" si="45"/>
        <v>1</v>
      </c>
      <c r="X760">
        <f t="shared" si="46"/>
        <v>85.9</v>
      </c>
      <c r="Y760" t="str">
        <f t="shared" si="47"/>
        <v>Non-Senior</v>
      </c>
    </row>
    <row r="761" spans="1:25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44"/>
        <v>61-72 Months</v>
      </c>
      <c r="W761">
        <f t="shared" si="45"/>
        <v>0</v>
      </c>
      <c r="X761">
        <f t="shared" si="46"/>
        <v>0</v>
      </c>
      <c r="Y761" t="str">
        <f t="shared" si="47"/>
        <v>Non-Senior</v>
      </c>
    </row>
    <row r="762" spans="1:25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7082</v>
      </c>
      <c r="J762" t="s">
        <v>7084</v>
      </c>
      <c r="K762" t="s">
        <v>46</v>
      </c>
      <c r="L762" t="s">
        <v>7084</v>
      </c>
      <c r="M762" t="s">
        <v>7084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44"/>
        <v>0-12 Months</v>
      </c>
      <c r="W762">
        <f t="shared" si="45"/>
        <v>0</v>
      </c>
      <c r="X762">
        <f t="shared" si="46"/>
        <v>0</v>
      </c>
      <c r="Y762" t="str">
        <f t="shared" si="47"/>
        <v>Non-Senior</v>
      </c>
    </row>
    <row r="763" spans="1:25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44"/>
        <v>13-24 Months</v>
      </c>
      <c r="W763">
        <f t="shared" si="45"/>
        <v>1</v>
      </c>
      <c r="X763">
        <f t="shared" si="46"/>
        <v>89.25</v>
      </c>
      <c r="Y763" t="str">
        <f t="shared" si="47"/>
        <v>Non-Senior</v>
      </c>
    </row>
    <row r="764" spans="1:25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44"/>
        <v>0-12 Months</v>
      </c>
      <c r="W764">
        <f t="shared" si="45"/>
        <v>1</v>
      </c>
      <c r="X764">
        <f t="shared" si="46"/>
        <v>70.3</v>
      </c>
      <c r="Y764" t="str">
        <f t="shared" si="47"/>
        <v>Non-Senior</v>
      </c>
    </row>
    <row r="765" spans="1:25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44"/>
        <v>61-72 Months</v>
      </c>
      <c r="W765">
        <f t="shared" si="45"/>
        <v>0</v>
      </c>
      <c r="X765">
        <f t="shared" si="46"/>
        <v>0</v>
      </c>
      <c r="Y765" t="str">
        <f t="shared" si="47"/>
        <v>Non-Senior</v>
      </c>
    </row>
    <row r="766" spans="1:25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7082</v>
      </c>
      <c r="J766" t="s">
        <v>7084</v>
      </c>
      <c r="K766" t="s">
        <v>46</v>
      </c>
      <c r="L766" t="s">
        <v>7084</v>
      </c>
      <c r="M766" t="s">
        <v>7084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44"/>
        <v>61-72 Months</v>
      </c>
      <c r="W766">
        <f t="shared" si="45"/>
        <v>0</v>
      </c>
      <c r="X766">
        <f t="shared" si="46"/>
        <v>0</v>
      </c>
      <c r="Y766" t="str">
        <f t="shared" si="47"/>
        <v>Non-Senior</v>
      </c>
    </row>
    <row r="767" spans="1:25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44"/>
        <v>0-12 Months</v>
      </c>
      <c r="W767">
        <f t="shared" si="45"/>
        <v>0</v>
      </c>
      <c r="X767">
        <f t="shared" si="46"/>
        <v>0</v>
      </c>
      <c r="Y767" t="str">
        <f t="shared" si="47"/>
        <v>Non-Senior</v>
      </c>
    </row>
    <row r="768" spans="1:25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44"/>
        <v>13-24 Months</v>
      </c>
      <c r="W768">
        <f t="shared" si="45"/>
        <v>0</v>
      </c>
      <c r="X768">
        <f t="shared" si="46"/>
        <v>0</v>
      </c>
      <c r="Y768" t="str">
        <f t="shared" si="47"/>
        <v>Non-Senior</v>
      </c>
    </row>
    <row r="769" spans="1:25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7082</v>
      </c>
      <c r="J769" t="s">
        <v>7084</v>
      </c>
      <c r="K769" t="s">
        <v>46</v>
      </c>
      <c r="L769" t="s">
        <v>7084</v>
      </c>
      <c r="M769" t="s">
        <v>7084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44"/>
        <v>13-24 Months</v>
      </c>
      <c r="W769">
        <f t="shared" si="45"/>
        <v>0</v>
      </c>
      <c r="X769">
        <f t="shared" si="46"/>
        <v>0</v>
      </c>
      <c r="Y769" t="str">
        <f t="shared" si="47"/>
        <v>Non-Senior</v>
      </c>
    </row>
    <row r="770" spans="1:25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si="44"/>
        <v>37-48 Months</v>
      </c>
      <c r="W770">
        <f t="shared" si="45"/>
        <v>0</v>
      </c>
      <c r="X770">
        <f t="shared" si="46"/>
        <v>0</v>
      </c>
      <c r="Y770" t="str">
        <f t="shared" si="47"/>
        <v>Non-Senior</v>
      </c>
    </row>
    <row r="771" spans="1:25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ref="V771:V834" si="48">IF(F771&lt;=12,"0-12 Months",IF(F771&lt;=24,"13-24 Months",IF(F771&lt;=36,"25-36 Months",IF(F771&lt;=48,"37-48 Months",IF(F771&lt;=60,"49-60 Months","61-72 Months")))))</f>
        <v>13-24 Months</v>
      </c>
      <c r="W771">
        <f t="shared" ref="W771:W834" si="49">IF(U771="Yes",1,0)</f>
        <v>0</v>
      </c>
      <c r="X771">
        <f t="shared" ref="X771:X834" si="50">IF(U771="Yes",S771,0)</f>
        <v>0</v>
      </c>
      <c r="Y771" t="str">
        <f t="shared" ref="Y771:Y834" si="51">IF(C771=1,"Senior Citizen","Non-Senior")</f>
        <v>Non-Senior</v>
      </c>
    </row>
    <row r="772" spans="1:25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7082</v>
      </c>
      <c r="J772" t="s">
        <v>7084</v>
      </c>
      <c r="K772" t="s">
        <v>46</v>
      </c>
      <c r="L772" t="s">
        <v>7084</v>
      </c>
      <c r="M772" t="s">
        <v>7084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48"/>
        <v>0-12 Months</v>
      </c>
      <c r="W772">
        <f t="shared" si="49"/>
        <v>0</v>
      </c>
      <c r="X772">
        <f t="shared" si="50"/>
        <v>0</v>
      </c>
      <c r="Y772" t="str">
        <f t="shared" si="51"/>
        <v>Non-Senior</v>
      </c>
    </row>
    <row r="773" spans="1:25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48"/>
        <v>13-24 Months</v>
      </c>
      <c r="W773">
        <f t="shared" si="49"/>
        <v>1</v>
      </c>
      <c r="X773">
        <f t="shared" si="50"/>
        <v>93.35</v>
      </c>
      <c r="Y773" t="str">
        <f t="shared" si="51"/>
        <v>Non-Senior</v>
      </c>
    </row>
    <row r="774" spans="1:25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7082</v>
      </c>
      <c r="J774" t="s">
        <v>7084</v>
      </c>
      <c r="K774" t="s">
        <v>46</v>
      </c>
      <c r="L774" t="s">
        <v>7084</v>
      </c>
      <c r="M774" t="s">
        <v>7084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48"/>
        <v>0-12 Months</v>
      </c>
      <c r="W774">
        <f t="shared" si="49"/>
        <v>1</v>
      </c>
      <c r="X774">
        <f t="shared" si="50"/>
        <v>19.899999999999999</v>
      </c>
      <c r="Y774" t="str">
        <f t="shared" si="51"/>
        <v>Non-Senior</v>
      </c>
    </row>
    <row r="775" spans="1:25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48"/>
        <v>0-12 Months</v>
      </c>
      <c r="W775">
        <f t="shared" si="49"/>
        <v>1</v>
      </c>
      <c r="X775">
        <f t="shared" si="50"/>
        <v>88.9</v>
      </c>
      <c r="Y775" t="str">
        <f t="shared" si="51"/>
        <v>Non-Senior</v>
      </c>
    </row>
    <row r="776" spans="1:25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48"/>
        <v>25-36 Months</v>
      </c>
      <c r="W776">
        <f t="shared" si="49"/>
        <v>1</v>
      </c>
      <c r="X776">
        <f t="shared" si="50"/>
        <v>95.8</v>
      </c>
      <c r="Y776" t="str">
        <f t="shared" si="51"/>
        <v>Non-Senior</v>
      </c>
    </row>
    <row r="777" spans="1:25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48"/>
        <v>61-72 Months</v>
      </c>
      <c r="W777">
        <f t="shared" si="49"/>
        <v>0</v>
      </c>
      <c r="X777">
        <f t="shared" si="50"/>
        <v>0</v>
      </c>
      <c r="Y777" t="str">
        <f t="shared" si="51"/>
        <v>Non-Senior</v>
      </c>
    </row>
    <row r="778" spans="1:25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48"/>
        <v>0-12 Months</v>
      </c>
      <c r="W778">
        <f t="shared" si="49"/>
        <v>0</v>
      </c>
      <c r="X778">
        <f t="shared" si="50"/>
        <v>0</v>
      </c>
      <c r="Y778" t="str">
        <f t="shared" si="51"/>
        <v>Non-Senior</v>
      </c>
    </row>
    <row r="779" spans="1:25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48"/>
        <v>0-12 Months</v>
      </c>
      <c r="W779">
        <f t="shared" si="49"/>
        <v>1</v>
      </c>
      <c r="X779">
        <f t="shared" si="50"/>
        <v>82</v>
      </c>
      <c r="Y779" t="str">
        <f t="shared" si="51"/>
        <v>Non-Senior</v>
      </c>
    </row>
    <row r="780" spans="1:25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48"/>
        <v>49-60 Months</v>
      </c>
      <c r="W780">
        <f t="shared" si="49"/>
        <v>0</v>
      </c>
      <c r="X780">
        <f t="shared" si="50"/>
        <v>0</v>
      </c>
      <c r="Y780" t="str">
        <f t="shared" si="51"/>
        <v>Non-Senior</v>
      </c>
    </row>
    <row r="781" spans="1:25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48"/>
        <v>0-12 Months</v>
      </c>
      <c r="W781">
        <f t="shared" si="49"/>
        <v>1</v>
      </c>
      <c r="X781">
        <f t="shared" si="50"/>
        <v>45.35</v>
      </c>
      <c r="Y781" t="str">
        <f t="shared" si="51"/>
        <v>Non-Senior</v>
      </c>
    </row>
    <row r="782" spans="1:25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48"/>
        <v>61-72 Months</v>
      </c>
      <c r="W782">
        <f t="shared" si="49"/>
        <v>0</v>
      </c>
      <c r="X782">
        <f t="shared" si="50"/>
        <v>0</v>
      </c>
      <c r="Y782" t="str">
        <f t="shared" si="51"/>
        <v>Non-Senior</v>
      </c>
    </row>
    <row r="783" spans="1:25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48"/>
        <v>0-12 Months</v>
      </c>
      <c r="W783">
        <f t="shared" si="49"/>
        <v>0</v>
      </c>
      <c r="X783">
        <f t="shared" si="50"/>
        <v>0</v>
      </c>
      <c r="Y783" t="str">
        <f t="shared" si="51"/>
        <v>Non-Senior</v>
      </c>
    </row>
    <row r="784" spans="1:25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48"/>
        <v>25-36 Months</v>
      </c>
      <c r="W784">
        <f t="shared" si="49"/>
        <v>0</v>
      </c>
      <c r="X784">
        <f t="shared" si="50"/>
        <v>0</v>
      </c>
      <c r="Y784" t="str">
        <f t="shared" si="51"/>
        <v>Non-Senior</v>
      </c>
    </row>
    <row r="785" spans="1:25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48"/>
        <v>0-12 Months</v>
      </c>
      <c r="W785">
        <f t="shared" si="49"/>
        <v>1</v>
      </c>
      <c r="X785">
        <f t="shared" si="50"/>
        <v>52.2</v>
      </c>
      <c r="Y785" t="str">
        <f t="shared" si="51"/>
        <v>Non-Senior</v>
      </c>
    </row>
    <row r="786" spans="1:25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48"/>
        <v>61-72 Months</v>
      </c>
      <c r="W786">
        <f t="shared" si="49"/>
        <v>0</v>
      </c>
      <c r="X786">
        <f t="shared" si="50"/>
        <v>0</v>
      </c>
      <c r="Y786" t="str">
        <f t="shared" si="51"/>
        <v>Non-Senior</v>
      </c>
    </row>
    <row r="787" spans="1:25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48"/>
        <v>37-48 Months</v>
      </c>
      <c r="W787">
        <f t="shared" si="49"/>
        <v>1</v>
      </c>
      <c r="X787">
        <f t="shared" si="50"/>
        <v>110</v>
      </c>
      <c r="Y787" t="str">
        <f t="shared" si="51"/>
        <v>Senior Citizen</v>
      </c>
    </row>
    <row r="788" spans="1:25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48"/>
        <v>61-72 Months</v>
      </c>
      <c r="W788">
        <f t="shared" si="49"/>
        <v>0</v>
      </c>
      <c r="X788">
        <f t="shared" si="50"/>
        <v>0</v>
      </c>
      <c r="Y788" t="str">
        <f t="shared" si="51"/>
        <v>Non-Senior</v>
      </c>
    </row>
    <row r="789" spans="1:25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48"/>
        <v>25-36 Months</v>
      </c>
      <c r="W789">
        <f t="shared" si="49"/>
        <v>0</v>
      </c>
      <c r="X789">
        <f t="shared" si="50"/>
        <v>0</v>
      </c>
      <c r="Y789" t="str">
        <f t="shared" si="51"/>
        <v>Non-Senior</v>
      </c>
    </row>
    <row r="790" spans="1:25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48"/>
        <v>13-24 Months</v>
      </c>
      <c r="W790">
        <f t="shared" si="49"/>
        <v>0</v>
      </c>
      <c r="X790">
        <f t="shared" si="50"/>
        <v>0</v>
      </c>
      <c r="Y790" t="str">
        <f t="shared" si="51"/>
        <v>Non-Senior</v>
      </c>
    </row>
    <row r="791" spans="1:25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48"/>
        <v>61-72 Months</v>
      </c>
      <c r="W791">
        <f t="shared" si="49"/>
        <v>0</v>
      </c>
      <c r="X791">
        <f t="shared" si="50"/>
        <v>0</v>
      </c>
      <c r="Y791" t="str">
        <f t="shared" si="51"/>
        <v>Non-Senior</v>
      </c>
    </row>
    <row r="792" spans="1:25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48"/>
        <v>49-60 Months</v>
      </c>
      <c r="W792">
        <f t="shared" si="49"/>
        <v>0</v>
      </c>
      <c r="X792">
        <f t="shared" si="50"/>
        <v>0</v>
      </c>
      <c r="Y792" t="str">
        <f t="shared" si="51"/>
        <v>Non-Senior</v>
      </c>
    </row>
    <row r="793" spans="1:25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48"/>
        <v>61-72 Months</v>
      </c>
      <c r="W793">
        <f t="shared" si="49"/>
        <v>0</v>
      </c>
      <c r="X793">
        <f t="shared" si="50"/>
        <v>0</v>
      </c>
      <c r="Y793" t="str">
        <f t="shared" si="51"/>
        <v>Non-Senior</v>
      </c>
    </row>
    <row r="794" spans="1:25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7082</v>
      </c>
      <c r="J794" t="s">
        <v>7084</v>
      </c>
      <c r="K794" t="s">
        <v>46</v>
      </c>
      <c r="L794" t="s">
        <v>7084</v>
      </c>
      <c r="M794" t="s">
        <v>7084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48"/>
        <v>0-12 Months</v>
      </c>
      <c r="W794">
        <f t="shared" si="49"/>
        <v>0</v>
      </c>
      <c r="X794">
        <f t="shared" si="50"/>
        <v>0</v>
      </c>
      <c r="Y794" t="str">
        <f t="shared" si="51"/>
        <v>Non-Senior</v>
      </c>
    </row>
    <row r="795" spans="1:25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48"/>
        <v>25-36 Months</v>
      </c>
      <c r="W795">
        <f t="shared" si="49"/>
        <v>0</v>
      </c>
      <c r="X795">
        <f t="shared" si="50"/>
        <v>0</v>
      </c>
      <c r="Y795" t="str">
        <f t="shared" si="51"/>
        <v>Non-Senior</v>
      </c>
    </row>
    <row r="796" spans="1:25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48"/>
        <v>0-12 Months</v>
      </c>
      <c r="W796">
        <f t="shared" si="49"/>
        <v>0</v>
      </c>
      <c r="X796">
        <f t="shared" si="50"/>
        <v>0</v>
      </c>
      <c r="Y796" t="str">
        <f t="shared" si="51"/>
        <v>Non-Senior</v>
      </c>
    </row>
    <row r="797" spans="1:25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48"/>
        <v>0-12 Months</v>
      </c>
      <c r="W797">
        <f t="shared" si="49"/>
        <v>0</v>
      </c>
      <c r="X797">
        <f t="shared" si="50"/>
        <v>0</v>
      </c>
      <c r="Y797" t="str">
        <f t="shared" si="51"/>
        <v>Non-Senior</v>
      </c>
    </row>
    <row r="798" spans="1:25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48"/>
        <v>25-36 Months</v>
      </c>
      <c r="W798">
        <f t="shared" si="49"/>
        <v>0</v>
      </c>
      <c r="X798">
        <f t="shared" si="50"/>
        <v>0</v>
      </c>
      <c r="Y798" t="str">
        <f t="shared" si="51"/>
        <v>Non-Senior</v>
      </c>
    </row>
    <row r="799" spans="1:25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7082</v>
      </c>
      <c r="J799" t="s">
        <v>7084</v>
      </c>
      <c r="K799" t="s">
        <v>46</v>
      </c>
      <c r="L799" t="s">
        <v>7084</v>
      </c>
      <c r="M799" t="s">
        <v>7084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48"/>
        <v>13-24 Months</v>
      </c>
      <c r="W799">
        <f t="shared" si="49"/>
        <v>0</v>
      </c>
      <c r="X799">
        <f t="shared" si="50"/>
        <v>0</v>
      </c>
      <c r="Y799" t="str">
        <f t="shared" si="51"/>
        <v>Non-Senior</v>
      </c>
    </row>
    <row r="800" spans="1:25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7082</v>
      </c>
      <c r="J800" t="s">
        <v>7084</v>
      </c>
      <c r="K800" t="s">
        <v>46</v>
      </c>
      <c r="L800" t="s">
        <v>7084</v>
      </c>
      <c r="M800" t="s">
        <v>7084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48"/>
        <v>0-12 Months</v>
      </c>
      <c r="W800">
        <f t="shared" si="49"/>
        <v>0</v>
      </c>
      <c r="X800">
        <f t="shared" si="50"/>
        <v>0</v>
      </c>
      <c r="Y800" t="str">
        <f t="shared" si="51"/>
        <v>Non-Senior</v>
      </c>
    </row>
    <row r="801" spans="1:25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48"/>
        <v>61-72 Months</v>
      </c>
      <c r="W801">
        <f t="shared" si="49"/>
        <v>1</v>
      </c>
      <c r="X801">
        <f t="shared" si="50"/>
        <v>96.75</v>
      </c>
      <c r="Y801" t="str">
        <f t="shared" si="51"/>
        <v>Non-Senior</v>
      </c>
    </row>
    <row r="802" spans="1:25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48"/>
        <v>61-72 Months</v>
      </c>
      <c r="W802">
        <f t="shared" si="49"/>
        <v>0</v>
      </c>
      <c r="X802">
        <f t="shared" si="50"/>
        <v>0</v>
      </c>
      <c r="Y802" t="str">
        <f t="shared" si="51"/>
        <v>Senior Citizen</v>
      </c>
    </row>
    <row r="803" spans="1:25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48"/>
        <v>0-12 Months</v>
      </c>
      <c r="W803">
        <f t="shared" si="49"/>
        <v>1</v>
      </c>
      <c r="X803">
        <f t="shared" si="50"/>
        <v>98.5</v>
      </c>
      <c r="Y803" t="str">
        <f t="shared" si="51"/>
        <v>Non-Senior</v>
      </c>
    </row>
    <row r="804" spans="1:25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7082</v>
      </c>
      <c r="J804" t="s">
        <v>7084</v>
      </c>
      <c r="K804" t="s">
        <v>46</v>
      </c>
      <c r="L804" t="s">
        <v>7084</v>
      </c>
      <c r="M804" t="s">
        <v>7084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48"/>
        <v>37-48 Months</v>
      </c>
      <c r="W804">
        <f t="shared" si="49"/>
        <v>0</v>
      </c>
      <c r="X804">
        <f t="shared" si="50"/>
        <v>0</v>
      </c>
      <c r="Y804" t="str">
        <f t="shared" si="51"/>
        <v>Non-Senior</v>
      </c>
    </row>
    <row r="805" spans="1:25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48"/>
        <v>37-48 Months</v>
      </c>
      <c r="W805">
        <f t="shared" si="49"/>
        <v>0</v>
      </c>
      <c r="X805">
        <f t="shared" si="50"/>
        <v>0</v>
      </c>
      <c r="Y805" t="str">
        <f t="shared" si="51"/>
        <v>Non-Senior</v>
      </c>
    </row>
    <row r="806" spans="1:25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48"/>
        <v>0-12 Months</v>
      </c>
      <c r="W806">
        <f t="shared" si="49"/>
        <v>1</v>
      </c>
      <c r="X806">
        <f t="shared" si="50"/>
        <v>85.35</v>
      </c>
      <c r="Y806" t="str">
        <f t="shared" si="51"/>
        <v>Non-Senior</v>
      </c>
    </row>
    <row r="807" spans="1:25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48"/>
        <v>61-72 Months</v>
      </c>
      <c r="W807">
        <f t="shared" si="49"/>
        <v>0</v>
      </c>
      <c r="X807">
        <f t="shared" si="50"/>
        <v>0</v>
      </c>
      <c r="Y807" t="str">
        <f t="shared" si="51"/>
        <v>Non-Senior</v>
      </c>
    </row>
    <row r="808" spans="1:25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48"/>
        <v>13-24 Months</v>
      </c>
      <c r="W808">
        <f t="shared" si="49"/>
        <v>0</v>
      </c>
      <c r="X808">
        <f t="shared" si="50"/>
        <v>0</v>
      </c>
      <c r="Y808" t="str">
        <f t="shared" si="51"/>
        <v>Non-Senior</v>
      </c>
    </row>
    <row r="809" spans="1:25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48"/>
        <v>61-72 Months</v>
      </c>
      <c r="W809">
        <f t="shared" si="49"/>
        <v>0</v>
      </c>
      <c r="X809">
        <f t="shared" si="50"/>
        <v>0</v>
      </c>
      <c r="Y809" t="str">
        <f t="shared" si="51"/>
        <v>Non-Senior</v>
      </c>
    </row>
    <row r="810" spans="1:25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48"/>
        <v>37-48 Months</v>
      </c>
      <c r="W810">
        <f t="shared" si="49"/>
        <v>1</v>
      </c>
      <c r="X810">
        <f t="shared" si="50"/>
        <v>101.3</v>
      </c>
      <c r="Y810" t="str">
        <f t="shared" si="51"/>
        <v>Non-Senior</v>
      </c>
    </row>
    <row r="811" spans="1:25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48"/>
        <v>0-12 Months</v>
      </c>
      <c r="W811">
        <f t="shared" si="49"/>
        <v>1</v>
      </c>
      <c r="X811">
        <f t="shared" si="50"/>
        <v>69.55</v>
      </c>
      <c r="Y811" t="str">
        <f t="shared" si="51"/>
        <v>Non-Senior</v>
      </c>
    </row>
    <row r="812" spans="1:25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48"/>
        <v>49-60 Months</v>
      </c>
      <c r="W812">
        <f t="shared" si="49"/>
        <v>1</v>
      </c>
      <c r="X812">
        <f t="shared" si="50"/>
        <v>103.25</v>
      </c>
      <c r="Y812" t="str">
        <f t="shared" si="51"/>
        <v>Non-Senior</v>
      </c>
    </row>
    <row r="813" spans="1:25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48"/>
        <v>61-72 Months</v>
      </c>
      <c r="W813">
        <f t="shared" si="49"/>
        <v>1</v>
      </c>
      <c r="X813">
        <f t="shared" si="50"/>
        <v>104</v>
      </c>
      <c r="Y813" t="str">
        <f t="shared" si="51"/>
        <v>Non-Senior</v>
      </c>
    </row>
    <row r="814" spans="1:25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7082</v>
      </c>
      <c r="J814" t="s">
        <v>7084</v>
      </c>
      <c r="K814" t="s">
        <v>46</v>
      </c>
      <c r="L814" t="s">
        <v>7084</v>
      </c>
      <c r="M814" t="s">
        <v>7084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48"/>
        <v>37-48 Months</v>
      </c>
      <c r="W814">
        <f t="shared" si="49"/>
        <v>0</v>
      </c>
      <c r="X814">
        <f t="shared" si="50"/>
        <v>0</v>
      </c>
      <c r="Y814" t="str">
        <f t="shared" si="51"/>
        <v>Non-Senior</v>
      </c>
    </row>
    <row r="815" spans="1:25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48"/>
        <v>25-36 Months</v>
      </c>
      <c r="W815">
        <f t="shared" si="49"/>
        <v>0</v>
      </c>
      <c r="X815">
        <f t="shared" si="50"/>
        <v>0</v>
      </c>
      <c r="Y815" t="str">
        <f t="shared" si="51"/>
        <v>Non-Senior</v>
      </c>
    </row>
    <row r="816" spans="1:25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7082</v>
      </c>
      <c r="J816" t="s">
        <v>7084</v>
      </c>
      <c r="K816" t="s">
        <v>46</v>
      </c>
      <c r="L816" t="s">
        <v>7084</v>
      </c>
      <c r="M816" t="s">
        <v>7084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48"/>
        <v>0-12 Months</v>
      </c>
      <c r="W816">
        <f t="shared" si="49"/>
        <v>0</v>
      </c>
      <c r="X816">
        <f t="shared" si="50"/>
        <v>0</v>
      </c>
      <c r="Y816" t="str">
        <f t="shared" si="51"/>
        <v>Senior Citizen</v>
      </c>
    </row>
    <row r="817" spans="1:25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48"/>
        <v>25-36 Months</v>
      </c>
      <c r="W817">
        <f t="shared" si="49"/>
        <v>0</v>
      </c>
      <c r="X817">
        <f t="shared" si="50"/>
        <v>0</v>
      </c>
      <c r="Y817" t="str">
        <f t="shared" si="51"/>
        <v>Non-Senior</v>
      </c>
    </row>
    <row r="818" spans="1:25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48"/>
        <v>0-12 Months</v>
      </c>
      <c r="W818">
        <f t="shared" si="49"/>
        <v>1</v>
      </c>
      <c r="X818">
        <f t="shared" si="50"/>
        <v>86.2</v>
      </c>
      <c r="Y818" t="str">
        <f t="shared" si="51"/>
        <v>Non-Senior</v>
      </c>
    </row>
    <row r="819" spans="1:25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48"/>
        <v>49-60 Months</v>
      </c>
      <c r="W819">
        <f t="shared" si="49"/>
        <v>0</v>
      </c>
      <c r="X819">
        <f t="shared" si="50"/>
        <v>0</v>
      </c>
      <c r="Y819" t="str">
        <f t="shared" si="51"/>
        <v>Non-Senior</v>
      </c>
    </row>
    <row r="820" spans="1:25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48"/>
        <v>13-24 Months</v>
      </c>
      <c r="W820">
        <f t="shared" si="49"/>
        <v>1</v>
      </c>
      <c r="X820">
        <f t="shared" si="50"/>
        <v>111.2</v>
      </c>
      <c r="Y820" t="str">
        <f t="shared" si="51"/>
        <v>Non-Senior</v>
      </c>
    </row>
    <row r="821" spans="1:25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48"/>
        <v>61-72 Months</v>
      </c>
      <c r="W821">
        <f t="shared" si="49"/>
        <v>0</v>
      </c>
      <c r="X821">
        <f t="shared" si="50"/>
        <v>0</v>
      </c>
      <c r="Y821" t="str">
        <f t="shared" si="51"/>
        <v>Non-Senior</v>
      </c>
    </row>
    <row r="822" spans="1:25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48"/>
        <v>61-72 Months</v>
      </c>
      <c r="W822">
        <f t="shared" si="49"/>
        <v>0</v>
      </c>
      <c r="X822">
        <f t="shared" si="50"/>
        <v>0</v>
      </c>
      <c r="Y822" t="str">
        <f t="shared" si="51"/>
        <v>Non-Senior</v>
      </c>
    </row>
    <row r="823" spans="1:25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48"/>
        <v>37-48 Months</v>
      </c>
      <c r="W823">
        <f t="shared" si="49"/>
        <v>0</v>
      </c>
      <c r="X823">
        <f t="shared" si="50"/>
        <v>0</v>
      </c>
      <c r="Y823" t="str">
        <f t="shared" si="51"/>
        <v>Non-Senior</v>
      </c>
    </row>
    <row r="824" spans="1:25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48"/>
        <v>37-48 Months</v>
      </c>
      <c r="W824">
        <f t="shared" si="49"/>
        <v>0</v>
      </c>
      <c r="X824">
        <f t="shared" si="50"/>
        <v>0</v>
      </c>
      <c r="Y824" t="str">
        <f t="shared" si="51"/>
        <v>Non-Senior</v>
      </c>
    </row>
    <row r="825" spans="1:25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48"/>
        <v>0-12 Months</v>
      </c>
      <c r="W825">
        <f t="shared" si="49"/>
        <v>0</v>
      </c>
      <c r="X825">
        <f t="shared" si="50"/>
        <v>0</v>
      </c>
      <c r="Y825" t="str">
        <f t="shared" si="51"/>
        <v>Non-Senior</v>
      </c>
    </row>
    <row r="826" spans="1:25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7082</v>
      </c>
      <c r="J826" t="s">
        <v>7084</v>
      </c>
      <c r="K826" t="s">
        <v>46</v>
      </c>
      <c r="L826" t="s">
        <v>7084</v>
      </c>
      <c r="M826" t="s">
        <v>7084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48"/>
        <v>61-72 Months</v>
      </c>
      <c r="W826">
        <f t="shared" si="49"/>
        <v>0</v>
      </c>
      <c r="X826">
        <f t="shared" si="50"/>
        <v>0</v>
      </c>
      <c r="Y826" t="str">
        <f t="shared" si="51"/>
        <v>Non-Senior</v>
      </c>
    </row>
    <row r="827" spans="1:25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48"/>
        <v>13-24 Months</v>
      </c>
      <c r="W827">
        <f t="shared" si="49"/>
        <v>1</v>
      </c>
      <c r="X827">
        <f t="shared" si="50"/>
        <v>89.45</v>
      </c>
      <c r="Y827" t="str">
        <f t="shared" si="51"/>
        <v>Non-Senior</v>
      </c>
    </row>
    <row r="828" spans="1:25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48"/>
        <v>0-12 Months</v>
      </c>
      <c r="W828">
        <f t="shared" si="49"/>
        <v>1</v>
      </c>
      <c r="X828">
        <f t="shared" si="50"/>
        <v>95.6</v>
      </c>
      <c r="Y828" t="str">
        <f t="shared" si="51"/>
        <v>Senior Citizen</v>
      </c>
    </row>
    <row r="829" spans="1:25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7082</v>
      </c>
      <c r="J829" t="s">
        <v>7084</v>
      </c>
      <c r="K829" t="s">
        <v>46</v>
      </c>
      <c r="L829" t="s">
        <v>7084</v>
      </c>
      <c r="M829" t="s">
        <v>7084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48"/>
        <v>13-24 Months</v>
      </c>
      <c r="W829">
        <f t="shared" si="49"/>
        <v>0</v>
      </c>
      <c r="X829">
        <f t="shared" si="50"/>
        <v>0</v>
      </c>
      <c r="Y829" t="str">
        <f t="shared" si="51"/>
        <v>Non-Senior</v>
      </c>
    </row>
    <row r="830" spans="1:25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48"/>
        <v>49-60 Months</v>
      </c>
      <c r="W830">
        <f t="shared" si="49"/>
        <v>1</v>
      </c>
      <c r="X830">
        <f t="shared" si="50"/>
        <v>90.95</v>
      </c>
      <c r="Y830" t="str">
        <f t="shared" si="51"/>
        <v>Non-Senior</v>
      </c>
    </row>
    <row r="831" spans="1:25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48"/>
        <v>25-36 Months</v>
      </c>
      <c r="W831">
        <f t="shared" si="49"/>
        <v>0</v>
      </c>
      <c r="X831">
        <f t="shared" si="50"/>
        <v>0</v>
      </c>
      <c r="Y831" t="str">
        <f t="shared" si="51"/>
        <v>Non-Senior</v>
      </c>
    </row>
    <row r="832" spans="1:25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48"/>
        <v>49-60 Months</v>
      </c>
      <c r="W832">
        <f t="shared" si="49"/>
        <v>1</v>
      </c>
      <c r="X832">
        <f t="shared" si="50"/>
        <v>108.55</v>
      </c>
      <c r="Y832" t="str">
        <f t="shared" si="51"/>
        <v>Non-Senior</v>
      </c>
    </row>
    <row r="833" spans="1:25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7082</v>
      </c>
      <c r="J833" t="s">
        <v>7084</v>
      </c>
      <c r="K833" t="s">
        <v>46</v>
      </c>
      <c r="L833" t="s">
        <v>7084</v>
      </c>
      <c r="M833" t="s">
        <v>7084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48"/>
        <v>37-48 Months</v>
      </c>
      <c r="W833">
        <f t="shared" si="49"/>
        <v>0</v>
      </c>
      <c r="X833">
        <f t="shared" si="50"/>
        <v>0</v>
      </c>
      <c r="Y833" t="str">
        <f t="shared" si="51"/>
        <v>Non-Senior</v>
      </c>
    </row>
    <row r="834" spans="1:25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si="48"/>
        <v>61-72 Months</v>
      </c>
      <c r="W834">
        <f t="shared" si="49"/>
        <v>0</v>
      </c>
      <c r="X834">
        <f t="shared" si="50"/>
        <v>0</v>
      </c>
      <c r="Y834" t="str">
        <f t="shared" si="51"/>
        <v>Non-Senior</v>
      </c>
    </row>
    <row r="835" spans="1:25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ref="V835:V898" si="52">IF(F835&lt;=12,"0-12 Months",IF(F835&lt;=24,"13-24 Months",IF(F835&lt;=36,"25-36 Months",IF(F835&lt;=48,"37-48 Months",IF(F835&lt;=60,"49-60 Months","61-72 Months")))))</f>
        <v>37-48 Months</v>
      </c>
      <c r="W835">
        <f t="shared" ref="W835:W898" si="53">IF(U835="Yes",1,0)</f>
        <v>0</v>
      </c>
      <c r="X835">
        <f t="shared" ref="X835:X898" si="54">IF(U835="Yes",S835,0)</f>
        <v>0</v>
      </c>
      <c r="Y835" t="str">
        <f t="shared" ref="Y835:Y898" si="55">IF(C835=1,"Senior Citizen","Non-Senior")</f>
        <v>Non-Senior</v>
      </c>
    </row>
    <row r="836" spans="1:25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52"/>
        <v>0-12 Months</v>
      </c>
      <c r="W836">
        <f t="shared" si="53"/>
        <v>1</v>
      </c>
      <c r="X836">
        <f t="shared" si="54"/>
        <v>78.849999999999994</v>
      </c>
      <c r="Y836" t="str">
        <f t="shared" si="55"/>
        <v>Senior Citizen</v>
      </c>
    </row>
    <row r="837" spans="1:25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52"/>
        <v>49-60 Months</v>
      </c>
      <c r="W837">
        <f t="shared" si="53"/>
        <v>0</v>
      </c>
      <c r="X837">
        <f t="shared" si="54"/>
        <v>0</v>
      </c>
      <c r="Y837" t="str">
        <f t="shared" si="55"/>
        <v>Senior Citizen</v>
      </c>
    </row>
    <row r="838" spans="1:25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52"/>
        <v>61-72 Months</v>
      </c>
      <c r="W838">
        <f t="shared" si="53"/>
        <v>0</v>
      </c>
      <c r="X838">
        <f t="shared" si="54"/>
        <v>0</v>
      </c>
      <c r="Y838" t="str">
        <f t="shared" si="55"/>
        <v>Non-Senior</v>
      </c>
    </row>
    <row r="839" spans="1:25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52"/>
        <v>0-12 Months</v>
      </c>
      <c r="W839">
        <f t="shared" si="53"/>
        <v>1</v>
      </c>
      <c r="X839">
        <f t="shared" si="54"/>
        <v>44.4</v>
      </c>
      <c r="Y839" t="str">
        <f t="shared" si="55"/>
        <v>Non-Senior</v>
      </c>
    </row>
    <row r="840" spans="1:25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52"/>
        <v>25-36 Months</v>
      </c>
      <c r="W840">
        <f t="shared" si="53"/>
        <v>0</v>
      </c>
      <c r="X840">
        <f t="shared" si="54"/>
        <v>0</v>
      </c>
      <c r="Y840" t="str">
        <f t="shared" si="55"/>
        <v>Non-Senior</v>
      </c>
    </row>
    <row r="841" spans="1:25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7082</v>
      </c>
      <c r="J841" t="s">
        <v>7084</v>
      </c>
      <c r="K841" t="s">
        <v>46</v>
      </c>
      <c r="L841" t="s">
        <v>7084</v>
      </c>
      <c r="M841" t="s">
        <v>7084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52"/>
        <v>37-48 Months</v>
      </c>
      <c r="W841">
        <f t="shared" si="53"/>
        <v>0</v>
      </c>
      <c r="X841">
        <f t="shared" si="54"/>
        <v>0</v>
      </c>
      <c r="Y841" t="str">
        <f t="shared" si="55"/>
        <v>Non-Senior</v>
      </c>
    </row>
    <row r="842" spans="1:25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52"/>
        <v>49-60 Months</v>
      </c>
      <c r="W842">
        <f t="shared" si="53"/>
        <v>1</v>
      </c>
      <c r="X842">
        <f t="shared" si="54"/>
        <v>100</v>
      </c>
      <c r="Y842" t="str">
        <f t="shared" si="55"/>
        <v>Senior Citizen</v>
      </c>
    </row>
    <row r="843" spans="1:25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52"/>
        <v>61-72 Months</v>
      </c>
      <c r="W843">
        <f t="shared" si="53"/>
        <v>0</v>
      </c>
      <c r="X843">
        <f t="shared" si="54"/>
        <v>0</v>
      </c>
      <c r="Y843" t="str">
        <f t="shared" si="55"/>
        <v>Non-Senior</v>
      </c>
    </row>
    <row r="844" spans="1:25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7082</v>
      </c>
      <c r="J844" t="s">
        <v>7084</v>
      </c>
      <c r="K844" t="s">
        <v>46</v>
      </c>
      <c r="L844" t="s">
        <v>7084</v>
      </c>
      <c r="M844" t="s">
        <v>7084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52"/>
        <v>0-12 Months</v>
      </c>
      <c r="W844">
        <f t="shared" si="53"/>
        <v>1</v>
      </c>
      <c r="X844">
        <f t="shared" si="54"/>
        <v>19.8</v>
      </c>
      <c r="Y844" t="str">
        <f t="shared" si="55"/>
        <v>Non-Senior</v>
      </c>
    </row>
    <row r="845" spans="1:25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52"/>
        <v>13-24 Months</v>
      </c>
      <c r="W845">
        <f t="shared" si="53"/>
        <v>0</v>
      </c>
      <c r="X845">
        <f t="shared" si="54"/>
        <v>0</v>
      </c>
      <c r="Y845" t="str">
        <f t="shared" si="55"/>
        <v>Non-Senior</v>
      </c>
    </row>
    <row r="846" spans="1:25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52"/>
        <v>0-12 Months</v>
      </c>
      <c r="W846">
        <f t="shared" si="53"/>
        <v>1</v>
      </c>
      <c r="X846">
        <f t="shared" si="54"/>
        <v>89.9</v>
      </c>
      <c r="Y846" t="str">
        <f t="shared" si="55"/>
        <v>Non-Senior</v>
      </c>
    </row>
    <row r="847" spans="1:25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7082</v>
      </c>
      <c r="J847" t="s">
        <v>7084</v>
      </c>
      <c r="K847" t="s">
        <v>46</v>
      </c>
      <c r="L847" t="s">
        <v>7084</v>
      </c>
      <c r="M847" t="s">
        <v>7084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52"/>
        <v>13-24 Months</v>
      </c>
      <c r="W847">
        <f t="shared" si="53"/>
        <v>0</v>
      </c>
      <c r="X847">
        <f t="shared" si="54"/>
        <v>0</v>
      </c>
      <c r="Y847" t="str">
        <f t="shared" si="55"/>
        <v>Non-Senior</v>
      </c>
    </row>
    <row r="848" spans="1:25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52"/>
        <v>61-72 Months</v>
      </c>
      <c r="W848">
        <f t="shared" si="53"/>
        <v>0</v>
      </c>
      <c r="X848">
        <f t="shared" si="54"/>
        <v>0</v>
      </c>
      <c r="Y848" t="str">
        <f t="shared" si="55"/>
        <v>Non-Senior</v>
      </c>
    </row>
    <row r="849" spans="1:25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52"/>
        <v>0-12 Months</v>
      </c>
      <c r="W849">
        <f t="shared" si="53"/>
        <v>0</v>
      </c>
      <c r="X849">
        <f t="shared" si="54"/>
        <v>0</v>
      </c>
      <c r="Y849" t="str">
        <f t="shared" si="55"/>
        <v>Non-Senior</v>
      </c>
    </row>
    <row r="850" spans="1:25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52"/>
        <v>61-72 Months</v>
      </c>
      <c r="W850">
        <f t="shared" si="53"/>
        <v>0</v>
      </c>
      <c r="X850">
        <f t="shared" si="54"/>
        <v>0</v>
      </c>
      <c r="Y850" t="str">
        <f t="shared" si="55"/>
        <v>Non-Senior</v>
      </c>
    </row>
    <row r="851" spans="1:25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52"/>
        <v>61-72 Months</v>
      </c>
      <c r="W851">
        <f t="shared" si="53"/>
        <v>0</v>
      </c>
      <c r="X851">
        <f t="shared" si="54"/>
        <v>0</v>
      </c>
      <c r="Y851" t="str">
        <f t="shared" si="55"/>
        <v>Non-Senior</v>
      </c>
    </row>
    <row r="852" spans="1:25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52"/>
        <v>61-72 Months</v>
      </c>
      <c r="W852">
        <f t="shared" si="53"/>
        <v>0</v>
      </c>
      <c r="X852">
        <f t="shared" si="54"/>
        <v>0</v>
      </c>
      <c r="Y852" t="str">
        <f t="shared" si="55"/>
        <v>Non-Senior</v>
      </c>
    </row>
    <row r="853" spans="1:25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52"/>
        <v>49-60 Months</v>
      </c>
      <c r="W853">
        <f t="shared" si="53"/>
        <v>0</v>
      </c>
      <c r="X853">
        <f t="shared" si="54"/>
        <v>0</v>
      </c>
      <c r="Y853" t="str">
        <f t="shared" si="55"/>
        <v>Non-Senior</v>
      </c>
    </row>
    <row r="854" spans="1:25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7082</v>
      </c>
      <c r="J854" t="s">
        <v>7084</v>
      </c>
      <c r="K854" t="s">
        <v>46</v>
      </c>
      <c r="L854" t="s">
        <v>7084</v>
      </c>
      <c r="M854" t="s">
        <v>7084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52"/>
        <v>0-12 Months</v>
      </c>
      <c r="W854">
        <f t="shared" si="53"/>
        <v>0</v>
      </c>
      <c r="X854">
        <f t="shared" si="54"/>
        <v>0</v>
      </c>
      <c r="Y854" t="str">
        <f t="shared" si="55"/>
        <v>Non-Senior</v>
      </c>
    </row>
    <row r="855" spans="1:25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52"/>
        <v>0-12 Months</v>
      </c>
      <c r="W855">
        <f t="shared" si="53"/>
        <v>0</v>
      </c>
      <c r="X855">
        <f t="shared" si="54"/>
        <v>0</v>
      </c>
      <c r="Y855" t="str">
        <f t="shared" si="55"/>
        <v>Non-Senior</v>
      </c>
    </row>
    <row r="856" spans="1:25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7082</v>
      </c>
      <c r="J856" t="s">
        <v>7084</v>
      </c>
      <c r="K856" t="s">
        <v>46</v>
      </c>
      <c r="L856" t="s">
        <v>7084</v>
      </c>
      <c r="M856" t="s">
        <v>7084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52"/>
        <v>61-72 Months</v>
      </c>
      <c r="W856">
        <f t="shared" si="53"/>
        <v>0</v>
      </c>
      <c r="X856">
        <f t="shared" si="54"/>
        <v>0</v>
      </c>
      <c r="Y856" t="str">
        <f t="shared" si="55"/>
        <v>Non-Senior</v>
      </c>
    </row>
    <row r="857" spans="1:25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52"/>
        <v>61-72 Months</v>
      </c>
      <c r="W857">
        <f t="shared" si="53"/>
        <v>1</v>
      </c>
      <c r="X857">
        <f t="shared" si="54"/>
        <v>100.15</v>
      </c>
      <c r="Y857" t="str">
        <f t="shared" si="55"/>
        <v>Non-Senior</v>
      </c>
    </row>
    <row r="858" spans="1:25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52"/>
        <v>61-72 Months</v>
      </c>
      <c r="W858">
        <f t="shared" si="53"/>
        <v>0</v>
      </c>
      <c r="X858">
        <f t="shared" si="54"/>
        <v>0</v>
      </c>
      <c r="Y858" t="str">
        <f t="shared" si="55"/>
        <v>Non-Senior</v>
      </c>
    </row>
    <row r="859" spans="1:25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52"/>
        <v>0-12 Months</v>
      </c>
      <c r="W859">
        <f t="shared" si="53"/>
        <v>1</v>
      </c>
      <c r="X859">
        <f t="shared" si="54"/>
        <v>50.8</v>
      </c>
      <c r="Y859" t="str">
        <f t="shared" si="55"/>
        <v>Non-Senior</v>
      </c>
    </row>
    <row r="860" spans="1:25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52"/>
        <v>61-72 Months</v>
      </c>
      <c r="W860">
        <f t="shared" si="53"/>
        <v>0</v>
      </c>
      <c r="X860">
        <f t="shared" si="54"/>
        <v>0</v>
      </c>
      <c r="Y860" t="str">
        <f t="shared" si="55"/>
        <v>Non-Senior</v>
      </c>
    </row>
    <row r="861" spans="1:25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52"/>
        <v>61-72 Months</v>
      </c>
      <c r="W861">
        <f t="shared" si="53"/>
        <v>0</v>
      </c>
      <c r="X861">
        <f t="shared" si="54"/>
        <v>0</v>
      </c>
      <c r="Y861" t="str">
        <f t="shared" si="55"/>
        <v>Non-Senior</v>
      </c>
    </row>
    <row r="862" spans="1:25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7082</v>
      </c>
      <c r="J862" t="s">
        <v>7084</v>
      </c>
      <c r="K862" t="s">
        <v>46</v>
      </c>
      <c r="L862" t="s">
        <v>7084</v>
      </c>
      <c r="M862" t="s">
        <v>7084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52"/>
        <v>25-36 Months</v>
      </c>
      <c r="W862">
        <f t="shared" si="53"/>
        <v>0</v>
      </c>
      <c r="X862">
        <f t="shared" si="54"/>
        <v>0</v>
      </c>
      <c r="Y862" t="str">
        <f t="shared" si="55"/>
        <v>Non-Senior</v>
      </c>
    </row>
    <row r="863" spans="1:25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52"/>
        <v>61-72 Months</v>
      </c>
      <c r="W863">
        <f t="shared" si="53"/>
        <v>0</v>
      </c>
      <c r="X863">
        <f t="shared" si="54"/>
        <v>0</v>
      </c>
      <c r="Y863" t="str">
        <f t="shared" si="55"/>
        <v>Non-Senior</v>
      </c>
    </row>
    <row r="864" spans="1:25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52"/>
        <v>13-24 Months</v>
      </c>
      <c r="W864">
        <f t="shared" si="53"/>
        <v>1</v>
      </c>
      <c r="X864">
        <f t="shared" si="54"/>
        <v>73.650000000000006</v>
      </c>
      <c r="Y864" t="str">
        <f t="shared" si="55"/>
        <v>Senior Citizen</v>
      </c>
    </row>
    <row r="865" spans="1:25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52"/>
        <v>0-12 Months</v>
      </c>
      <c r="W865">
        <f t="shared" si="53"/>
        <v>1</v>
      </c>
      <c r="X865">
        <f t="shared" si="54"/>
        <v>95.1</v>
      </c>
      <c r="Y865" t="str">
        <f t="shared" si="55"/>
        <v>Non-Senior</v>
      </c>
    </row>
    <row r="866" spans="1:25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52"/>
        <v>13-24 Months</v>
      </c>
      <c r="W866">
        <f t="shared" si="53"/>
        <v>1</v>
      </c>
      <c r="X866">
        <f t="shared" si="54"/>
        <v>94.65</v>
      </c>
      <c r="Y866" t="str">
        <f t="shared" si="55"/>
        <v>Non-Senior</v>
      </c>
    </row>
    <row r="867" spans="1:25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52"/>
        <v>0-12 Months</v>
      </c>
      <c r="W867">
        <f t="shared" si="53"/>
        <v>1</v>
      </c>
      <c r="X867">
        <f t="shared" si="54"/>
        <v>80.599999999999994</v>
      </c>
      <c r="Y867" t="str">
        <f t="shared" si="55"/>
        <v>Non-Senior</v>
      </c>
    </row>
    <row r="868" spans="1:25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52"/>
        <v>61-72 Months</v>
      </c>
      <c r="W868">
        <f t="shared" si="53"/>
        <v>0</v>
      </c>
      <c r="X868">
        <f t="shared" si="54"/>
        <v>0</v>
      </c>
      <c r="Y868" t="str">
        <f t="shared" si="55"/>
        <v>Non-Senior</v>
      </c>
    </row>
    <row r="869" spans="1:25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7082</v>
      </c>
      <c r="J869" t="s">
        <v>7084</v>
      </c>
      <c r="K869" t="s">
        <v>46</v>
      </c>
      <c r="L869" t="s">
        <v>7084</v>
      </c>
      <c r="M869" t="s">
        <v>7084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52"/>
        <v>0-12 Months</v>
      </c>
      <c r="W869">
        <f t="shared" si="53"/>
        <v>0</v>
      </c>
      <c r="X869">
        <f t="shared" si="54"/>
        <v>0</v>
      </c>
      <c r="Y869" t="str">
        <f t="shared" si="55"/>
        <v>Non-Senior</v>
      </c>
    </row>
    <row r="870" spans="1:25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52"/>
        <v>49-60 Months</v>
      </c>
      <c r="W870">
        <f t="shared" si="53"/>
        <v>1</v>
      </c>
      <c r="X870">
        <f t="shared" si="54"/>
        <v>85.55</v>
      </c>
      <c r="Y870" t="str">
        <f t="shared" si="55"/>
        <v>Non-Senior</v>
      </c>
    </row>
    <row r="871" spans="1:25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7082</v>
      </c>
      <c r="J871" t="s">
        <v>7084</v>
      </c>
      <c r="K871" t="s">
        <v>46</v>
      </c>
      <c r="L871" t="s">
        <v>7084</v>
      </c>
      <c r="M871" t="s">
        <v>7084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52"/>
        <v>0-12 Months</v>
      </c>
      <c r="W871">
        <f t="shared" si="53"/>
        <v>0</v>
      </c>
      <c r="X871">
        <f t="shared" si="54"/>
        <v>0</v>
      </c>
      <c r="Y871" t="str">
        <f t="shared" si="55"/>
        <v>Non-Senior</v>
      </c>
    </row>
    <row r="872" spans="1:25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52"/>
        <v>61-72 Months</v>
      </c>
      <c r="W872">
        <f t="shared" si="53"/>
        <v>0</v>
      </c>
      <c r="X872">
        <f t="shared" si="54"/>
        <v>0</v>
      </c>
      <c r="Y872" t="str">
        <f t="shared" si="55"/>
        <v>Non-Senior</v>
      </c>
    </row>
    <row r="873" spans="1:25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52"/>
        <v>49-60 Months</v>
      </c>
      <c r="W873">
        <f t="shared" si="53"/>
        <v>0</v>
      </c>
      <c r="X873">
        <f t="shared" si="54"/>
        <v>0</v>
      </c>
      <c r="Y873" t="str">
        <f t="shared" si="55"/>
        <v>Non-Senior</v>
      </c>
    </row>
    <row r="874" spans="1:25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7082</v>
      </c>
      <c r="J874" t="s">
        <v>7084</v>
      </c>
      <c r="K874" t="s">
        <v>46</v>
      </c>
      <c r="L874" t="s">
        <v>7084</v>
      </c>
      <c r="M874" t="s">
        <v>7084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52"/>
        <v>61-72 Months</v>
      </c>
      <c r="W874">
        <f t="shared" si="53"/>
        <v>0</v>
      </c>
      <c r="X874">
        <f t="shared" si="54"/>
        <v>0</v>
      </c>
      <c r="Y874" t="str">
        <f t="shared" si="55"/>
        <v>Non-Senior</v>
      </c>
    </row>
    <row r="875" spans="1:25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52"/>
        <v>49-60 Months</v>
      </c>
      <c r="W875">
        <f t="shared" si="53"/>
        <v>1</v>
      </c>
      <c r="X875">
        <f t="shared" si="54"/>
        <v>50.8</v>
      </c>
      <c r="Y875" t="str">
        <f t="shared" si="55"/>
        <v>Non-Senior</v>
      </c>
    </row>
    <row r="876" spans="1:25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52"/>
        <v>37-48 Months</v>
      </c>
      <c r="W876">
        <f t="shared" si="53"/>
        <v>0</v>
      </c>
      <c r="X876">
        <f t="shared" si="54"/>
        <v>0</v>
      </c>
      <c r="Y876" t="str">
        <f t="shared" si="55"/>
        <v>Non-Senior</v>
      </c>
    </row>
    <row r="877" spans="1:25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52"/>
        <v>0-12 Months</v>
      </c>
      <c r="W877">
        <f t="shared" si="53"/>
        <v>0</v>
      </c>
      <c r="X877">
        <f t="shared" si="54"/>
        <v>0</v>
      </c>
      <c r="Y877" t="str">
        <f t="shared" si="55"/>
        <v>Non-Senior</v>
      </c>
    </row>
    <row r="878" spans="1:25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52"/>
        <v>13-24 Months</v>
      </c>
      <c r="W878">
        <f t="shared" si="53"/>
        <v>1</v>
      </c>
      <c r="X878">
        <f t="shared" si="54"/>
        <v>105.1</v>
      </c>
      <c r="Y878" t="str">
        <f t="shared" si="55"/>
        <v>Non-Senior</v>
      </c>
    </row>
    <row r="879" spans="1:25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52"/>
        <v>49-60 Months</v>
      </c>
      <c r="W879">
        <f t="shared" si="53"/>
        <v>0</v>
      </c>
      <c r="X879">
        <f t="shared" si="54"/>
        <v>0</v>
      </c>
      <c r="Y879" t="str">
        <f t="shared" si="55"/>
        <v>Non-Senior</v>
      </c>
    </row>
    <row r="880" spans="1:25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52"/>
        <v>49-60 Months</v>
      </c>
      <c r="W880">
        <f t="shared" si="53"/>
        <v>0</v>
      </c>
      <c r="X880">
        <f t="shared" si="54"/>
        <v>0</v>
      </c>
      <c r="Y880" t="str">
        <f t="shared" si="55"/>
        <v>Non-Senior</v>
      </c>
    </row>
    <row r="881" spans="1:25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52"/>
        <v>25-36 Months</v>
      </c>
      <c r="W881">
        <f t="shared" si="53"/>
        <v>0</v>
      </c>
      <c r="X881">
        <f t="shared" si="54"/>
        <v>0</v>
      </c>
      <c r="Y881" t="str">
        <f t="shared" si="55"/>
        <v>Non-Senior</v>
      </c>
    </row>
    <row r="882" spans="1:25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52"/>
        <v>0-12 Months</v>
      </c>
      <c r="W882">
        <f t="shared" si="53"/>
        <v>1</v>
      </c>
      <c r="X882">
        <f t="shared" si="54"/>
        <v>110.1</v>
      </c>
      <c r="Y882" t="str">
        <f t="shared" si="55"/>
        <v>Non-Senior</v>
      </c>
    </row>
    <row r="883" spans="1:25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7082</v>
      </c>
      <c r="J883" t="s">
        <v>7084</v>
      </c>
      <c r="K883" t="s">
        <v>46</v>
      </c>
      <c r="L883" t="s">
        <v>7084</v>
      </c>
      <c r="M883" t="s">
        <v>7084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52"/>
        <v>25-36 Months</v>
      </c>
      <c r="W883">
        <f t="shared" si="53"/>
        <v>0</v>
      </c>
      <c r="X883">
        <f t="shared" si="54"/>
        <v>0</v>
      </c>
      <c r="Y883" t="str">
        <f t="shared" si="55"/>
        <v>Senior Citizen</v>
      </c>
    </row>
    <row r="884" spans="1:25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52"/>
        <v>0-12 Months</v>
      </c>
      <c r="W884">
        <f t="shared" si="53"/>
        <v>1</v>
      </c>
      <c r="X884">
        <f t="shared" si="54"/>
        <v>83.9</v>
      </c>
      <c r="Y884" t="str">
        <f t="shared" si="55"/>
        <v>Non-Senior</v>
      </c>
    </row>
    <row r="885" spans="1:25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52"/>
        <v>61-72 Months</v>
      </c>
      <c r="W885">
        <f t="shared" si="53"/>
        <v>0</v>
      </c>
      <c r="X885">
        <f t="shared" si="54"/>
        <v>0</v>
      </c>
      <c r="Y885" t="str">
        <f t="shared" si="55"/>
        <v>Non-Senior</v>
      </c>
    </row>
    <row r="886" spans="1:25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52"/>
        <v>49-60 Months</v>
      </c>
      <c r="W886">
        <f t="shared" si="53"/>
        <v>0</v>
      </c>
      <c r="X886">
        <f t="shared" si="54"/>
        <v>0</v>
      </c>
      <c r="Y886" t="str">
        <f t="shared" si="55"/>
        <v>Non-Senior</v>
      </c>
    </row>
    <row r="887" spans="1:25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7082</v>
      </c>
      <c r="J887" t="s">
        <v>7084</v>
      </c>
      <c r="K887" t="s">
        <v>46</v>
      </c>
      <c r="L887" t="s">
        <v>7084</v>
      </c>
      <c r="M887" t="s">
        <v>7084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52"/>
        <v>0-12 Months</v>
      </c>
      <c r="W887">
        <f t="shared" si="53"/>
        <v>0</v>
      </c>
      <c r="X887">
        <f t="shared" si="54"/>
        <v>0</v>
      </c>
      <c r="Y887" t="str">
        <f t="shared" si="55"/>
        <v>Non-Senior</v>
      </c>
    </row>
    <row r="888" spans="1:25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52"/>
        <v>0-12 Months</v>
      </c>
      <c r="W888">
        <f t="shared" si="53"/>
        <v>0</v>
      </c>
      <c r="X888">
        <f t="shared" si="54"/>
        <v>0</v>
      </c>
      <c r="Y888" t="str">
        <f t="shared" si="55"/>
        <v>Senior Citizen</v>
      </c>
    </row>
    <row r="889" spans="1:25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52"/>
        <v>25-36 Months</v>
      </c>
      <c r="W889">
        <f t="shared" si="53"/>
        <v>0</v>
      </c>
      <c r="X889">
        <f t="shared" si="54"/>
        <v>0</v>
      </c>
      <c r="Y889" t="str">
        <f t="shared" si="55"/>
        <v>Senior Citizen</v>
      </c>
    </row>
    <row r="890" spans="1:25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52"/>
        <v>37-48 Months</v>
      </c>
      <c r="W890">
        <f t="shared" si="53"/>
        <v>0</v>
      </c>
      <c r="X890">
        <f t="shared" si="54"/>
        <v>0</v>
      </c>
      <c r="Y890" t="str">
        <f t="shared" si="55"/>
        <v>Non-Senior</v>
      </c>
    </row>
    <row r="891" spans="1:25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52"/>
        <v>61-72 Months</v>
      </c>
      <c r="W891">
        <f t="shared" si="53"/>
        <v>1</v>
      </c>
      <c r="X891">
        <f t="shared" si="54"/>
        <v>100.55</v>
      </c>
      <c r="Y891" t="str">
        <f t="shared" si="55"/>
        <v>Non-Senior</v>
      </c>
    </row>
    <row r="892" spans="1:25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52"/>
        <v>25-36 Months</v>
      </c>
      <c r="W892">
        <f t="shared" si="53"/>
        <v>0</v>
      </c>
      <c r="X892">
        <f t="shared" si="54"/>
        <v>0</v>
      </c>
      <c r="Y892" t="str">
        <f t="shared" si="55"/>
        <v>Non-Senior</v>
      </c>
    </row>
    <row r="893" spans="1:25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52"/>
        <v>49-60 Months</v>
      </c>
      <c r="W893">
        <f t="shared" si="53"/>
        <v>1</v>
      </c>
      <c r="X893">
        <f t="shared" si="54"/>
        <v>103.85</v>
      </c>
      <c r="Y893" t="str">
        <f t="shared" si="55"/>
        <v>Non-Senior</v>
      </c>
    </row>
    <row r="894" spans="1:25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52"/>
        <v>25-36 Months</v>
      </c>
      <c r="W894">
        <f t="shared" si="53"/>
        <v>0</v>
      </c>
      <c r="X894">
        <f t="shared" si="54"/>
        <v>0</v>
      </c>
      <c r="Y894" t="str">
        <f t="shared" si="55"/>
        <v>Senior Citizen</v>
      </c>
    </row>
    <row r="895" spans="1:25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52"/>
        <v>0-12 Months</v>
      </c>
      <c r="W895">
        <f t="shared" si="53"/>
        <v>1</v>
      </c>
      <c r="X895">
        <f t="shared" si="54"/>
        <v>24.6</v>
      </c>
      <c r="Y895" t="str">
        <f t="shared" si="55"/>
        <v>Non-Senior</v>
      </c>
    </row>
    <row r="896" spans="1:25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52"/>
        <v>61-72 Months</v>
      </c>
      <c r="W896">
        <f t="shared" si="53"/>
        <v>0</v>
      </c>
      <c r="X896">
        <f t="shared" si="54"/>
        <v>0</v>
      </c>
      <c r="Y896" t="str">
        <f t="shared" si="55"/>
        <v>Non-Senior</v>
      </c>
    </row>
    <row r="897" spans="1:25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52"/>
        <v>25-36 Months</v>
      </c>
      <c r="W897">
        <f t="shared" si="53"/>
        <v>0</v>
      </c>
      <c r="X897">
        <f t="shared" si="54"/>
        <v>0</v>
      </c>
      <c r="Y897" t="str">
        <f t="shared" si="55"/>
        <v>Non-Senior</v>
      </c>
    </row>
    <row r="898" spans="1:25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si="52"/>
        <v>61-72 Months</v>
      </c>
      <c r="W898">
        <f t="shared" si="53"/>
        <v>0</v>
      </c>
      <c r="X898">
        <f t="shared" si="54"/>
        <v>0</v>
      </c>
      <c r="Y898" t="str">
        <f t="shared" si="55"/>
        <v>Non-Senior</v>
      </c>
    </row>
    <row r="899" spans="1:25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ref="V899:V962" si="56">IF(F899&lt;=12,"0-12 Months",IF(F899&lt;=24,"13-24 Months",IF(F899&lt;=36,"25-36 Months",IF(F899&lt;=48,"37-48 Months",IF(F899&lt;=60,"49-60 Months","61-72 Months")))))</f>
        <v>49-60 Months</v>
      </c>
      <c r="W899">
        <f t="shared" ref="W899:W962" si="57">IF(U899="Yes",1,0)</f>
        <v>0</v>
      </c>
      <c r="X899">
        <f t="shared" ref="X899:X962" si="58">IF(U899="Yes",S899,0)</f>
        <v>0</v>
      </c>
      <c r="Y899" t="str">
        <f t="shared" ref="Y899:Y962" si="59">IF(C899=1,"Senior Citizen","Non-Senior")</f>
        <v>Non-Senior</v>
      </c>
    </row>
    <row r="900" spans="1:25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56"/>
        <v>0-12 Months</v>
      </c>
      <c r="W900">
        <f t="shared" si="57"/>
        <v>1</v>
      </c>
      <c r="X900">
        <f t="shared" si="58"/>
        <v>98.9</v>
      </c>
      <c r="Y900" t="str">
        <f t="shared" si="59"/>
        <v>Non-Senior</v>
      </c>
    </row>
    <row r="901" spans="1:25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56"/>
        <v>49-60 Months</v>
      </c>
      <c r="W901">
        <f t="shared" si="57"/>
        <v>0</v>
      </c>
      <c r="X901">
        <f t="shared" si="58"/>
        <v>0</v>
      </c>
      <c r="Y901" t="str">
        <f t="shared" si="59"/>
        <v>Non-Senior</v>
      </c>
    </row>
    <row r="902" spans="1:25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7082</v>
      </c>
      <c r="J902" t="s">
        <v>7084</v>
      </c>
      <c r="K902" t="s">
        <v>46</v>
      </c>
      <c r="L902" t="s">
        <v>7084</v>
      </c>
      <c r="M902" t="s">
        <v>7084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56"/>
        <v>0-12 Months</v>
      </c>
      <c r="W902">
        <f t="shared" si="57"/>
        <v>0</v>
      </c>
      <c r="X902">
        <f t="shared" si="58"/>
        <v>0</v>
      </c>
      <c r="Y902" t="str">
        <f t="shared" si="59"/>
        <v>Non-Senior</v>
      </c>
    </row>
    <row r="903" spans="1:25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56"/>
        <v>0-12 Months</v>
      </c>
      <c r="W903">
        <f t="shared" si="57"/>
        <v>1</v>
      </c>
      <c r="X903">
        <f t="shared" si="58"/>
        <v>98.3</v>
      </c>
      <c r="Y903" t="str">
        <f t="shared" si="59"/>
        <v>Non-Senior</v>
      </c>
    </row>
    <row r="904" spans="1:25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56"/>
        <v>13-24 Months</v>
      </c>
      <c r="W904">
        <f t="shared" si="57"/>
        <v>1</v>
      </c>
      <c r="X904">
        <f t="shared" si="58"/>
        <v>93.85</v>
      </c>
      <c r="Y904" t="str">
        <f t="shared" si="59"/>
        <v>Non-Senior</v>
      </c>
    </row>
    <row r="905" spans="1:25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56"/>
        <v>49-60 Months</v>
      </c>
      <c r="W905">
        <f t="shared" si="57"/>
        <v>0</v>
      </c>
      <c r="X905">
        <f t="shared" si="58"/>
        <v>0</v>
      </c>
      <c r="Y905" t="str">
        <f t="shared" si="59"/>
        <v>Non-Senior</v>
      </c>
    </row>
    <row r="906" spans="1:25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56"/>
        <v>61-72 Months</v>
      </c>
      <c r="W906">
        <f t="shared" si="57"/>
        <v>0</v>
      </c>
      <c r="X906">
        <f t="shared" si="58"/>
        <v>0</v>
      </c>
      <c r="Y906" t="str">
        <f t="shared" si="59"/>
        <v>Non-Senior</v>
      </c>
    </row>
    <row r="907" spans="1:25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56"/>
        <v>0-12 Months</v>
      </c>
      <c r="W907">
        <f t="shared" si="57"/>
        <v>1</v>
      </c>
      <c r="X907">
        <f t="shared" si="58"/>
        <v>100.5</v>
      </c>
      <c r="Y907" t="str">
        <f t="shared" si="59"/>
        <v>Senior Citizen</v>
      </c>
    </row>
    <row r="908" spans="1:25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56"/>
        <v>0-12 Months</v>
      </c>
      <c r="W908">
        <f t="shared" si="57"/>
        <v>0</v>
      </c>
      <c r="X908">
        <f t="shared" si="58"/>
        <v>0</v>
      </c>
      <c r="Y908" t="str">
        <f t="shared" si="59"/>
        <v>Non-Senior</v>
      </c>
    </row>
    <row r="909" spans="1:25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56"/>
        <v>13-24 Months</v>
      </c>
      <c r="W909">
        <f t="shared" si="57"/>
        <v>0</v>
      </c>
      <c r="X909">
        <f t="shared" si="58"/>
        <v>0</v>
      </c>
      <c r="Y909" t="str">
        <f t="shared" si="59"/>
        <v>Non-Senior</v>
      </c>
    </row>
    <row r="910" spans="1:25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7082</v>
      </c>
      <c r="J910" t="s">
        <v>7084</v>
      </c>
      <c r="K910" t="s">
        <v>46</v>
      </c>
      <c r="L910" t="s">
        <v>7084</v>
      </c>
      <c r="M910" t="s">
        <v>7084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56"/>
        <v>0-12 Months</v>
      </c>
      <c r="W910">
        <f t="shared" si="57"/>
        <v>0</v>
      </c>
      <c r="X910">
        <f t="shared" si="58"/>
        <v>0</v>
      </c>
      <c r="Y910" t="str">
        <f t="shared" si="59"/>
        <v>Non-Senior</v>
      </c>
    </row>
    <row r="911" spans="1:25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56"/>
        <v>61-72 Months</v>
      </c>
      <c r="W911">
        <f t="shared" si="57"/>
        <v>0</v>
      </c>
      <c r="X911">
        <f t="shared" si="58"/>
        <v>0</v>
      </c>
      <c r="Y911" t="str">
        <f t="shared" si="59"/>
        <v>Non-Senior</v>
      </c>
    </row>
    <row r="912" spans="1:25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56"/>
        <v>0-12 Months</v>
      </c>
      <c r="W912">
        <f t="shared" si="57"/>
        <v>1</v>
      </c>
      <c r="X912">
        <f t="shared" si="58"/>
        <v>72.849999999999994</v>
      </c>
      <c r="Y912" t="str">
        <f t="shared" si="59"/>
        <v>Senior Citizen</v>
      </c>
    </row>
    <row r="913" spans="1:25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56"/>
        <v>13-24 Months</v>
      </c>
      <c r="W913">
        <f t="shared" si="57"/>
        <v>0</v>
      </c>
      <c r="X913">
        <f t="shared" si="58"/>
        <v>0</v>
      </c>
      <c r="Y913" t="str">
        <f t="shared" si="59"/>
        <v>Senior Citizen</v>
      </c>
    </row>
    <row r="914" spans="1:25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56"/>
        <v>61-72 Months</v>
      </c>
      <c r="W914">
        <f t="shared" si="57"/>
        <v>0</v>
      </c>
      <c r="X914">
        <f t="shared" si="58"/>
        <v>0</v>
      </c>
      <c r="Y914" t="str">
        <f t="shared" si="59"/>
        <v>Non-Senior</v>
      </c>
    </row>
    <row r="915" spans="1:25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7082</v>
      </c>
      <c r="J915" t="s">
        <v>7084</v>
      </c>
      <c r="K915" t="s">
        <v>46</v>
      </c>
      <c r="L915" t="s">
        <v>7084</v>
      </c>
      <c r="M915" t="s">
        <v>7084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56"/>
        <v>0-12 Months</v>
      </c>
      <c r="W915">
        <f t="shared" si="57"/>
        <v>0</v>
      </c>
      <c r="X915">
        <f t="shared" si="58"/>
        <v>0</v>
      </c>
      <c r="Y915" t="str">
        <f t="shared" si="59"/>
        <v>Non-Senior</v>
      </c>
    </row>
    <row r="916" spans="1:25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7082</v>
      </c>
      <c r="J916" t="s">
        <v>7084</v>
      </c>
      <c r="K916" t="s">
        <v>46</v>
      </c>
      <c r="L916" t="s">
        <v>7084</v>
      </c>
      <c r="M916" t="s">
        <v>7084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56"/>
        <v>61-72 Months</v>
      </c>
      <c r="W916">
        <f t="shared" si="57"/>
        <v>0</v>
      </c>
      <c r="X916">
        <f t="shared" si="58"/>
        <v>0</v>
      </c>
      <c r="Y916" t="str">
        <f t="shared" si="59"/>
        <v>Non-Senior</v>
      </c>
    </row>
    <row r="917" spans="1:25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56"/>
        <v>0-12 Months</v>
      </c>
      <c r="W917">
        <f t="shared" si="57"/>
        <v>1</v>
      </c>
      <c r="X917">
        <f t="shared" si="58"/>
        <v>73.55</v>
      </c>
      <c r="Y917" t="str">
        <f t="shared" si="59"/>
        <v>Senior Citizen</v>
      </c>
    </row>
    <row r="918" spans="1:25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56"/>
        <v>13-24 Months</v>
      </c>
      <c r="W918">
        <f t="shared" si="57"/>
        <v>0</v>
      </c>
      <c r="X918">
        <f t="shared" si="58"/>
        <v>0</v>
      </c>
      <c r="Y918" t="str">
        <f t="shared" si="59"/>
        <v>Senior Citizen</v>
      </c>
    </row>
    <row r="919" spans="1:25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56"/>
        <v>61-72 Months</v>
      </c>
      <c r="W919">
        <f t="shared" si="57"/>
        <v>0</v>
      </c>
      <c r="X919">
        <f t="shared" si="58"/>
        <v>0</v>
      </c>
      <c r="Y919" t="str">
        <f t="shared" si="59"/>
        <v>Non-Senior</v>
      </c>
    </row>
    <row r="920" spans="1:25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56"/>
        <v>25-36 Months</v>
      </c>
      <c r="W920">
        <f t="shared" si="57"/>
        <v>0</v>
      </c>
      <c r="X920">
        <f t="shared" si="58"/>
        <v>0</v>
      </c>
      <c r="Y920" t="str">
        <f t="shared" si="59"/>
        <v>Non-Senior</v>
      </c>
    </row>
    <row r="921" spans="1:25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56"/>
        <v>13-24 Months</v>
      </c>
      <c r="W921">
        <f t="shared" si="57"/>
        <v>0</v>
      </c>
      <c r="X921">
        <f t="shared" si="58"/>
        <v>0</v>
      </c>
      <c r="Y921" t="str">
        <f t="shared" si="59"/>
        <v>Non-Senior</v>
      </c>
    </row>
    <row r="922" spans="1:25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7082</v>
      </c>
      <c r="J922" t="s">
        <v>7084</v>
      </c>
      <c r="K922" t="s">
        <v>46</v>
      </c>
      <c r="L922" t="s">
        <v>7084</v>
      </c>
      <c r="M922" t="s">
        <v>7084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56"/>
        <v>49-60 Months</v>
      </c>
      <c r="W922">
        <f t="shared" si="57"/>
        <v>0</v>
      </c>
      <c r="X922">
        <f t="shared" si="58"/>
        <v>0</v>
      </c>
      <c r="Y922" t="str">
        <f t="shared" si="59"/>
        <v>Non-Senior</v>
      </c>
    </row>
    <row r="923" spans="1:25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7082</v>
      </c>
      <c r="J923" t="s">
        <v>7084</v>
      </c>
      <c r="K923" t="s">
        <v>46</v>
      </c>
      <c r="L923" t="s">
        <v>7084</v>
      </c>
      <c r="M923" t="s">
        <v>7084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56"/>
        <v>0-12 Months</v>
      </c>
      <c r="W923">
        <f t="shared" si="57"/>
        <v>0</v>
      </c>
      <c r="X923">
        <f t="shared" si="58"/>
        <v>0</v>
      </c>
      <c r="Y923" t="str">
        <f t="shared" si="59"/>
        <v>Non-Senior</v>
      </c>
    </row>
    <row r="924" spans="1:25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56"/>
        <v>13-24 Months</v>
      </c>
      <c r="W924">
        <f t="shared" si="57"/>
        <v>0</v>
      </c>
      <c r="X924">
        <f t="shared" si="58"/>
        <v>0</v>
      </c>
      <c r="Y924" t="str">
        <f t="shared" si="59"/>
        <v>Non-Senior</v>
      </c>
    </row>
    <row r="925" spans="1:25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56"/>
        <v>61-72 Months</v>
      </c>
      <c r="W925">
        <f t="shared" si="57"/>
        <v>0</v>
      </c>
      <c r="X925">
        <f t="shared" si="58"/>
        <v>0</v>
      </c>
      <c r="Y925" t="str">
        <f t="shared" si="59"/>
        <v>Non-Senior</v>
      </c>
    </row>
    <row r="926" spans="1:25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56"/>
        <v>13-24 Months</v>
      </c>
      <c r="W926">
        <f t="shared" si="57"/>
        <v>0</v>
      </c>
      <c r="X926">
        <f t="shared" si="58"/>
        <v>0</v>
      </c>
      <c r="Y926" t="str">
        <f t="shared" si="59"/>
        <v>Senior Citizen</v>
      </c>
    </row>
    <row r="927" spans="1:25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56"/>
        <v>25-36 Months</v>
      </c>
      <c r="W927">
        <f t="shared" si="57"/>
        <v>0</v>
      </c>
      <c r="X927">
        <f t="shared" si="58"/>
        <v>0</v>
      </c>
      <c r="Y927" t="str">
        <f t="shared" si="59"/>
        <v>Non-Senior</v>
      </c>
    </row>
    <row r="928" spans="1:25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56"/>
        <v>0-12 Months</v>
      </c>
      <c r="W928">
        <f t="shared" si="57"/>
        <v>1</v>
      </c>
      <c r="X928">
        <f t="shared" si="58"/>
        <v>79.400000000000006</v>
      </c>
      <c r="Y928" t="str">
        <f t="shared" si="59"/>
        <v>Senior Citizen</v>
      </c>
    </row>
    <row r="929" spans="1:25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56"/>
        <v>13-24 Months</v>
      </c>
      <c r="W929">
        <f t="shared" si="57"/>
        <v>1</v>
      </c>
      <c r="X929">
        <f t="shared" si="58"/>
        <v>81.150000000000006</v>
      </c>
      <c r="Y929" t="str">
        <f t="shared" si="59"/>
        <v>Non-Senior</v>
      </c>
    </row>
    <row r="930" spans="1:25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56"/>
        <v>61-72 Months</v>
      </c>
      <c r="W930">
        <f t="shared" si="57"/>
        <v>0</v>
      </c>
      <c r="X930">
        <f t="shared" si="58"/>
        <v>0</v>
      </c>
      <c r="Y930" t="str">
        <f t="shared" si="59"/>
        <v>Non-Senior</v>
      </c>
    </row>
    <row r="931" spans="1:25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56"/>
        <v>25-36 Months</v>
      </c>
      <c r="W931">
        <f t="shared" si="57"/>
        <v>0</v>
      </c>
      <c r="X931">
        <f t="shared" si="58"/>
        <v>0</v>
      </c>
      <c r="Y931" t="str">
        <f t="shared" si="59"/>
        <v>Non-Senior</v>
      </c>
    </row>
    <row r="932" spans="1:25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56"/>
        <v>13-24 Months</v>
      </c>
      <c r="W932">
        <f t="shared" si="57"/>
        <v>0</v>
      </c>
      <c r="X932">
        <f t="shared" si="58"/>
        <v>0</v>
      </c>
      <c r="Y932" t="str">
        <f t="shared" si="59"/>
        <v>Non-Senior</v>
      </c>
    </row>
    <row r="933" spans="1:25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56"/>
        <v>25-36 Months</v>
      </c>
      <c r="W933">
        <f t="shared" si="57"/>
        <v>0</v>
      </c>
      <c r="X933">
        <f t="shared" si="58"/>
        <v>0</v>
      </c>
      <c r="Y933" t="str">
        <f t="shared" si="59"/>
        <v>Non-Senior</v>
      </c>
    </row>
    <row r="934" spans="1:25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7082</v>
      </c>
      <c r="J934" t="s">
        <v>7084</v>
      </c>
      <c r="K934" t="s">
        <v>46</v>
      </c>
      <c r="L934" t="s">
        <v>7084</v>
      </c>
      <c r="M934" t="s">
        <v>7084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56"/>
        <v>61-72 Months</v>
      </c>
      <c r="W934">
        <f t="shared" si="57"/>
        <v>0</v>
      </c>
      <c r="X934">
        <f t="shared" si="58"/>
        <v>0</v>
      </c>
      <c r="Y934" t="str">
        <f t="shared" si="59"/>
        <v>Non-Senior</v>
      </c>
    </row>
    <row r="935" spans="1:25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56"/>
        <v>0-12 Months</v>
      </c>
      <c r="W935">
        <f t="shared" si="57"/>
        <v>1</v>
      </c>
      <c r="X935">
        <f t="shared" si="58"/>
        <v>84.6</v>
      </c>
      <c r="Y935" t="str">
        <f t="shared" si="59"/>
        <v>Senior Citizen</v>
      </c>
    </row>
    <row r="936" spans="1:25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56"/>
        <v>0-12 Months</v>
      </c>
      <c r="W936">
        <f t="shared" si="57"/>
        <v>0</v>
      </c>
      <c r="X936">
        <f t="shared" si="58"/>
        <v>0</v>
      </c>
      <c r="Y936" t="str">
        <f t="shared" si="59"/>
        <v>Non-Senior</v>
      </c>
    </row>
    <row r="937" spans="1:25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56"/>
        <v>0-12 Months</v>
      </c>
      <c r="W937">
        <f t="shared" si="57"/>
        <v>0</v>
      </c>
      <c r="X937">
        <f t="shared" si="58"/>
        <v>0</v>
      </c>
      <c r="Y937" t="str">
        <f t="shared" si="59"/>
        <v>Senior Citizen</v>
      </c>
    </row>
    <row r="938" spans="1:25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 t="str">
        <f t="shared" si="56"/>
        <v>0-12 Months</v>
      </c>
      <c r="W938">
        <f t="shared" si="57"/>
        <v>0</v>
      </c>
      <c r="X938">
        <f t="shared" si="58"/>
        <v>0</v>
      </c>
      <c r="Y938" t="str">
        <f t="shared" si="59"/>
        <v>Non-Senior</v>
      </c>
    </row>
    <row r="939" spans="1:25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56"/>
        <v>0-12 Months</v>
      </c>
      <c r="W939">
        <f t="shared" si="57"/>
        <v>1</v>
      </c>
      <c r="X939">
        <f t="shared" si="58"/>
        <v>79.05</v>
      </c>
      <c r="Y939" t="str">
        <f t="shared" si="59"/>
        <v>Non-Senior</v>
      </c>
    </row>
    <row r="940" spans="1:25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56"/>
        <v>61-72 Months</v>
      </c>
      <c r="W940">
        <f t="shared" si="57"/>
        <v>0</v>
      </c>
      <c r="X940">
        <f t="shared" si="58"/>
        <v>0</v>
      </c>
      <c r="Y940" t="str">
        <f t="shared" si="59"/>
        <v>Non-Senior</v>
      </c>
    </row>
    <row r="941" spans="1:25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7082</v>
      </c>
      <c r="J941" t="s">
        <v>7084</v>
      </c>
      <c r="K941" t="s">
        <v>46</v>
      </c>
      <c r="L941" t="s">
        <v>7084</v>
      </c>
      <c r="M941" t="s">
        <v>7084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56"/>
        <v>13-24 Months</v>
      </c>
      <c r="W941">
        <f t="shared" si="57"/>
        <v>0</v>
      </c>
      <c r="X941">
        <f t="shared" si="58"/>
        <v>0</v>
      </c>
      <c r="Y941" t="str">
        <f t="shared" si="59"/>
        <v>Non-Senior</v>
      </c>
    </row>
    <row r="942" spans="1:25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7082</v>
      </c>
      <c r="J942" t="s">
        <v>7084</v>
      </c>
      <c r="K942" t="s">
        <v>46</v>
      </c>
      <c r="L942" t="s">
        <v>7084</v>
      </c>
      <c r="M942" t="s">
        <v>7084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56"/>
        <v>13-24 Months</v>
      </c>
      <c r="W942">
        <f t="shared" si="57"/>
        <v>0</v>
      </c>
      <c r="X942">
        <f t="shared" si="58"/>
        <v>0</v>
      </c>
      <c r="Y942" t="str">
        <f t="shared" si="59"/>
        <v>Non-Senior</v>
      </c>
    </row>
    <row r="943" spans="1:25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56"/>
        <v>13-24 Months</v>
      </c>
      <c r="W943">
        <f t="shared" si="57"/>
        <v>0</v>
      </c>
      <c r="X943">
        <f t="shared" si="58"/>
        <v>0</v>
      </c>
      <c r="Y943" t="str">
        <f t="shared" si="59"/>
        <v>Non-Senior</v>
      </c>
    </row>
    <row r="944" spans="1:25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56"/>
        <v>13-24 Months</v>
      </c>
      <c r="W944">
        <f t="shared" si="57"/>
        <v>0</v>
      </c>
      <c r="X944">
        <f t="shared" si="58"/>
        <v>0</v>
      </c>
      <c r="Y944" t="str">
        <f t="shared" si="59"/>
        <v>Non-Senior</v>
      </c>
    </row>
    <row r="945" spans="1:25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56"/>
        <v>61-72 Months</v>
      </c>
      <c r="W945">
        <f t="shared" si="57"/>
        <v>0</v>
      </c>
      <c r="X945">
        <f t="shared" si="58"/>
        <v>0</v>
      </c>
      <c r="Y945" t="str">
        <f t="shared" si="59"/>
        <v>Non-Senior</v>
      </c>
    </row>
    <row r="946" spans="1:25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56"/>
        <v>49-60 Months</v>
      </c>
      <c r="W946">
        <f t="shared" si="57"/>
        <v>0</v>
      </c>
      <c r="X946">
        <f t="shared" si="58"/>
        <v>0</v>
      </c>
      <c r="Y946" t="str">
        <f t="shared" si="59"/>
        <v>Non-Senior</v>
      </c>
    </row>
    <row r="947" spans="1:25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56"/>
        <v>0-12 Months</v>
      </c>
      <c r="W947">
        <f t="shared" si="57"/>
        <v>1</v>
      </c>
      <c r="X947">
        <f t="shared" si="58"/>
        <v>74.400000000000006</v>
      </c>
      <c r="Y947" t="str">
        <f t="shared" si="59"/>
        <v>Non-Senior</v>
      </c>
    </row>
    <row r="948" spans="1:25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7082</v>
      </c>
      <c r="J948" t="s">
        <v>7084</v>
      </c>
      <c r="K948" t="s">
        <v>46</v>
      </c>
      <c r="L948" t="s">
        <v>7084</v>
      </c>
      <c r="M948" t="s">
        <v>7084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56"/>
        <v>0-12 Months</v>
      </c>
      <c r="W948">
        <f t="shared" si="57"/>
        <v>0</v>
      </c>
      <c r="X948">
        <f t="shared" si="58"/>
        <v>0</v>
      </c>
      <c r="Y948" t="str">
        <f t="shared" si="59"/>
        <v>Non-Senior</v>
      </c>
    </row>
    <row r="949" spans="1:25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56"/>
        <v>25-36 Months</v>
      </c>
      <c r="W949">
        <f t="shared" si="57"/>
        <v>0</v>
      </c>
      <c r="X949">
        <f t="shared" si="58"/>
        <v>0</v>
      </c>
      <c r="Y949" t="str">
        <f t="shared" si="59"/>
        <v>Senior Citizen</v>
      </c>
    </row>
    <row r="950" spans="1:25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56"/>
        <v>25-36 Months</v>
      </c>
      <c r="W950">
        <f t="shared" si="57"/>
        <v>1</v>
      </c>
      <c r="X950">
        <f t="shared" si="58"/>
        <v>99.05</v>
      </c>
      <c r="Y950" t="str">
        <f t="shared" si="59"/>
        <v>Senior Citizen</v>
      </c>
    </row>
    <row r="951" spans="1:25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7082</v>
      </c>
      <c r="J951" t="s">
        <v>7084</v>
      </c>
      <c r="K951" t="s">
        <v>46</v>
      </c>
      <c r="L951" t="s">
        <v>7084</v>
      </c>
      <c r="M951" t="s">
        <v>7084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56"/>
        <v>25-36 Months</v>
      </c>
      <c r="W951">
        <f t="shared" si="57"/>
        <v>0</v>
      </c>
      <c r="X951">
        <f t="shared" si="58"/>
        <v>0</v>
      </c>
      <c r="Y951" t="str">
        <f t="shared" si="59"/>
        <v>Non-Senior</v>
      </c>
    </row>
    <row r="952" spans="1:25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56"/>
        <v>0-12 Months</v>
      </c>
      <c r="W952">
        <f t="shared" si="57"/>
        <v>1</v>
      </c>
      <c r="X952">
        <f t="shared" si="58"/>
        <v>44.95</v>
      </c>
      <c r="Y952" t="str">
        <f t="shared" si="59"/>
        <v>Senior Citizen</v>
      </c>
    </row>
    <row r="953" spans="1:25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56"/>
        <v>0-12 Months</v>
      </c>
      <c r="W953">
        <f t="shared" si="57"/>
        <v>0</v>
      </c>
      <c r="X953">
        <f t="shared" si="58"/>
        <v>0</v>
      </c>
      <c r="Y953" t="str">
        <f t="shared" si="59"/>
        <v>Non-Senior</v>
      </c>
    </row>
    <row r="954" spans="1:25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56"/>
        <v>13-24 Months</v>
      </c>
      <c r="W954">
        <f t="shared" si="57"/>
        <v>0</v>
      </c>
      <c r="X954">
        <f t="shared" si="58"/>
        <v>0</v>
      </c>
      <c r="Y954" t="str">
        <f t="shared" si="59"/>
        <v>Non-Senior</v>
      </c>
    </row>
    <row r="955" spans="1:25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56"/>
        <v>13-24 Months</v>
      </c>
      <c r="W955">
        <f t="shared" si="57"/>
        <v>0</v>
      </c>
      <c r="X955">
        <f t="shared" si="58"/>
        <v>0</v>
      </c>
      <c r="Y955" t="str">
        <f t="shared" si="59"/>
        <v>Non-Senior</v>
      </c>
    </row>
    <row r="956" spans="1:25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56"/>
        <v>13-24 Months</v>
      </c>
      <c r="W956">
        <f t="shared" si="57"/>
        <v>0</v>
      </c>
      <c r="X956">
        <f t="shared" si="58"/>
        <v>0</v>
      </c>
      <c r="Y956" t="str">
        <f t="shared" si="59"/>
        <v>Non-Senior</v>
      </c>
    </row>
    <row r="957" spans="1:25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56"/>
        <v>0-12 Months</v>
      </c>
      <c r="W957">
        <f t="shared" si="57"/>
        <v>1</v>
      </c>
      <c r="X957">
        <f t="shared" si="58"/>
        <v>44.7</v>
      </c>
      <c r="Y957" t="str">
        <f t="shared" si="59"/>
        <v>Non-Senior</v>
      </c>
    </row>
    <row r="958" spans="1:25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7082</v>
      </c>
      <c r="J958" t="s">
        <v>7084</v>
      </c>
      <c r="K958" t="s">
        <v>46</v>
      </c>
      <c r="L958" t="s">
        <v>7084</v>
      </c>
      <c r="M958" t="s">
        <v>7084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56"/>
        <v>61-72 Months</v>
      </c>
      <c r="W958">
        <f t="shared" si="57"/>
        <v>0</v>
      </c>
      <c r="X958">
        <f t="shared" si="58"/>
        <v>0</v>
      </c>
      <c r="Y958" t="str">
        <f t="shared" si="59"/>
        <v>Non-Senior</v>
      </c>
    </row>
    <row r="959" spans="1:25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56"/>
        <v>0-12 Months</v>
      </c>
      <c r="W959">
        <f t="shared" si="57"/>
        <v>0</v>
      </c>
      <c r="X959">
        <f t="shared" si="58"/>
        <v>0</v>
      </c>
      <c r="Y959" t="str">
        <f t="shared" si="59"/>
        <v>Non-Senior</v>
      </c>
    </row>
    <row r="960" spans="1:25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56"/>
        <v>25-36 Months</v>
      </c>
      <c r="W960">
        <f t="shared" si="57"/>
        <v>0</v>
      </c>
      <c r="X960">
        <f t="shared" si="58"/>
        <v>0</v>
      </c>
      <c r="Y960" t="str">
        <f t="shared" si="59"/>
        <v>Non-Senior</v>
      </c>
    </row>
    <row r="961" spans="1:25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56"/>
        <v>25-36 Months</v>
      </c>
      <c r="W961">
        <f t="shared" si="57"/>
        <v>0</v>
      </c>
      <c r="X961">
        <f t="shared" si="58"/>
        <v>0</v>
      </c>
      <c r="Y961" t="str">
        <f t="shared" si="59"/>
        <v>Non-Senior</v>
      </c>
    </row>
    <row r="962" spans="1:25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si="56"/>
        <v>0-12 Months</v>
      </c>
      <c r="W962">
        <f t="shared" si="57"/>
        <v>0</v>
      </c>
      <c r="X962">
        <f t="shared" si="58"/>
        <v>0</v>
      </c>
      <c r="Y962" t="str">
        <f t="shared" si="59"/>
        <v>Senior Citizen</v>
      </c>
    </row>
    <row r="963" spans="1:25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7082</v>
      </c>
      <c r="J963" t="s">
        <v>7084</v>
      </c>
      <c r="K963" t="s">
        <v>46</v>
      </c>
      <c r="L963" t="s">
        <v>7084</v>
      </c>
      <c r="M963" t="s">
        <v>7084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ref="V963:V1026" si="60">IF(F963&lt;=12,"0-12 Months",IF(F963&lt;=24,"13-24 Months",IF(F963&lt;=36,"25-36 Months",IF(F963&lt;=48,"37-48 Months",IF(F963&lt;=60,"49-60 Months","61-72 Months")))))</f>
        <v>13-24 Months</v>
      </c>
      <c r="W963">
        <f t="shared" ref="W963:W1026" si="61">IF(U963="Yes",1,0)</f>
        <v>0</v>
      </c>
      <c r="X963">
        <f t="shared" ref="X963:X1026" si="62">IF(U963="Yes",S963,0)</f>
        <v>0</v>
      </c>
      <c r="Y963" t="str">
        <f t="shared" ref="Y963:Y1026" si="63">IF(C963=1,"Senior Citizen","Non-Senior")</f>
        <v>Non-Senior</v>
      </c>
    </row>
    <row r="964" spans="1:25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60"/>
        <v>0-12 Months</v>
      </c>
      <c r="W964">
        <f t="shared" si="61"/>
        <v>0</v>
      </c>
      <c r="X964">
        <f t="shared" si="62"/>
        <v>0</v>
      </c>
      <c r="Y964" t="str">
        <f t="shared" si="63"/>
        <v>Senior Citizen</v>
      </c>
    </row>
    <row r="965" spans="1:25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60"/>
        <v>49-60 Months</v>
      </c>
      <c r="W965">
        <f t="shared" si="61"/>
        <v>0</v>
      </c>
      <c r="X965">
        <f t="shared" si="62"/>
        <v>0</v>
      </c>
      <c r="Y965" t="str">
        <f t="shared" si="63"/>
        <v>Senior Citizen</v>
      </c>
    </row>
    <row r="966" spans="1:25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60"/>
        <v>0-12 Months</v>
      </c>
      <c r="W966">
        <f t="shared" si="61"/>
        <v>1</v>
      </c>
      <c r="X966">
        <f t="shared" si="62"/>
        <v>45.7</v>
      </c>
      <c r="Y966" t="str">
        <f t="shared" si="63"/>
        <v>Non-Senior</v>
      </c>
    </row>
    <row r="967" spans="1:25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60"/>
        <v>0-12 Months</v>
      </c>
      <c r="W967">
        <f t="shared" si="61"/>
        <v>1</v>
      </c>
      <c r="X967">
        <f t="shared" si="62"/>
        <v>100.3</v>
      </c>
      <c r="Y967" t="str">
        <f t="shared" si="63"/>
        <v>Senior Citizen</v>
      </c>
    </row>
    <row r="968" spans="1:25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7082</v>
      </c>
      <c r="J968" t="s">
        <v>7084</v>
      </c>
      <c r="K968" t="s">
        <v>46</v>
      </c>
      <c r="L968" t="s">
        <v>7084</v>
      </c>
      <c r="M968" t="s">
        <v>7084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60"/>
        <v>0-12 Months</v>
      </c>
      <c r="W968">
        <f t="shared" si="61"/>
        <v>1</v>
      </c>
      <c r="X968">
        <f t="shared" si="62"/>
        <v>19.25</v>
      </c>
      <c r="Y968" t="str">
        <f t="shared" si="63"/>
        <v>Non-Senior</v>
      </c>
    </row>
    <row r="969" spans="1:25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7082</v>
      </c>
      <c r="J969" t="s">
        <v>7084</v>
      </c>
      <c r="K969" t="s">
        <v>46</v>
      </c>
      <c r="L969" t="s">
        <v>7084</v>
      </c>
      <c r="M969" t="s">
        <v>7084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60"/>
        <v>0-12 Months</v>
      </c>
      <c r="W969">
        <f t="shared" si="61"/>
        <v>0</v>
      </c>
      <c r="X969">
        <f t="shared" si="62"/>
        <v>0</v>
      </c>
      <c r="Y969" t="str">
        <f t="shared" si="63"/>
        <v>Non-Senior</v>
      </c>
    </row>
    <row r="970" spans="1:25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60"/>
        <v>61-72 Months</v>
      </c>
      <c r="W970">
        <f t="shared" si="61"/>
        <v>0</v>
      </c>
      <c r="X970">
        <f t="shared" si="62"/>
        <v>0</v>
      </c>
      <c r="Y970" t="str">
        <f t="shared" si="63"/>
        <v>Non-Senior</v>
      </c>
    </row>
    <row r="971" spans="1:25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60"/>
        <v>0-12 Months</v>
      </c>
      <c r="W971">
        <f t="shared" si="61"/>
        <v>1</v>
      </c>
      <c r="X971">
        <f t="shared" si="62"/>
        <v>96</v>
      </c>
      <c r="Y971" t="str">
        <f t="shared" si="63"/>
        <v>Non-Senior</v>
      </c>
    </row>
    <row r="972" spans="1:25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60"/>
        <v>0-12 Months</v>
      </c>
      <c r="W972">
        <f t="shared" si="61"/>
        <v>1</v>
      </c>
      <c r="X972">
        <f t="shared" si="62"/>
        <v>90.55</v>
      </c>
      <c r="Y972" t="str">
        <f t="shared" si="63"/>
        <v>Non-Senior</v>
      </c>
    </row>
    <row r="973" spans="1:25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60"/>
        <v>49-60 Months</v>
      </c>
      <c r="W973">
        <f t="shared" si="61"/>
        <v>0</v>
      </c>
      <c r="X973">
        <f t="shared" si="62"/>
        <v>0</v>
      </c>
      <c r="Y973" t="str">
        <f t="shared" si="63"/>
        <v>Non-Senior</v>
      </c>
    </row>
    <row r="974" spans="1:25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60"/>
        <v>49-60 Months</v>
      </c>
      <c r="W974">
        <f t="shared" si="61"/>
        <v>0</v>
      </c>
      <c r="X974">
        <f t="shared" si="62"/>
        <v>0</v>
      </c>
      <c r="Y974" t="str">
        <f t="shared" si="63"/>
        <v>Non-Senior</v>
      </c>
    </row>
    <row r="975" spans="1:25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60"/>
        <v>37-48 Months</v>
      </c>
      <c r="W975">
        <f t="shared" si="61"/>
        <v>1</v>
      </c>
      <c r="X975">
        <f t="shared" si="62"/>
        <v>30.35</v>
      </c>
      <c r="Y975" t="str">
        <f t="shared" si="63"/>
        <v>Senior Citizen</v>
      </c>
    </row>
    <row r="976" spans="1:25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60"/>
        <v>49-60 Months</v>
      </c>
      <c r="W976">
        <f t="shared" si="61"/>
        <v>0</v>
      </c>
      <c r="X976">
        <f t="shared" si="62"/>
        <v>0</v>
      </c>
      <c r="Y976" t="str">
        <f t="shared" si="63"/>
        <v>Non-Senior</v>
      </c>
    </row>
    <row r="977" spans="1:25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60"/>
        <v>61-72 Months</v>
      </c>
      <c r="W977">
        <f t="shared" si="61"/>
        <v>1</v>
      </c>
      <c r="X977">
        <f t="shared" si="62"/>
        <v>108.05</v>
      </c>
      <c r="Y977" t="str">
        <f t="shared" si="63"/>
        <v>Non-Senior</v>
      </c>
    </row>
    <row r="978" spans="1:25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60"/>
        <v>0-12 Months</v>
      </c>
      <c r="W978">
        <f t="shared" si="61"/>
        <v>1</v>
      </c>
      <c r="X978">
        <f t="shared" si="62"/>
        <v>69.900000000000006</v>
      </c>
      <c r="Y978" t="str">
        <f t="shared" si="63"/>
        <v>Non-Senior</v>
      </c>
    </row>
    <row r="979" spans="1:25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60"/>
        <v>0-12 Months</v>
      </c>
      <c r="W979">
        <f t="shared" si="61"/>
        <v>0</v>
      </c>
      <c r="X979">
        <f t="shared" si="62"/>
        <v>0</v>
      </c>
      <c r="Y979" t="str">
        <f t="shared" si="63"/>
        <v>Non-Senior</v>
      </c>
    </row>
    <row r="980" spans="1:25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60"/>
        <v>61-72 Months</v>
      </c>
      <c r="W980">
        <f t="shared" si="61"/>
        <v>1</v>
      </c>
      <c r="X980">
        <f t="shared" si="62"/>
        <v>103.75</v>
      </c>
      <c r="Y980" t="str">
        <f t="shared" si="63"/>
        <v>Senior Citizen</v>
      </c>
    </row>
    <row r="981" spans="1:25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60"/>
        <v>25-36 Months</v>
      </c>
      <c r="W981">
        <f t="shared" si="61"/>
        <v>0</v>
      </c>
      <c r="X981">
        <f t="shared" si="62"/>
        <v>0</v>
      </c>
      <c r="Y981" t="str">
        <f t="shared" si="63"/>
        <v>Non-Senior</v>
      </c>
    </row>
    <row r="982" spans="1:25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7082</v>
      </c>
      <c r="J982" t="s">
        <v>7084</v>
      </c>
      <c r="K982" t="s">
        <v>46</v>
      </c>
      <c r="L982" t="s">
        <v>7084</v>
      </c>
      <c r="M982" t="s">
        <v>7084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60"/>
        <v>13-24 Months</v>
      </c>
      <c r="W982">
        <f t="shared" si="61"/>
        <v>0</v>
      </c>
      <c r="X982">
        <f t="shared" si="62"/>
        <v>0</v>
      </c>
      <c r="Y982" t="str">
        <f t="shared" si="63"/>
        <v>Non-Senior</v>
      </c>
    </row>
    <row r="983" spans="1:25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7082</v>
      </c>
      <c r="J983" t="s">
        <v>7084</v>
      </c>
      <c r="K983" t="s">
        <v>46</v>
      </c>
      <c r="L983" t="s">
        <v>7084</v>
      </c>
      <c r="M983" t="s">
        <v>7084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60"/>
        <v>37-48 Months</v>
      </c>
      <c r="W983">
        <f t="shared" si="61"/>
        <v>0</v>
      </c>
      <c r="X983">
        <f t="shared" si="62"/>
        <v>0</v>
      </c>
      <c r="Y983" t="str">
        <f t="shared" si="63"/>
        <v>Non-Senior</v>
      </c>
    </row>
    <row r="984" spans="1:25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60"/>
        <v>37-48 Months</v>
      </c>
      <c r="W984">
        <f t="shared" si="61"/>
        <v>0</v>
      </c>
      <c r="X984">
        <f t="shared" si="62"/>
        <v>0</v>
      </c>
      <c r="Y984" t="str">
        <f t="shared" si="63"/>
        <v>Non-Senior</v>
      </c>
    </row>
    <row r="985" spans="1:25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60"/>
        <v>0-12 Months</v>
      </c>
      <c r="W985">
        <f t="shared" si="61"/>
        <v>1</v>
      </c>
      <c r="X985">
        <f t="shared" si="62"/>
        <v>86.6</v>
      </c>
      <c r="Y985" t="str">
        <f t="shared" si="63"/>
        <v>Non-Senior</v>
      </c>
    </row>
    <row r="986" spans="1:25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7082</v>
      </c>
      <c r="J986" t="s">
        <v>7084</v>
      </c>
      <c r="K986" t="s">
        <v>46</v>
      </c>
      <c r="L986" t="s">
        <v>7084</v>
      </c>
      <c r="M986" t="s">
        <v>7084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60"/>
        <v>61-72 Months</v>
      </c>
      <c r="W986">
        <f t="shared" si="61"/>
        <v>0</v>
      </c>
      <c r="X986">
        <f t="shared" si="62"/>
        <v>0</v>
      </c>
      <c r="Y986" t="str">
        <f t="shared" si="63"/>
        <v>Non-Senior</v>
      </c>
    </row>
    <row r="987" spans="1:25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60"/>
        <v>25-36 Months</v>
      </c>
      <c r="W987">
        <f t="shared" si="61"/>
        <v>1</v>
      </c>
      <c r="X987">
        <f t="shared" si="62"/>
        <v>80.599999999999994</v>
      </c>
      <c r="Y987" t="str">
        <f t="shared" si="63"/>
        <v>Senior Citizen</v>
      </c>
    </row>
    <row r="988" spans="1:25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60"/>
        <v>0-12 Months</v>
      </c>
      <c r="W988">
        <f t="shared" si="61"/>
        <v>0</v>
      </c>
      <c r="X988">
        <f t="shared" si="62"/>
        <v>0</v>
      </c>
      <c r="Y988" t="str">
        <f t="shared" si="63"/>
        <v>Non-Senior</v>
      </c>
    </row>
    <row r="989" spans="1:25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7082</v>
      </c>
      <c r="J989" t="s">
        <v>7084</v>
      </c>
      <c r="K989" t="s">
        <v>46</v>
      </c>
      <c r="L989" t="s">
        <v>7084</v>
      </c>
      <c r="M989" t="s">
        <v>7084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60"/>
        <v>0-12 Months</v>
      </c>
      <c r="W989">
        <f t="shared" si="61"/>
        <v>0</v>
      </c>
      <c r="X989">
        <f t="shared" si="62"/>
        <v>0</v>
      </c>
      <c r="Y989" t="str">
        <f t="shared" si="63"/>
        <v>Non-Senior</v>
      </c>
    </row>
    <row r="990" spans="1:25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7082</v>
      </c>
      <c r="J990" t="s">
        <v>7084</v>
      </c>
      <c r="K990" t="s">
        <v>46</v>
      </c>
      <c r="L990" t="s">
        <v>7084</v>
      </c>
      <c r="M990" t="s">
        <v>7084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60"/>
        <v>25-36 Months</v>
      </c>
      <c r="W990">
        <f t="shared" si="61"/>
        <v>0</v>
      </c>
      <c r="X990">
        <f t="shared" si="62"/>
        <v>0</v>
      </c>
      <c r="Y990" t="str">
        <f t="shared" si="63"/>
        <v>Non-Senior</v>
      </c>
    </row>
    <row r="991" spans="1:25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7082</v>
      </c>
      <c r="J991" t="s">
        <v>7084</v>
      </c>
      <c r="K991" t="s">
        <v>46</v>
      </c>
      <c r="L991" t="s">
        <v>7084</v>
      </c>
      <c r="M991" t="s">
        <v>7084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60"/>
        <v>25-36 Months</v>
      </c>
      <c r="W991">
        <f t="shared" si="61"/>
        <v>0</v>
      </c>
      <c r="X991">
        <f t="shared" si="62"/>
        <v>0</v>
      </c>
      <c r="Y991" t="str">
        <f t="shared" si="63"/>
        <v>Non-Senior</v>
      </c>
    </row>
    <row r="992" spans="1:25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60"/>
        <v>49-60 Months</v>
      </c>
      <c r="W992">
        <f t="shared" si="61"/>
        <v>0</v>
      </c>
      <c r="X992">
        <f t="shared" si="62"/>
        <v>0</v>
      </c>
      <c r="Y992" t="str">
        <f t="shared" si="63"/>
        <v>Non-Senior</v>
      </c>
    </row>
    <row r="993" spans="1:25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7082</v>
      </c>
      <c r="J993" t="s">
        <v>7084</v>
      </c>
      <c r="K993" t="s">
        <v>46</v>
      </c>
      <c r="L993" t="s">
        <v>7084</v>
      </c>
      <c r="M993" t="s">
        <v>7084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60"/>
        <v>49-60 Months</v>
      </c>
      <c r="W993">
        <f t="shared" si="61"/>
        <v>0</v>
      </c>
      <c r="X993">
        <f t="shared" si="62"/>
        <v>0</v>
      </c>
      <c r="Y993" t="str">
        <f t="shared" si="63"/>
        <v>Non-Senior</v>
      </c>
    </row>
    <row r="994" spans="1:25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7082</v>
      </c>
      <c r="J994" t="s">
        <v>7084</v>
      </c>
      <c r="K994" t="s">
        <v>46</v>
      </c>
      <c r="L994" t="s">
        <v>7084</v>
      </c>
      <c r="M994" t="s">
        <v>7084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60"/>
        <v>13-24 Months</v>
      </c>
      <c r="W994">
        <f t="shared" si="61"/>
        <v>0</v>
      </c>
      <c r="X994">
        <f t="shared" si="62"/>
        <v>0</v>
      </c>
      <c r="Y994" t="str">
        <f t="shared" si="63"/>
        <v>Non-Senior</v>
      </c>
    </row>
    <row r="995" spans="1:25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7082</v>
      </c>
      <c r="J995" t="s">
        <v>7084</v>
      </c>
      <c r="K995" t="s">
        <v>46</v>
      </c>
      <c r="L995" t="s">
        <v>7084</v>
      </c>
      <c r="M995" t="s">
        <v>7084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60"/>
        <v>0-12 Months</v>
      </c>
      <c r="W995">
        <f t="shared" si="61"/>
        <v>0</v>
      </c>
      <c r="X995">
        <f t="shared" si="62"/>
        <v>0</v>
      </c>
      <c r="Y995" t="str">
        <f t="shared" si="63"/>
        <v>Non-Senior</v>
      </c>
    </row>
    <row r="996" spans="1:25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7082</v>
      </c>
      <c r="J996" t="s">
        <v>7084</v>
      </c>
      <c r="K996" t="s">
        <v>46</v>
      </c>
      <c r="L996" t="s">
        <v>7084</v>
      </c>
      <c r="M996" t="s">
        <v>7084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60"/>
        <v>13-24 Months</v>
      </c>
      <c r="W996">
        <f t="shared" si="61"/>
        <v>0</v>
      </c>
      <c r="X996">
        <f t="shared" si="62"/>
        <v>0</v>
      </c>
      <c r="Y996" t="str">
        <f t="shared" si="63"/>
        <v>Non-Senior</v>
      </c>
    </row>
    <row r="997" spans="1:25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60"/>
        <v>25-36 Months</v>
      </c>
      <c r="W997">
        <f t="shared" si="61"/>
        <v>1</v>
      </c>
      <c r="X997">
        <f t="shared" si="62"/>
        <v>85.3</v>
      </c>
      <c r="Y997" t="str">
        <f t="shared" si="63"/>
        <v>Non-Senior</v>
      </c>
    </row>
    <row r="998" spans="1:25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60"/>
        <v>25-36 Months</v>
      </c>
      <c r="W998">
        <f t="shared" si="61"/>
        <v>1</v>
      </c>
      <c r="X998">
        <f t="shared" si="62"/>
        <v>70</v>
      </c>
      <c r="Y998" t="str">
        <f t="shared" si="63"/>
        <v>Non-Senior</v>
      </c>
    </row>
    <row r="999" spans="1:25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60"/>
        <v>0-12 Months</v>
      </c>
      <c r="W999">
        <f t="shared" si="61"/>
        <v>1</v>
      </c>
      <c r="X999">
        <f t="shared" si="62"/>
        <v>94.3</v>
      </c>
      <c r="Y999" t="str">
        <f t="shared" si="63"/>
        <v>Senior Citizen</v>
      </c>
    </row>
    <row r="1000" spans="1:25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7082</v>
      </c>
      <c r="J1000" t="s">
        <v>7084</v>
      </c>
      <c r="K1000" t="s">
        <v>46</v>
      </c>
      <c r="L1000" t="s">
        <v>7084</v>
      </c>
      <c r="M1000" t="s">
        <v>7084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60"/>
        <v>61-72 Months</v>
      </c>
      <c r="W1000">
        <f t="shared" si="61"/>
        <v>0</v>
      </c>
      <c r="X1000">
        <f t="shared" si="62"/>
        <v>0</v>
      </c>
      <c r="Y1000" t="str">
        <f t="shared" si="63"/>
        <v>Non-Senior</v>
      </c>
    </row>
    <row r="1001" spans="1:25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60"/>
        <v>0-12 Months</v>
      </c>
      <c r="W1001">
        <f t="shared" si="61"/>
        <v>0</v>
      </c>
      <c r="X1001">
        <f t="shared" si="62"/>
        <v>0</v>
      </c>
      <c r="Y1001" t="str">
        <f t="shared" si="63"/>
        <v>Non-Senior</v>
      </c>
    </row>
    <row r="1002" spans="1:25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60"/>
        <v>0-12 Months</v>
      </c>
      <c r="W1002">
        <f t="shared" si="61"/>
        <v>1</v>
      </c>
      <c r="X1002">
        <f t="shared" si="62"/>
        <v>95.35</v>
      </c>
      <c r="Y1002" t="str">
        <f t="shared" si="63"/>
        <v>Non-Senior</v>
      </c>
    </row>
    <row r="1003" spans="1:25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60"/>
        <v>25-36 Months</v>
      </c>
      <c r="W1003">
        <f t="shared" si="61"/>
        <v>1</v>
      </c>
      <c r="X1003">
        <f t="shared" si="62"/>
        <v>75.5</v>
      </c>
      <c r="Y1003" t="str">
        <f t="shared" si="63"/>
        <v>Senior Citizen</v>
      </c>
    </row>
    <row r="1004" spans="1:25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60"/>
        <v>0-12 Months</v>
      </c>
      <c r="W1004">
        <f t="shared" si="61"/>
        <v>0</v>
      </c>
      <c r="X1004">
        <f t="shared" si="62"/>
        <v>0</v>
      </c>
      <c r="Y1004" t="str">
        <f t="shared" si="63"/>
        <v>Non-Senior</v>
      </c>
    </row>
    <row r="1005" spans="1:25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7082</v>
      </c>
      <c r="J1005" t="s">
        <v>7084</v>
      </c>
      <c r="K1005" t="s">
        <v>46</v>
      </c>
      <c r="L1005" t="s">
        <v>7084</v>
      </c>
      <c r="M1005" t="s">
        <v>7084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60"/>
        <v>37-48 Months</v>
      </c>
      <c r="W1005">
        <f t="shared" si="61"/>
        <v>0</v>
      </c>
      <c r="X1005">
        <f t="shared" si="62"/>
        <v>0</v>
      </c>
      <c r="Y1005" t="str">
        <f t="shared" si="63"/>
        <v>Non-Senior</v>
      </c>
    </row>
    <row r="1006" spans="1:25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7082</v>
      </c>
      <c r="J1006" t="s">
        <v>7084</v>
      </c>
      <c r="K1006" t="s">
        <v>46</v>
      </c>
      <c r="L1006" t="s">
        <v>7084</v>
      </c>
      <c r="M1006" t="s">
        <v>7084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60"/>
        <v>13-24 Months</v>
      </c>
      <c r="W1006">
        <f t="shared" si="61"/>
        <v>0</v>
      </c>
      <c r="X1006">
        <f t="shared" si="62"/>
        <v>0</v>
      </c>
      <c r="Y1006" t="str">
        <f t="shared" si="63"/>
        <v>Non-Senior</v>
      </c>
    </row>
    <row r="1007" spans="1:25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60"/>
        <v>49-60 Months</v>
      </c>
      <c r="W1007">
        <f t="shared" si="61"/>
        <v>0</v>
      </c>
      <c r="X1007">
        <f t="shared" si="62"/>
        <v>0</v>
      </c>
      <c r="Y1007" t="str">
        <f t="shared" si="63"/>
        <v>Senior Citizen</v>
      </c>
    </row>
    <row r="1008" spans="1:25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60"/>
        <v>13-24 Months</v>
      </c>
      <c r="W1008">
        <f t="shared" si="61"/>
        <v>1</v>
      </c>
      <c r="X1008">
        <f t="shared" si="62"/>
        <v>90.1</v>
      </c>
      <c r="Y1008" t="str">
        <f t="shared" si="63"/>
        <v>Non-Senior</v>
      </c>
    </row>
    <row r="1009" spans="1:25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60"/>
        <v>0-12 Months</v>
      </c>
      <c r="W1009">
        <f t="shared" si="61"/>
        <v>1</v>
      </c>
      <c r="X1009">
        <f t="shared" si="62"/>
        <v>68.95</v>
      </c>
      <c r="Y1009" t="str">
        <f t="shared" si="63"/>
        <v>Non-Senior</v>
      </c>
    </row>
    <row r="1010" spans="1:25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60"/>
        <v>25-36 Months</v>
      </c>
      <c r="W1010">
        <f t="shared" si="61"/>
        <v>1</v>
      </c>
      <c r="X1010">
        <f t="shared" si="62"/>
        <v>99.55</v>
      </c>
      <c r="Y1010" t="str">
        <f t="shared" si="63"/>
        <v>Non-Senior</v>
      </c>
    </row>
    <row r="1011" spans="1:25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7082</v>
      </c>
      <c r="J1011" t="s">
        <v>7084</v>
      </c>
      <c r="K1011" t="s">
        <v>46</v>
      </c>
      <c r="L1011" t="s">
        <v>7084</v>
      </c>
      <c r="M1011" t="s">
        <v>7084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60"/>
        <v>13-24 Months</v>
      </c>
      <c r="W1011">
        <f t="shared" si="61"/>
        <v>0</v>
      </c>
      <c r="X1011">
        <f t="shared" si="62"/>
        <v>0</v>
      </c>
      <c r="Y1011" t="str">
        <f t="shared" si="63"/>
        <v>Senior Citizen</v>
      </c>
    </row>
    <row r="1012" spans="1:25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60"/>
        <v>0-12 Months</v>
      </c>
      <c r="W1012">
        <f t="shared" si="61"/>
        <v>0</v>
      </c>
      <c r="X1012">
        <f t="shared" si="62"/>
        <v>0</v>
      </c>
      <c r="Y1012" t="str">
        <f t="shared" si="63"/>
        <v>Non-Senior</v>
      </c>
    </row>
    <row r="1013" spans="1:25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60"/>
        <v>61-72 Months</v>
      </c>
      <c r="W1013">
        <f t="shared" si="61"/>
        <v>0</v>
      </c>
      <c r="X1013">
        <f t="shared" si="62"/>
        <v>0</v>
      </c>
      <c r="Y1013" t="str">
        <f t="shared" si="63"/>
        <v>Non-Senior</v>
      </c>
    </row>
    <row r="1014" spans="1:25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60"/>
        <v>0-12 Months</v>
      </c>
      <c r="W1014">
        <f t="shared" si="61"/>
        <v>0</v>
      </c>
      <c r="X1014">
        <f t="shared" si="62"/>
        <v>0</v>
      </c>
      <c r="Y1014" t="str">
        <f t="shared" si="63"/>
        <v>Non-Senior</v>
      </c>
    </row>
    <row r="1015" spans="1:25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60"/>
        <v>0-12 Months</v>
      </c>
      <c r="W1015">
        <f t="shared" si="61"/>
        <v>0</v>
      </c>
      <c r="X1015">
        <f t="shared" si="62"/>
        <v>0</v>
      </c>
      <c r="Y1015" t="str">
        <f t="shared" si="63"/>
        <v>Non-Senior</v>
      </c>
    </row>
    <row r="1016" spans="1:25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60"/>
        <v>13-24 Months</v>
      </c>
      <c r="W1016">
        <f t="shared" si="61"/>
        <v>1</v>
      </c>
      <c r="X1016">
        <f t="shared" si="62"/>
        <v>57.45</v>
      </c>
      <c r="Y1016" t="str">
        <f t="shared" si="63"/>
        <v>Non-Senior</v>
      </c>
    </row>
    <row r="1017" spans="1:25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60"/>
        <v>0-12 Months</v>
      </c>
      <c r="W1017">
        <f t="shared" si="61"/>
        <v>1</v>
      </c>
      <c r="X1017">
        <f t="shared" si="62"/>
        <v>53.65</v>
      </c>
      <c r="Y1017" t="str">
        <f t="shared" si="63"/>
        <v>Non-Senior</v>
      </c>
    </row>
    <row r="1018" spans="1:25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60"/>
        <v>61-72 Months</v>
      </c>
      <c r="W1018">
        <f t="shared" si="61"/>
        <v>0</v>
      </c>
      <c r="X1018">
        <f t="shared" si="62"/>
        <v>0</v>
      </c>
      <c r="Y1018" t="str">
        <f t="shared" si="63"/>
        <v>Non-Senior</v>
      </c>
    </row>
    <row r="1019" spans="1:25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7082</v>
      </c>
      <c r="J1019" t="s">
        <v>7084</v>
      </c>
      <c r="K1019" t="s">
        <v>46</v>
      </c>
      <c r="L1019" t="s">
        <v>7084</v>
      </c>
      <c r="M1019" t="s">
        <v>7084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60"/>
        <v>61-72 Months</v>
      </c>
      <c r="W1019">
        <f t="shared" si="61"/>
        <v>0</v>
      </c>
      <c r="X1019">
        <f t="shared" si="62"/>
        <v>0</v>
      </c>
      <c r="Y1019" t="str">
        <f t="shared" si="63"/>
        <v>Non-Senior</v>
      </c>
    </row>
    <row r="1020" spans="1:25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60"/>
        <v>0-12 Months</v>
      </c>
      <c r="W1020">
        <f t="shared" si="61"/>
        <v>0</v>
      </c>
      <c r="X1020">
        <f t="shared" si="62"/>
        <v>0</v>
      </c>
      <c r="Y1020" t="str">
        <f t="shared" si="63"/>
        <v>Non-Senior</v>
      </c>
    </row>
    <row r="1021" spans="1:25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7082</v>
      </c>
      <c r="J1021" t="s">
        <v>7084</v>
      </c>
      <c r="K1021" t="s">
        <v>46</v>
      </c>
      <c r="L1021" t="s">
        <v>7084</v>
      </c>
      <c r="M1021" t="s">
        <v>7084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60"/>
        <v>13-24 Months</v>
      </c>
      <c r="W1021">
        <f t="shared" si="61"/>
        <v>0</v>
      </c>
      <c r="X1021">
        <f t="shared" si="62"/>
        <v>0</v>
      </c>
      <c r="Y1021" t="str">
        <f t="shared" si="63"/>
        <v>Non-Senior</v>
      </c>
    </row>
    <row r="1022" spans="1:25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60"/>
        <v>37-48 Months</v>
      </c>
      <c r="W1022">
        <f t="shared" si="61"/>
        <v>0</v>
      </c>
      <c r="X1022">
        <f t="shared" si="62"/>
        <v>0</v>
      </c>
      <c r="Y1022" t="str">
        <f t="shared" si="63"/>
        <v>Non-Senior</v>
      </c>
    </row>
    <row r="1023" spans="1:25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60"/>
        <v>25-36 Months</v>
      </c>
      <c r="W1023">
        <f t="shared" si="61"/>
        <v>0</v>
      </c>
      <c r="X1023">
        <f t="shared" si="62"/>
        <v>0</v>
      </c>
      <c r="Y1023" t="str">
        <f t="shared" si="63"/>
        <v>Non-Senior</v>
      </c>
    </row>
    <row r="1024" spans="1:25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60"/>
        <v>0-12 Months</v>
      </c>
      <c r="W1024">
        <f t="shared" si="61"/>
        <v>0</v>
      </c>
      <c r="X1024">
        <f t="shared" si="62"/>
        <v>0</v>
      </c>
      <c r="Y1024" t="str">
        <f t="shared" si="63"/>
        <v>Senior Citizen</v>
      </c>
    </row>
    <row r="1025" spans="1:25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60"/>
        <v>37-48 Months</v>
      </c>
      <c r="W1025">
        <f t="shared" si="61"/>
        <v>0</v>
      </c>
      <c r="X1025">
        <f t="shared" si="62"/>
        <v>0</v>
      </c>
      <c r="Y1025" t="str">
        <f t="shared" si="63"/>
        <v>Senior Citizen</v>
      </c>
    </row>
    <row r="1026" spans="1:25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si="60"/>
        <v>37-48 Months</v>
      </c>
      <c r="W1026">
        <f t="shared" si="61"/>
        <v>0</v>
      </c>
      <c r="X1026">
        <f t="shared" si="62"/>
        <v>0</v>
      </c>
      <c r="Y1026" t="str">
        <f t="shared" si="63"/>
        <v>Non-Senior</v>
      </c>
    </row>
    <row r="1027" spans="1:25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ref="V1027:V1090" si="64">IF(F1027&lt;=12,"0-12 Months",IF(F1027&lt;=24,"13-24 Months",IF(F1027&lt;=36,"25-36 Months",IF(F1027&lt;=48,"37-48 Months",IF(F1027&lt;=60,"49-60 Months","61-72 Months")))))</f>
        <v>49-60 Months</v>
      </c>
      <c r="W1027">
        <f t="shared" ref="W1027:W1090" si="65">IF(U1027="Yes",1,0)</f>
        <v>0</v>
      </c>
      <c r="X1027">
        <f t="shared" ref="X1027:X1090" si="66">IF(U1027="Yes",S1027,0)</f>
        <v>0</v>
      </c>
      <c r="Y1027" t="str">
        <f t="shared" ref="Y1027:Y1090" si="67">IF(C1027=1,"Senior Citizen","Non-Senior")</f>
        <v>Senior Citizen</v>
      </c>
    </row>
    <row r="1028" spans="1:25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64"/>
        <v>0-12 Months</v>
      </c>
      <c r="W1028">
        <f t="shared" si="65"/>
        <v>1</v>
      </c>
      <c r="X1028">
        <f t="shared" si="66"/>
        <v>100.6</v>
      </c>
      <c r="Y1028" t="str">
        <f t="shared" si="67"/>
        <v>Senior Citizen</v>
      </c>
    </row>
    <row r="1029" spans="1:25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64"/>
        <v>37-48 Months</v>
      </c>
      <c r="W1029">
        <f t="shared" si="65"/>
        <v>0</v>
      </c>
      <c r="X1029">
        <f t="shared" si="66"/>
        <v>0</v>
      </c>
      <c r="Y1029" t="str">
        <f t="shared" si="67"/>
        <v>Non-Senior</v>
      </c>
    </row>
    <row r="1030" spans="1:25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64"/>
        <v>25-36 Months</v>
      </c>
      <c r="W1030">
        <f t="shared" si="65"/>
        <v>1</v>
      </c>
      <c r="X1030">
        <f t="shared" si="66"/>
        <v>83.75</v>
      </c>
      <c r="Y1030" t="str">
        <f t="shared" si="67"/>
        <v>Non-Senior</v>
      </c>
    </row>
    <row r="1031" spans="1:25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64"/>
        <v>0-12 Months</v>
      </c>
      <c r="W1031">
        <f t="shared" si="65"/>
        <v>1</v>
      </c>
      <c r="X1031">
        <f t="shared" si="66"/>
        <v>88.3</v>
      </c>
      <c r="Y1031" t="str">
        <f t="shared" si="67"/>
        <v>Senior Citizen</v>
      </c>
    </row>
    <row r="1032" spans="1:25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64"/>
        <v>49-60 Months</v>
      </c>
      <c r="W1032">
        <f t="shared" si="65"/>
        <v>0</v>
      </c>
      <c r="X1032">
        <f t="shared" si="66"/>
        <v>0</v>
      </c>
      <c r="Y1032" t="str">
        <f t="shared" si="67"/>
        <v>Non-Senior</v>
      </c>
    </row>
    <row r="1033" spans="1:25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64"/>
        <v>25-36 Months</v>
      </c>
      <c r="W1033">
        <f t="shared" si="65"/>
        <v>0</v>
      </c>
      <c r="X1033">
        <f t="shared" si="66"/>
        <v>0</v>
      </c>
      <c r="Y1033" t="str">
        <f t="shared" si="67"/>
        <v>Non-Senior</v>
      </c>
    </row>
    <row r="1034" spans="1:25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64"/>
        <v>0-12 Months</v>
      </c>
      <c r="W1034">
        <f t="shared" si="65"/>
        <v>1</v>
      </c>
      <c r="X1034">
        <f t="shared" si="66"/>
        <v>92.1</v>
      </c>
      <c r="Y1034" t="str">
        <f t="shared" si="67"/>
        <v>Senior Citizen</v>
      </c>
    </row>
    <row r="1035" spans="1:25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7082</v>
      </c>
      <c r="J1035" t="s">
        <v>7084</v>
      </c>
      <c r="K1035" t="s">
        <v>46</v>
      </c>
      <c r="L1035" t="s">
        <v>7084</v>
      </c>
      <c r="M1035" t="s">
        <v>7084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64"/>
        <v>61-72 Months</v>
      </c>
      <c r="W1035">
        <f t="shared" si="65"/>
        <v>0</v>
      </c>
      <c r="X1035">
        <f t="shared" si="66"/>
        <v>0</v>
      </c>
      <c r="Y1035" t="str">
        <f t="shared" si="67"/>
        <v>Non-Senior</v>
      </c>
    </row>
    <row r="1036" spans="1:25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64"/>
        <v>61-72 Months</v>
      </c>
      <c r="W1036">
        <f t="shared" si="65"/>
        <v>0</v>
      </c>
      <c r="X1036">
        <f t="shared" si="66"/>
        <v>0</v>
      </c>
      <c r="Y1036" t="str">
        <f t="shared" si="67"/>
        <v>Non-Senior</v>
      </c>
    </row>
    <row r="1037" spans="1:25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7082</v>
      </c>
      <c r="J1037" t="s">
        <v>7084</v>
      </c>
      <c r="K1037" t="s">
        <v>46</v>
      </c>
      <c r="L1037" t="s">
        <v>7084</v>
      </c>
      <c r="M1037" t="s">
        <v>7084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64"/>
        <v>61-72 Months</v>
      </c>
      <c r="W1037">
        <f t="shared" si="65"/>
        <v>0</v>
      </c>
      <c r="X1037">
        <f t="shared" si="66"/>
        <v>0</v>
      </c>
      <c r="Y1037" t="str">
        <f t="shared" si="67"/>
        <v>Non-Senior</v>
      </c>
    </row>
    <row r="1038" spans="1:25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64"/>
        <v>61-72 Months</v>
      </c>
      <c r="W1038">
        <f t="shared" si="65"/>
        <v>0</v>
      </c>
      <c r="X1038">
        <f t="shared" si="66"/>
        <v>0</v>
      </c>
      <c r="Y1038" t="str">
        <f t="shared" si="67"/>
        <v>Non-Senior</v>
      </c>
    </row>
    <row r="1039" spans="1:25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64"/>
        <v>13-24 Months</v>
      </c>
      <c r="W1039">
        <f t="shared" si="65"/>
        <v>0</v>
      </c>
      <c r="X1039">
        <f t="shared" si="66"/>
        <v>0</v>
      </c>
      <c r="Y1039" t="str">
        <f t="shared" si="67"/>
        <v>Non-Senior</v>
      </c>
    </row>
    <row r="1040" spans="1:25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64"/>
        <v>49-60 Months</v>
      </c>
      <c r="W1040">
        <f t="shared" si="65"/>
        <v>0</v>
      </c>
      <c r="X1040">
        <f t="shared" si="66"/>
        <v>0</v>
      </c>
      <c r="Y1040" t="str">
        <f t="shared" si="67"/>
        <v>Non-Senior</v>
      </c>
    </row>
    <row r="1041" spans="1:25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64"/>
        <v>37-48 Months</v>
      </c>
      <c r="W1041">
        <f t="shared" si="65"/>
        <v>1</v>
      </c>
      <c r="X1041">
        <f t="shared" si="66"/>
        <v>79.45</v>
      </c>
      <c r="Y1041" t="str">
        <f t="shared" si="67"/>
        <v>Non-Senior</v>
      </c>
    </row>
    <row r="1042" spans="1:25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64"/>
        <v>13-24 Months</v>
      </c>
      <c r="W1042">
        <f t="shared" si="65"/>
        <v>1</v>
      </c>
      <c r="X1042">
        <f t="shared" si="66"/>
        <v>90.45</v>
      </c>
      <c r="Y1042" t="str">
        <f t="shared" si="67"/>
        <v>Senior Citizen</v>
      </c>
    </row>
    <row r="1043" spans="1:25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7082</v>
      </c>
      <c r="J1043" t="s">
        <v>7084</v>
      </c>
      <c r="K1043" t="s">
        <v>46</v>
      </c>
      <c r="L1043" t="s">
        <v>7084</v>
      </c>
      <c r="M1043" t="s">
        <v>7084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64"/>
        <v>13-24 Months</v>
      </c>
      <c r="W1043">
        <f t="shared" si="65"/>
        <v>0</v>
      </c>
      <c r="X1043">
        <f t="shared" si="66"/>
        <v>0</v>
      </c>
      <c r="Y1043" t="str">
        <f t="shared" si="67"/>
        <v>Non-Senior</v>
      </c>
    </row>
    <row r="1044" spans="1:25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64"/>
        <v>13-24 Months</v>
      </c>
      <c r="W1044">
        <f t="shared" si="65"/>
        <v>0</v>
      </c>
      <c r="X1044">
        <f t="shared" si="66"/>
        <v>0</v>
      </c>
      <c r="Y1044" t="str">
        <f t="shared" si="67"/>
        <v>Non-Senior</v>
      </c>
    </row>
    <row r="1045" spans="1:25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64"/>
        <v>25-36 Months</v>
      </c>
      <c r="W1045">
        <f t="shared" si="65"/>
        <v>1</v>
      </c>
      <c r="X1045">
        <f t="shared" si="66"/>
        <v>69.75</v>
      </c>
      <c r="Y1045" t="str">
        <f t="shared" si="67"/>
        <v>Non-Senior</v>
      </c>
    </row>
    <row r="1046" spans="1:25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64"/>
        <v>0-12 Months</v>
      </c>
      <c r="W1046">
        <f t="shared" si="65"/>
        <v>0</v>
      </c>
      <c r="X1046">
        <f t="shared" si="66"/>
        <v>0</v>
      </c>
      <c r="Y1046" t="str">
        <f t="shared" si="67"/>
        <v>Non-Senior</v>
      </c>
    </row>
    <row r="1047" spans="1:25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64"/>
        <v>37-48 Months</v>
      </c>
      <c r="W1047">
        <f t="shared" si="65"/>
        <v>0</v>
      </c>
      <c r="X1047">
        <f t="shared" si="66"/>
        <v>0</v>
      </c>
      <c r="Y1047" t="str">
        <f t="shared" si="67"/>
        <v>Non-Senior</v>
      </c>
    </row>
    <row r="1048" spans="1:25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64"/>
        <v>49-60 Months</v>
      </c>
      <c r="W1048">
        <f t="shared" si="65"/>
        <v>0</v>
      </c>
      <c r="X1048">
        <f t="shared" si="66"/>
        <v>0</v>
      </c>
      <c r="Y1048" t="str">
        <f t="shared" si="67"/>
        <v>Non-Senior</v>
      </c>
    </row>
    <row r="1049" spans="1:25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64"/>
        <v>0-12 Months</v>
      </c>
      <c r="W1049">
        <f t="shared" si="65"/>
        <v>0</v>
      </c>
      <c r="X1049">
        <f t="shared" si="66"/>
        <v>0</v>
      </c>
      <c r="Y1049" t="str">
        <f t="shared" si="67"/>
        <v>Non-Senior</v>
      </c>
    </row>
    <row r="1050" spans="1:25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7082</v>
      </c>
      <c r="J1050" t="s">
        <v>7084</v>
      </c>
      <c r="K1050" t="s">
        <v>46</v>
      </c>
      <c r="L1050" t="s">
        <v>7084</v>
      </c>
      <c r="M1050" t="s">
        <v>7084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64"/>
        <v>25-36 Months</v>
      </c>
      <c r="W1050">
        <f t="shared" si="65"/>
        <v>0</v>
      </c>
      <c r="X1050">
        <f t="shared" si="66"/>
        <v>0</v>
      </c>
      <c r="Y1050" t="str">
        <f t="shared" si="67"/>
        <v>Non-Senior</v>
      </c>
    </row>
    <row r="1051" spans="1:25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7082</v>
      </c>
      <c r="J1051" t="s">
        <v>7084</v>
      </c>
      <c r="K1051" t="s">
        <v>46</v>
      </c>
      <c r="L1051" t="s">
        <v>7084</v>
      </c>
      <c r="M1051" t="s">
        <v>7084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64"/>
        <v>0-12 Months</v>
      </c>
      <c r="W1051">
        <f t="shared" si="65"/>
        <v>1</v>
      </c>
      <c r="X1051">
        <f t="shared" si="66"/>
        <v>19.649999999999999</v>
      </c>
      <c r="Y1051" t="str">
        <f t="shared" si="67"/>
        <v>Non-Senior</v>
      </c>
    </row>
    <row r="1052" spans="1:25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64"/>
        <v>0-12 Months</v>
      </c>
      <c r="W1052">
        <f t="shared" si="65"/>
        <v>1</v>
      </c>
      <c r="X1052">
        <f t="shared" si="66"/>
        <v>43.65</v>
      </c>
      <c r="Y1052" t="str">
        <f t="shared" si="67"/>
        <v>Senior Citizen</v>
      </c>
    </row>
    <row r="1053" spans="1:25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64"/>
        <v>13-24 Months</v>
      </c>
      <c r="W1053">
        <f t="shared" si="65"/>
        <v>0</v>
      </c>
      <c r="X1053">
        <f t="shared" si="66"/>
        <v>0</v>
      </c>
      <c r="Y1053" t="str">
        <f t="shared" si="67"/>
        <v>Non-Senior</v>
      </c>
    </row>
    <row r="1054" spans="1:25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64"/>
        <v>37-48 Months</v>
      </c>
      <c r="W1054">
        <f t="shared" si="65"/>
        <v>0</v>
      </c>
      <c r="X1054">
        <f t="shared" si="66"/>
        <v>0</v>
      </c>
      <c r="Y1054" t="str">
        <f t="shared" si="67"/>
        <v>Non-Senior</v>
      </c>
    </row>
    <row r="1055" spans="1:25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64"/>
        <v>0-12 Months</v>
      </c>
      <c r="W1055">
        <f t="shared" si="65"/>
        <v>1</v>
      </c>
      <c r="X1055">
        <f t="shared" si="66"/>
        <v>39.5</v>
      </c>
      <c r="Y1055" t="str">
        <f t="shared" si="67"/>
        <v>Non-Senior</v>
      </c>
    </row>
    <row r="1056" spans="1:25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64"/>
        <v>37-48 Months</v>
      </c>
      <c r="W1056">
        <f t="shared" si="65"/>
        <v>1</v>
      </c>
      <c r="X1056">
        <f t="shared" si="66"/>
        <v>97.1</v>
      </c>
      <c r="Y1056" t="str">
        <f t="shared" si="67"/>
        <v>Non-Senior</v>
      </c>
    </row>
    <row r="1057" spans="1:25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7082</v>
      </c>
      <c r="J1057" t="s">
        <v>7084</v>
      </c>
      <c r="K1057" t="s">
        <v>46</v>
      </c>
      <c r="L1057" t="s">
        <v>7084</v>
      </c>
      <c r="M1057" t="s">
        <v>7084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64"/>
        <v>25-36 Months</v>
      </c>
      <c r="W1057">
        <f t="shared" si="65"/>
        <v>0</v>
      </c>
      <c r="X1057">
        <f t="shared" si="66"/>
        <v>0</v>
      </c>
      <c r="Y1057" t="str">
        <f t="shared" si="67"/>
        <v>Non-Senior</v>
      </c>
    </row>
    <row r="1058" spans="1:25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64"/>
        <v>0-12 Months</v>
      </c>
      <c r="W1058">
        <f t="shared" si="65"/>
        <v>1</v>
      </c>
      <c r="X1058">
        <f t="shared" si="66"/>
        <v>80</v>
      </c>
      <c r="Y1058" t="str">
        <f t="shared" si="67"/>
        <v>Non-Senior</v>
      </c>
    </row>
    <row r="1059" spans="1:25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64"/>
        <v>0-12 Months</v>
      </c>
      <c r="W1059">
        <f t="shared" si="65"/>
        <v>1</v>
      </c>
      <c r="X1059">
        <f t="shared" si="66"/>
        <v>84.7</v>
      </c>
      <c r="Y1059" t="str">
        <f t="shared" si="67"/>
        <v>Non-Senior</v>
      </c>
    </row>
    <row r="1060" spans="1:25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64"/>
        <v>0-12 Months</v>
      </c>
      <c r="W1060">
        <f t="shared" si="65"/>
        <v>1</v>
      </c>
      <c r="X1060">
        <f t="shared" si="66"/>
        <v>89.55</v>
      </c>
      <c r="Y1060" t="str">
        <f t="shared" si="67"/>
        <v>Non-Senior</v>
      </c>
    </row>
    <row r="1061" spans="1:25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64"/>
        <v>13-24 Months</v>
      </c>
      <c r="W1061">
        <f t="shared" si="65"/>
        <v>1</v>
      </c>
      <c r="X1061">
        <f t="shared" si="66"/>
        <v>90.6</v>
      </c>
      <c r="Y1061" t="str">
        <f t="shared" si="67"/>
        <v>Non-Senior</v>
      </c>
    </row>
    <row r="1062" spans="1:25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7082</v>
      </c>
      <c r="J1062" t="s">
        <v>7084</v>
      </c>
      <c r="K1062" t="s">
        <v>46</v>
      </c>
      <c r="L1062" t="s">
        <v>7084</v>
      </c>
      <c r="M1062" t="s">
        <v>7084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64"/>
        <v>25-36 Months</v>
      </c>
      <c r="W1062">
        <f t="shared" si="65"/>
        <v>0</v>
      </c>
      <c r="X1062">
        <f t="shared" si="66"/>
        <v>0</v>
      </c>
      <c r="Y1062" t="str">
        <f t="shared" si="67"/>
        <v>Non-Senior</v>
      </c>
    </row>
    <row r="1063" spans="1:25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64"/>
        <v>61-72 Months</v>
      </c>
      <c r="W1063">
        <f t="shared" si="65"/>
        <v>0</v>
      </c>
      <c r="X1063">
        <f t="shared" si="66"/>
        <v>0</v>
      </c>
      <c r="Y1063" t="str">
        <f t="shared" si="67"/>
        <v>Senior Citizen</v>
      </c>
    </row>
    <row r="1064" spans="1:25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64"/>
        <v>25-36 Months</v>
      </c>
      <c r="W1064">
        <f t="shared" si="65"/>
        <v>0</v>
      </c>
      <c r="X1064">
        <f t="shared" si="66"/>
        <v>0</v>
      </c>
      <c r="Y1064" t="str">
        <f t="shared" si="67"/>
        <v>Non-Senior</v>
      </c>
    </row>
    <row r="1065" spans="1:25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64"/>
        <v>0-12 Months</v>
      </c>
      <c r="W1065">
        <f t="shared" si="65"/>
        <v>0</v>
      </c>
      <c r="X1065">
        <f t="shared" si="66"/>
        <v>0</v>
      </c>
      <c r="Y1065" t="str">
        <f t="shared" si="67"/>
        <v>Non-Senior</v>
      </c>
    </row>
    <row r="1066" spans="1:25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64"/>
        <v>13-24 Months</v>
      </c>
      <c r="W1066">
        <f t="shared" si="65"/>
        <v>0</v>
      </c>
      <c r="X1066">
        <f t="shared" si="66"/>
        <v>0</v>
      </c>
      <c r="Y1066" t="str">
        <f t="shared" si="67"/>
        <v>Non-Senior</v>
      </c>
    </row>
    <row r="1067" spans="1:25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64"/>
        <v>13-24 Months</v>
      </c>
      <c r="W1067">
        <f t="shared" si="65"/>
        <v>1</v>
      </c>
      <c r="X1067">
        <f t="shared" si="66"/>
        <v>90.05</v>
      </c>
      <c r="Y1067" t="str">
        <f t="shared" si="67"/>
        <v>Non-Senior</v>
      </c>
    </row>
    <row r="1068" spans="1:25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7082</v>
      </c>
      <c r="J1068" t="s">
        <v>7084</v>
      </c>
      <c r="K1068" t="s">
        <v>46</v>
      </c>
      <c r="L1068" t="s">
        <v>7084</v>
      </c>
      <c r="M1068" t="s">
        <v>7084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64"/>
        <v>37-48 Months</v>
      </c>
      <c r="W1068">
        <f t="shared" si="65"/>
        <v>0</v>
      </c>
      <c r="X1068">
        <f t="shared" si="66"/>
        <v>0</v>
      </c>
      <c r="Y1068" t="str">
        <f t="shared" si="67"/>
        <v>Non-Senior</v>
      </c>
    </row>
    <row r="1069" spans="1:25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64"/>
        <v>13-24 Months</v>
      </c>
      <c r="W1069">
        <f t="shared" si="65"/>
        <v>0</v>
      </c>
      <c r="X1069">
        <f t="shared" si="66"/>
        <v>0</v>
      </c>
      <c r="Y1069" t="str">
        <f t="shared" si="67"/>
        <v>Non-Senior</v>
      </c>
    </row>
    <row r="1070" spans="1:25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64"/>
        <v>49-60 Months</v>
      </c>
      <c r="W1070">
        <f t="shared" si="65"/>
        <v>1</v>
      </c>
      <c r="X1070">
        <f t="shared" si="66"/>
        <v>99.05</v>
      </c>
      <c r="Y1070" t="str">
        <f t="shared" si="67"/>
        <v>Non-Senior</v>
      </c>
    </row>
    <row r="1071" spans="1:25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64"/>
        <v>13-24 Months</v>
      </c>
      <c r="W1071">
        <f t="shared" si="65"/>
        <v>0</v>
      </c>
      <c r="X1071">
        <f t="shared" si="66"/>
        <v>0</v>
      </c>
      <c r="Y1071" t="str">
        <f t="shared" si="67"/>
        <v>Senior Citizen</v>
      </c>
    </row>
    <row r="1072" spans="1:25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64"/>
        <v>0-12 Months</v>
      </c>
      <c r="W1072">
        <f t="shared" si="65"/>
        <v>1</v>
      </c>
      <c r="X1072">
        <f t="shared" si="66"/>
        <v>69.75</v>
      </c>
      <c r="Y1072" t="str">
        <f t="shared" si="67"/>
        <v>Non-Senior</v>
      </c>
    </row>
    <row r="1073" spans="1:25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64"/>
        <v>0-12 Months</v>
      </c>
      <c r="W1073">
        <f t="shared" si="65"/>
        <v>1</v>
      </c>
      <c r="X1073">
        <f t="shared" si="66"/>
        <v>49.05</v>
      </c>
      <c r="Y1073" t="str">
        <f t="shared" si="67"/>
        <v>Non-Senior</v>
      </c>
    </row>
    <row r="1074" spans="1:25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64"/>
        <v>13-24 Months</v>
      </c>
      <c r="W1074">
        <f t="shared" si="65"/>
        <v>0</v>
      </c>
      <c r="X1074">
        <f t="shared" si="66"/>
        <v>0</v>
      </c>
      <c r="Y1074" t="str">
        <f t="shared" si="67"/>
        <v>Non-Senior</v>
      </c>
    </row>
    <row r="1075" spans="1:25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64"/>
        <v>0-12 Months</v>
      </c>
      <c r="W1075">
        <f t="shared" si="65"/>
        <v>1</v>
      </c>
      <c r="X1075">
        <f t="shared" si="66"/>
        <v>98.05</v>
      </c>
      <c r="Y1075" t="str">
        <f t="shared" si="67"/>
        <v>Non-Senior</v>
      </c>
    </row>
    <row r="1076" spans="1:25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7082</v>
      </c>
      <c r="J1076" t="s">
        <v>7084</v>
      </c>
      <c r="K1076" t="s">
        <v>46</v>
      </c>
      <c r="L1076" t="s">
        <v>7084</v>
      </c>
      <c r="M1076" t="s">
        <v>7084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64"/>
        <v>0-12 Months</v>
      </c>
      <c r="W1076">
        <f t="shared" si="65"/>
        <v>0</v>
      </c>
      <c r="X1076">
        <f t="shared" si="66"/>
        <v>0</v>
      </c>
      <c r="Y1076" t="str">
        <f t="shared" si="67"/>
        <v>Non-Senior</v>
      </c>
    </row>
    <row r="1077" spans="1:25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64"/>
        <v>49-60 Months</v>
      </c>
      <c r="W1077">
        <f t="shared" si="65"/>
        <v>0</v>
      </c>
      <c r="X1077">
        <f t="shared" si="66"/>
        <v>0</v>
      </c>
      <c r="Y1077" t="str">
        <f t="shared" si="67"/>
        <v>Non-Senior</v>
      </c>
    </row>
    <row r="1078" spans="1:25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7082</v>
      </c>
      <c r="J1078" t="s">
        <v>7084</v>
      </c>
      <c r="K1078" t="s">
        <v>46</v>
      </c>
      <c r="L1078" t="s">
        <v>7084</v>
      </c>
      <c r="M1078" t="s">
        <v>7084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64"/>
        <v>49-60 Months</v>
      </c>
      <c r="W1078">
        <f t="shared" si="65"/>
        <v>0</v>
      </c>
      <c r="X1078">
        <f t="shared" si="66"/>
        <v>0</v>
      </c>
      <c r="Y1078" t="str">
        <f t="shared" si="67"/>
        <v>Non-Senior</v>
      </c>
    </row>
    <row r="1079" spans="1:25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64"/>
        <v>37-48 Months</v>
      </c>
      <c r="W1079">
        <f t="shared" si="65"/>
        <v>1</v>
      </c>
      <c r="X1079">
        <f t="shared" si="66"/>
        <v>114.5</v>
      </c>
      <c r="Y1079" t="str">
        <f t="shared" si="67"/>
        <v>Non-Senior</v>
      </c>
    </row>
    <row r="1080" spans="1:25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64"/>
        <v>49-60 Months</v>
      </c>
      <c r="W1080">
        <f t="shared" si="65"/>
        <v>0</v>
      </c>
      <c r="X1080">
        <f t="shared" si="66"/>
        <v>0</v>
      </c>
      <c r="Y1080" t="str">
        <f t="shared" si="67"/>
        <v>Senior Citizen</v>
      </c>
    </row>
    <row r="1081" spans="1:25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64"/>
        <v>0-12 Months</v>
      </c>
      <c r="W1081">
        <f t="shared" si="65"/>
        <v>0</v>
      </c>
      <c r="X1081">
        <f t="shared" si="66"/>
        <v>0</v>
      </c>
      <c r="Y1081" t="str">
        <f t="shared" si="67"/>
        <v>Non-Senior</v>
      </c>
    </row>
    <row r="1082" spans="1:25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7082</v>
      </c>
      <c r="J1082" t="s">
        <v>7084</v>
      </c>
      <c r="K1082" t="s">
        <v>46</v>
      </c>
      <c r="L1082" t="s">
        <v>7084</v>
      </c>
      <c r="M1082" t="s">
        <v>7084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64"/>
        <v>25-36 Months</v>
      </c>
      <c r="W1082">
        <f t="shared" si="65"/>
        <v>0</v>
      </c>
      <c r="X1082">
        <f t="shared" si="66"/>
        <v>0</v>
      </c>
      <c r="Y1082" t="str">
        <f t="shared" si="67"/>
        <v>Non-Senior</v>
      </c>
    </row>
    <row r="1083" spans="1:25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64"/>
        <v>37-48 Months</v>
      </c>
      <c r="W1083">
        <f t="shared" si="65"/>
        <v>0</v>
      </c>
      <c r="X1083">
        <f t="shared" si="66"/>
        <v>0</v>
      </c>
      <c r="Y1083" t="str">
        <f t="shared" si="67"/>
        <v>Senior Citizen</v>
      </c>
    </row>
    <row r="1084" spans="1:25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7082</v>
      </c>
      <c r="J1084" t="s">
        <v>7084</v>
      </c>
      <c r="K1084" t="s">
        <v>46</v>
      </c>
      <c r="L1084" t="s">
        <v>7084</v>
      </c>
      <c r="M1084" t="s">
        <v>7084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 t="str">
        <f t="shared" si="64"/>
        <v>0-12 Months</v>
      </c>
      <c r="W1084">
        <f t="shared" si="65"/>
        <v>0</v>
      </c>
      <c r="X1084">
        <f t="shared" si="66"/>
        <v>0</v>
      </c>
      <c r="Y1084" t="str">
        <f t="shared" si="67"/>
        <v>Non-Senior</v>
      </c>
    </row>
    <row r="1085" spans="1:25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64"/>
        <v>0-12 Months</v>
      </c>
      <c r="W1085">
        <f t="shared" si="65"/>
        <v>1</v>
      </c>
      <c r="X1085">
        <f t="shared" si="66"/>
        <v>80.95</v>
      </c>
      <c r="Y1085" t="str">
        <f t="shared" si="67"/>
        <v>Non-Senior</v>
      </c>
    </row>
    <row r="1086" spans="1:25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7082</v>
      </c>
      <c r="J1086" t="s">
        <v>7084</v>
      </c>
      <c r="K1086" t="s">
        <v>46</v>
      </c>
      <c r="L1086" t="s">
        <v>7084</v>
      </c>
      <c r="M1086" t="s">
        <v>7084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64"/>
        <v>49-60 Months</v>
      </c>
      <c r="W1086">
        <f t="shared" si="65"/>
        <v>0</v>
      </c>
      <c r="X1086">
        <f t="shared" si="66"/>
        <v>0</v>
      </c>
      <c r="Y1086" t="str">
        <f t="shared" si="67"/>
        <v>Non-Senior</v>
      </c>
    </row>
    <row r="1087" spans="1:25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64"/>
        <v>13-24 Months</v>
      </c>
      <c r="W1087">
        <f t="shared" si="65"/>
        <v>1</v>
      </c>
      <c r="X1087">
        <f t="shared" si="66"/>
        <v>74.3</v>
      </c>
      <c r="Y1087" t="str">
        <f t="shared" si="67"/>
        <v>Senior Citizen</v>
      </c>
    </row>
    <row r="1088" spans="1:25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64"/>
        <v>0-12 Months</v>
      </c>
      <c r="W1088">
        <f t="shared" si="65"/>
        <v>1</v>
      </c>
      <c r="X1088">
        <f t="shared" si="66"/>
        <v>89.7</v>
      </c>
      <c r="Y1088" t="str">
        <f t="shared" si="67"/>
        <v>Senior Citizen</v>
      </c>
    </row>
    <row r="1089" spans="1:25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64"/>
        <v>25-36 Months</v>
      </c>
      <c r="W1089">
        <f t="shared" si="65"/>
        <v>0</v>
      </c>
      <c r="X1089">
        <f t="shared" si="66"/>
        <v>0</v>
      </c>
      <c r="Y1089" t="str">
        <f t="shared" si="67"/>
        <v>Non-Senior</v>
      </c>
    </row>
    <row r="1090" spans="1:25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si="64"/>
        <v>13-24 Months</v>
      </c>
      <c r="W1090">
        <f t="shared" si="65"/>
        <v>1</v>
      </c>
      <c r="X1090">
        <f t="shared" si="66"/>
        <v>100.45</v>
      </c>
      <c r="Y1090" t="str">
        <f t="shared" si="67"/>
        <v>Senior Citizen</v>
      </c>
    </row>
    <row r="1091" spans="1:25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ref="V1091:V1154" si="68">IF(F1091&lt;=12,"0-12 Months",IF(F1091&lt;=24,"13-24 Months",IF(F1091&lt;=36,"25-36 Months",IF(F1091&lt;=48,"37-48 Months",IF(F1091&lt;=60,"49-60 Months","61-72 Months")))))</f>
        <v>13-24 Months</v>
      </c>
      <c r="W1091">
        <f t="shared" ref="W1091:W1154" si="69">IF(U1091="Yes",1,0)</f>
        <v>0</v>
      </c>
      <c r="X1091">
        <f t="shared" ref="X1091:X1154" si="70">IF(U1091="Yes",S1091,0)</f>
        <v>0</v>
      </c>
      <c r="Y1091" t="str">
        <f t="shared" ref="Y1091:Y1154" si="71">IF(C1091=1,"Senior Citizen","Non-Senior")</f>
        <v>Non-Senior</v>
      </c>
    </row>
    <row r="1092" spans="1:25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68"/>
        <v>49-60 Months</v>
      </c>
      <c r="W1092">
        <f t="shared" si="69"/>
        <v>0</v>
      </c>
      <c r="X1092">
        <f t="shared" si="70"/>
        <v>0</v>
      </c>
      <c r="Y1092" t="str">
        <f t="shared" si="71"/>
        <v>Non-Senior</v>
      </c>
    </row>
    <row r="1093" spans="1:25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68"/>
        <v>25-36 Months</v>
      </c>
      <c r="W1093">
        <f t="shared" si="69"/>
        <v>0</v>
      </c>
      <c r="X1093">
        <f t="shared" si="70"/>
        <v>0</v>
      </c>
      <c r="Y1093" t="str">
        <f t="shared" si="71"/>
        <v>Non-Senior</v>
      </c>
    </row>
    <row r="1094" spans="1:25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68"/>
        <v>61-72 Months</v>
      </c>
      <c r="W1094">
        <f t="shared" si="69"/>
        <v>0</v>
      </c>
      <c r="X1094">
        <f t="shared" si="70"/>
        <v>0</v>
      </c>
      <c r="Y1094" t="str">
        <f t="shared" si="71"/>
        <v>Non-Senior</v>
      </c>
    </row>
    <row r="1095" spans="1:25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68"/>
        <v>61-72 Months</v>
      </c>
      <c r="W1095">
        <f t="shared" si="69"/>
        <v>0</v>
      </c>
      <c r="X1095">
        <f t="shared" si="70"/>
        <v>0</v>
      </c>
      <c r="Y1095" t="str">
        <f t="shared" si="71"/>
        <v>Non-Senior</v>
      </c>
    </row>
    <row r="1096" spans="1:25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68"/>
        <v>37-48 Months</v>
      </c>
      <c r="W1096">
        <f t="shared" si="69"/>
        <v>0</v>
      </c>
      <c r="X1096">
        <f t="shared" si="70"/>
        <v>0</v>
      </c>
      <c r="Y1096" t="str">
        <f t="shared" si="71"/>
        <v>Non-Senior</v>
      </c>
    </row>
    <row r="1097" spans="1:25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68"/>
        <v>0-12 Months</v>
      </c>
      <c r="W1097">
        <f t="shared" si="69"/>
        <v>0</v>
      </c>
      <c r="X1097">
        <f t="shared" si="70"/>
        <v>0</v>
      </c>
      <c r="Y1097" t="str">
        <f t="shared" si="71"/>
        <v>Non-Senior</v>
      </c>
    </row>
    <row r="1098" spans="1:25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68"/>
        <v>0-12 Months</v>
      </c>
      <c r="W1098">
        <f t="shared" si="69"/>
        <v>0</v>
      </c>
      <c r="X1098">
        <f t="shared" si="70"/>
        <v>0</v>
      </c>
      <c r="Y1098" t="str">
        <f t="shared" si="71"/>
        <v>Non-Senior</v>
      </c>
    </row>
    <row r="1099" spans="1:25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68"/>
        <v>25-36 Months</v>
      </c>
      <c r="W1099">
        <f t="shared" si="69"/>
        <v>1</v>
      </c>
      <c r="X1099">
        <f t="shared" si="70"/>
        <v>90.4</v>
      </c>
      <c r="Y1099" t="str">
        <f t="shared" si="71"/>
        <v>Non-Senior</v>
      </c>
    </row>
    <row r="1100" spans="1:25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68"/>
        <v>61-72 Months</v>
      </c>
      <c r="W1100">
        <f t="shared" si="69"/>
        <v>0</v>
      </c>
      <c r="X1100">
        <f t="shared" si="70"/>
        <v>0</v>
      </c>
      <c r="Y1100" t="str">
        <f t="shared" si="71"/>
        <v>Non-Senior</v>
      </c>
    </row>
    <row r="1101" spans="1:25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68"/>
        <v>0-12 Months</v>
      </c>
      <c r="W1101">
        <f t="shared" si="69"/>
        <v>0</v>
      </c>
      <c r="X1101">
        <f t="shared" si="70"/>
        <v>0</v>
      </c>
      <c r="Y1101" t="str">
        <f t="shared" si="71"/>
        <v>Non-Senior</v>
      </c>
    </row>
    <row r="1102" spans="1:25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7082</v>
      </c>
      <c r="J1102" t="s">
        <v>7084</v>
      </c>
      <c r="K1102" t="s">
        <v>46</v>
      </c>
      <c r="L1102" t="s">
        <v>7084</v>
      </c>
      <c r="M1102" t="s">
        <v>7084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68"/>
        <v>13-24 Months</v>
      </c>
      <c r="W1102">
        <f t="shared" si="69"/>
        <v>0</v>
      </c>
      <c r="X1102">
        <f t="shared" si="70"/>
        <v>0</v>
      </c>
      <c r="Y1102" t="str">
        <f t="shared" si="71"/>
        <v>Non-Senior</v>
      </c>
    </row>
    <row r="1103" spans="1:25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7082</v>
      </c>
      <c r="J1103" t="s">
        <v>7084</v>
      </c>
      <c r="K1103" t="s">
        <v>46</v>
      </c>
      <c r="L1103" t="s">
        <v>7084</v>
      </c>
      <c r="M1103" t="s">
        <v>7084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68"/>
        <v>13-24 Months</v>
      </c>
      <c r="W1103">
        <f t="shared" si="69"/>
        <v>0</v>
      </c>
      <c r="X1103">
        <f t="shared" si="70"/>
        <v>0</v>
      </c>
      <c r="Y1103" t="str">
        <f t="shared" si="71"/>
        <v>Non-Senior</v>
      </c>
    </row>
    <row r="1104" spans="1:25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68"/>
        <v>0-12 Months</v>
      </c>
      <c r="W1104">
        <f t="shared" si="69"/>
        <v>1</v>
      </c>
      <c r="X1104">
        <f t="shared" si="70"/>
        <v>56.15</v>
      </c>
      <c r="Y1104" t="str">
        <f t="shared" si="71"/>
        <v>Non-Senior</v>
      </c>
    </row>
    <row r="1105" spans="1:25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68"/>
        <v>49-60 Months</v>
      </c>
      <c r="W1105">
        <f t="shared" si="69"/>
        <v>0</v>
      </c>
      <c r="X1105">
        <f t="shared" si="70"/>
        <v>0</v>
      </c>
      <c r="Y1105" t="str">
        <f t="shared" si="71"/>
        <v>Non-Senior</v>
      </c>
    </row>
    <row r="1106" spans="1:25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7082</v>
      </c>
      <c r="J1106" t="s">
        <v>7084</v>
      </c>
      <c r="K1106" t="s">
        <v>46</v>
      </c>
      <c r="L1106" t="s">
        <v>7084</v>
      </c>
      <c r="M1106" t="s">
        <v>7084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68"/>
        <v>37-48 Months</v>
      </c>
      <c r="W1106">
        <f t="shared" si="69"/>
        <v>0</v>
      </c>
      <c r="X1106">
        <f t="shared" si="70"/>
        <v>0</v>
      </c>
      <c r="Y1106" t="str">
        <f t="shared" si="71"/>
        <v>Non-Senior</v>
      </c>
    </row>
    <row r="1107" spans="1:25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68"/>
        <v>0-12 Months</v>
      </c>
      <c r="W1107">
        <f t="shared" si="69"/>
        <v>0</v>
      </c>
      <c r="X1107">
        <f t="shared" si="70"/>
        <v>0</v>
      </c>
      <c r="Y1107" t="str">
        <f t="shared" si="71"/>
        <v>Non-Senior</v>
      </c>
    </row>
    <row r="1108" spans="1:25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68"/>
        <v>61-72 Months</v>
      </c>
      <c r="W1108">
        <f t="shared" si="69"/>
        <v>0</v>
      </c>
      <c r="X1108">
        <f t="shared" si="70"/>
        <v>0</v>
      </c>
      <c r="Y1108" t="str">
        <f t="shared" si="71"/>
        <v>Non-Senior</v>
      </c>
    </row>
    <row r="1109" spans="1:25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7082</v>
      </c>
      <c r="J1109" t="s">
        <v>7084</v>
      </c>
      <c r="K1109" t="s">
        <v>46</v>
      </c>
      <c r="L1109" t="s">
        <v>7084</v>
      </c>
      <c r="M1109" t="s">
        <v>7084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68"/>
        <v>61-72 Months</v>
      </c>
      <c r="W1109">
        <f t="shared" si="69"/>
        <v>0</v>
      </c>
      <c r="X1109">
        <f t="shared" si="70"/>
        <v>0</v>
      </c>
      <c r="Y1109" t="str">
        <f t="shared" si="71"/>
        <v>Non-Senior</v>
      </c>
    </row>
    <row r="1110" spans="1:25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7082</v>
      </c>
      <c r="J1110" t="s">
        <v>7084</v>
      </c>
      <c r="K1110" t="s">
        <v>46</v>
      </c>
      <c r="L1110" t="s">
        <v>7084</v>
      </c>
      <c r="M1110" t="s">
        <v>7084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68"/>
        <v>61-72 Months</v>
      </c>
      <c r="W1110">
        <f t="shared" si="69"/>
        <v>0</v>
      </c>
      <c r="X1110">
        <f t="shared" si="70"/>
        <v>0</v>
      </c>
      <c r="Y1110" t="str">
        <f t="shared" si="71"/>
        <v>Non-Senior</v>
      </c>
    </row>
    <row r="1111" spans="1:25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68"/>
        <v>37-48 Months</v>
      </c>
      <c r="W1111">
        <f t="shared" si="69"/>
        <v>0</v>
      </c>
      <c r="X1111">
        <f t="shared" si="70"/>
        <v>0</v>
      </c>
      <c r="Y1111" t="str">
        <f t="shared" si="71"/>
        <v>Non-Senior</v>
      </c>
    </row>
    <row r="1112" spans="1:25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68"/>
        <v>49-60 Months</v>
      </c>
      <c r="W1112">
        <f t="shared" si="69"/>
        <v>0</v>
      </c>
      <c r="X1112">
        <f t="shared" si="70"/>
        <v>0</v>
      </c>
      <c r="Y1112" t="str">
        <f t="shared" si="71"/>
        <v>Non-Senior</v>
      </c>
    </row>
    <row r="1113" spans="1:25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68"/>
        <v>0-12 Months</v>
      </c>
      <c r="W1113">
        <f t="shared" si="69"/>
        <v>1</v>
      </c>
      <c r="X1113">
        <f t="shared" si="70"/>
        <v>94.4</v>
      </c>
      <c r="Y1113" t="str">
        <f t="shared" si="71"/>
        <v>Non-Senior</v>
      </c>
    </row>
    <row r="1114" spans="1:25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68"/>
        <v>61-72 Months</v>
      </c>
      <c r="W1114">
        <f t="shared" si="69"/>
        <v>0</v>
      </c>
      <c r="X1114">
        <f t="shared" si="70"/>
        <v>0</v>
      </c>
      <c r="Y1114" t="str">
        <f t="shared" si="71"/>
        <v>Senior Citizen</v>
      </c>
    </row>
    <row r="1115" spans="1:25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68"/>
        <v>37-48 Months</v>
      </c>
      <c r="W1115">
        <f t="shared" si="69"/>
        <v>1</v>
      </c>
      <c r="X1115">
        <f t="shared" si="70"/>
        <v>78.95</v>
      </c>
      <c r="Y1115" t="str">
        <f t="shared" si="71"/>
        <v>Non-Senior</v>
      </c>
    </row>
    <row r="1116" spans="1:25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68"/>
        <v>25-36 Months</v>
      </c>
      <c r="W1116">
        <f t="shared" si="69"/>
        <v>0</v>
      </c>
      <c r="X1116">
        <f t="shared" si="70"/>
        <v>0</v>
      </c>
      <c r="Y1116" t="str">
        <f t="shared" si="71"/>
        <v>Non-Senior</v>
      </c>
    </row>
    <row r="1117" spans="1:25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68"/>
        <v>37-48 Months</v>
      </c>
      <c r="W1117">
        <f t="shared" si="69"/>
        <v>0</v>
      </c>
      <c r="X1117">
        <f t="shared" si="70"/>
        <v>0</v>
      </c>
      <c r="Y1117" t="str">
        <f t="shared" si="71"/>
        <v>Non-Senior</v>
      </c>
    </row>
    <row r="1118" spans="1:25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7082</v>
      </c>
      <c r="J1118" t="s">
        <v>7084</v>
      </c>
      <c r="K1118" t="s">
        <v>46</v>
      </c>
      <c r="L1118" t="s">
        <v>7084</v>
      </c>
      <c r="M1118" t="s">
        <v>7084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68"/>
        <v>37-48 Months</v>
      </c>
      <c r="W1118">
        <f t="shared" si="69"/>
        <v>0</v>
      </c>
      <c r="X1118">
        <f t="shared" si="70"/>
        <v>0</v>
      </c>
      <c r="Y1118" t="str">
        <f t="shared" si="71"/>
        <v>Non-Senior</v>
      </c>
    </row>
    <row r="1119" spans="1:25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68"/>
        <v>49-60 Months</v>
      </c>
      <c r="W1119">
        <f t="shared" si="69"/>
        <v>0</v>
      </c>
      <c r="X1119">
        <f t="shared" si="70"/>
        <v>0</v>
      </c>
      <c r="Y1119" t="str">
        <f t="shared" si="71"/>
        <v>Non-Senior</v>
      </c>
    </row>
    <row r="1120" spans="1:25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68"/>
        <v>37-48 Months</v>
      </c>
      <c r="W1120">
        <f t="shared" si="69"/>
        <v>0</v>
      </c>
      <c r="X1120">
        <f t="shared" si="70"/>
        <v>0</v>
      </c>
      <c r="Y1120" t="str">
        <f t="shared" si="71"/>
        <v>Non-Senior</v>
      </c>
    </row>
    <row r="1121" spans="1:25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68"/>
        <v>61-72 Months</v>
      </c>
      <c r="W1121">
        <f t="shared" si="69"/>
        <v>0</v>
      </c>
      <c r="X1121">
        <f t="shared" si="70"/>
        <v>0</v>
      </c>
      <c r="Y1121" t="str">
        <f t="shared" si="71"/>
        <v>Non-Senior</v>
      </c>
    </row>
    <row r="1122" spans="1:25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68"/>
        <v>13-24 Months</v>
      </c>
      <c r="W1122">
        <f t="shared" si="69"/>
        <v>0</v>
      </c>
      <c r="X1122">
        <f t="shared" si="70"/>
        <v>0</v>
      </c>
      <c r="Y1122" t="str">
        <f t="shared" si="71"/>
        <v>Non-Senior</v>
      </c>
    </row>
    <row r="1123" spans="1:25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68"/>
        <v>49-60 Months</v>
      </c>
      <c r="W1123">
        <f t="shared" si="69"/>
        <v>0</v>
      </c>
      <c r="X1123">
        <f t="shared" si="70"/>
        <v>0</v>
      </c>
      <c r="Y1123" t="str">
        <f t="shared" si="71"/>
        <v>Non-Senior</v>
      </c>
    </row>
    <row r="1124" spans="1:25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68"/>
        <v>13-24 Months</v>
      </c>
      <c r="W1124">
        <f t="shared" si="69"/>
        <v>1</v>
      </c>
      <c r="X1124">
        <f t="shared" si="70"/>
        <v>44.85</v>
      </c>
      <c r="Y1124" t="str">
        <f t="shared" si="71"/>
        <v>Non-Senior</v>
      </c>
    </row>
    <row r="1125" spans="1:25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68"/>
        <v>25-36 Months</v>
      </c>
      <c r="W1125">
        <f t="shared" si="69"/>
        <v>0</v>
      </c>
      <c r="X1125">
        <f t="shared" si="70"/>
        <v>0</v>
      </c>
      <c r="Y1125" t="str">
        <f t="shared" si="71"/>
        <v>Non-Senior</v>
      </c>
    </row>
    <row r="1126" spans="1:25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68"/>
        <v>0-12 Months</v>
      </c>
      <c r="W1126">
        <f t="shared" si="69"/>
        <v>0</v>
      </c>
      <c r="X1126">
        <f t="shared" si="70"/>
        <v>0</v>
      </c>
      <c r="Y1126" t="str">
        <f t="shared" si="71"/>
        <v>Non-Senior</v>
      </c>
    </row>
    <row r="1127" spans="1:25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68"/>
        <v>37-48 Months</v>
      </c>
      <c r="W1127">
        <f t="shared" si="69"/>
        <v>1</v>
      </c>
      <c r="X1127">
        <f t="shared" si="70"/>
        <v>105.65</v>
      </c>
      <c r="Y1127" t="str">
        <f t="shared" si="71"/>
        <v>Senior Citizen</v>
      </c>
    </row>
    <row r="1128" spans="1:25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68"/>
        <v>0-12 Months</v>
      </c>
      <c r="W1128">
        <f t="shared" si="69"/>
        <v>1</v>
      </c>
      <c r="X1128">
        <f t="shared" si="70"/>
        <v>74.650000000000006</v>
      </c>
      <c r="Y1128" t="str">
        <f t="shared" si="71"/>
        <v>Non-Senior</v>
      </c>
    </row>
    <row r="1129" spans="1:25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68"/>
        <v>13-24 Months</v>
      </c>
      <c r="W1129">
        <f t="shared" si="69"/>
        <v>0</v>
      </c>
      <c r="X1129">
        <f t="shared" si="70"/>
        <v>0</v>
      </c>
      <c r="Y1129" t="str">
        <f t="shared" si="71"/>
        <v>Non-Senior</v>
      </c>
    </row>
    <row r="1130" spans="1:25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7082</v>
      </c>
      <c r="J1130" t="s">
        <v>7084</v>
      </c>
      <c r="K1130" t="s">
        <v>46</v>
      </c>
      <c r="L1130" t="s">
        <v>7084</v>
      </c>
      <c r="M1130" t="s">
        <v>7084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68"/>
        <v>25-36 Months</v>
      </c>
      <c r="W1130">
        <f t="shared" si="69"/>
        <v>0</v>
      </c>
      <c r="X1130">
        <f t="shared" si="70"/>
        <v>0</v>
      </c>
      <c r="Y1130" t="str">
        <f t="shared" si="71"/>
        <v>Non-Senior</v>
      </c>
    </row>
    <row r="1131" spans="1:25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68"/>
        <v>37-48 Months</v>
      </c>
      <c r="W1131">
        <f t="shared" si="69"/>
        <v>0</v>
      </c>
      <c r="X1131">
        <f t="shared" si="70"/>
        <v>0</v>
      </c>
      <c r="Y1131" t="str">
        <f t="shared" si="71"/>
        <v>Senior Citizen</v>
      </c>
    </row>
    <row r="1132" spans="1:25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7082</v>
      </c>
      <c r="J1132" t="s">
        <v>7084</v>
      </c>
      <c r="K1132" t="s">
        <v>46</v>
      </c>
      <c r="L1132" t="s">
        <v>7084</v>
      </c>
      <c r="M1132" t="s">
        <v>7084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68"/>
        <v>25-36 Months</v>
      </c>
      <c r="W1132">
        <f t="shared" si="69"/>
        <v>0</v>
      </c>
      <c r="X1132">
        <f t="shared" si="70"/>
        <v>0</v>
      </c>
      <c r="Y1132" t="str">
        <f t="shared" si="71"/>
        <v>Non-Senior</v>
      </c>
    </row>
    <row r="1133" spans="1:25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68"/>
        <v>13-24 Months</v>
      </c>
      <c r="W1133">
        <f t="shared" si="69"/>
        <v>1</v>
      </c>
      <c r="X1133">
        <f t="shared" si="70"/>
        <v>64.7</v>
      </c>
      <c r="Y1133" t="str">
        <f t="shared" si="71"/>
        <v>Non-Senior</v>
      </c>
    </row>
    <row r="1134" spans="1:25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68"/>
        <v>0-12 Months</v>
      </c>
      <c r="W1134">
        <f t="shared" si="69"/>
        <v>1</v>
      </c>
      <c r="X1134">
        <f t="shared" si="70"/>
        <v>104.05</v>
      </c>
      <c r="Y1134" t="str">
        <f t="shared" si="71"/>
        <v>Senior Citizen</v>
      </c>
    </row>
    <row r="1135" spans="1:25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7082</v>
      </c>
      <c r="J1135" t="s">
        <v>7084</v>
      </c>
      <c r="K1135" t="s">
        <v>46</v>
      </c>
      <c r="L1135" t="s">
        <v>7084</v>
      </c>
      <c r="M1135" t="s">
        <v>7084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68"/>
        <v>0-12 Months</v>
      </c>
      <c r="W1135">
        <f t="shared" si="69"/>
        <v>0</v>
      </c>
      <c r="X1135">
        <f t="shared" si="70"/>
        <v>0</v>
      </c>
      <c r="Y1135" t="str">
        <f t="shared" si="71"/>
        <v>Non-Senior</v>
      </c>
    </row>
    <row r="1136" spans="1:25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68"/>
        <v>25-36 Months</v>
      </c>
      <c r="W1136">
        <f t="shared" si="69"/>
        <v>0</v>
      </c>
      <c r="X1136">
        <f t="shared" si="70"/>
        <v>0</v>
      </c>
      <c r="Y1136" t="str">
        <f t="shared" si="71"/>
        <v>Non-Senior</v>
      </c>
    </row>
    <row r="1137" spans="1:25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68"/>
        <v>61-72 Months</v>
      </c>
      <c r="W1137">
        <f t="shared" si="69"/>
        <v>0</v>
      </c>
      <c r="X1137">
        <f t="shared" si="70"/>
        <v>0</v>
      </c>
      <c r="Y1137" t="str">
        <f t="shared" si="71"/>
        <v>Senior Citizen</v>
      </c>
    </row>
    <row r="1138" spans="1:25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7082</v>
      </c>
      <c r="J1138" t="s">
        <v>7084</v>
      </c>
      <c r="K1138" t="s">
        <v>46</v>
      </c>
      <c r="L1138" t="s">
        <v>7084</v>
      </c>
      <c r="M1138" t="s">
        <v>7084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68"/>
        <v>61-72 Months</v>
      </c>
      <c r="W1138">
        <f t="shared" si="69"/>
        <v>0</v>
      </c>
      <c r="X1138">
        <f t="shared" si="70"/>
        <v>0</v>
      </c>
      <c r="Y1138" t="str">
        <f t="shared" si="71"/>
        <v>Non-Senior</v>
      </c>
    </row>
    <row r="1139" spans="1:25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7082</v>
      </c>
      <c r="J1139" t="s">
        <v>7084</v>
      </c>
      <c r="K1139" t="s">
        <v>46</v>
      </c>
      <c r="L1139" t="s">
        <v>7084</v>
      </c>
      <c r="M1139" t="s">
        <v>7084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68"/>
        <v>61-72 Months</v>
      </c>
      <c r="W1139">
        <f t="shared" si="69"/>
        <v>0</v>
      </c>
      <c r="X1139">
        <f t="shared" si="70"/>
        <v>0</v>
      </c>
      <c r="Y1139" t="str">
        <f t="shared" si="71"/>
        <v>Non-Senior</v>
      </c>
    </row>
    <row r="1140" spans="1:25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68"/>
        <v>0-12 Months</v>
      </c>
      <c r="W1140">
        <f t="shared" si="69"/>
        <v>0</v>
      </c>
      <c r="X1140">
        <f t="shared" si="70"/>
        <v>0</v>
      </c>
      <c r="Y1140" t="str">
        <f t="shared" si="71"/>
        <v>Non-Senior</v>
      </c>
    </row>
    <row r="1141" spans="1:25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7082</v>
      </c>
      <c r="J1141" t="s">
        <v>7084</v>
      </c>
      <c r="K1141" t="s">
        <v>46</v>
      </c>
      <c r="L1141" t="s">
        <v>7084</v>
      </c>
      <c r="M1141" t="s">
        <v>7084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68"/>
        <v>13-24 Months</v>
      </c>
      <c r="W1141">
        <f t="shared" si="69"/>
        <v>0</v>
      </c>
      <c r="X1141">
        <f t="shared" si="70"/>
        <v>0</v>
      </c>
      <c r="Y1141" t="str">
        <f t="shared" si="71"/>
        <v>Senior Citizen</v>
      </c>
    </row>
    <row r="1142" spans="1:25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68"/>
        <v>13-24 Months</v>
      </c>
      <c r="W1142">
        <f t="shared" si="69"/>
        <v>0</v>
      </c>
      <c r="X1142">
        <f t="shared" si="70"/>
        <v>0</v>
      </c>
      <c r="Y1142" t="str">
        <f t="shared" si="71"/>
        <v>Non-Senior</v>
      </c>
    </row>
    <row r="1143" spans="1:25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7082</v>
      </c>
      <c r="J1143" t="s">
        <v>7084</v>
      </c>
      <c r="K1143" t="s">
        <v>46</v>
      </c>
      <c r="L1143" t="s">
        <v>7084</v>
      </c>
      <c r="M1143" t="s">
        <v>7084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68"/>
        <v>0-12 Months</v>
      </c>
      <c r="W1143">
        <f t="shared" si="69"/>
        <v>0</v>
      </c>
      <c r="X1143">
        <f t="shared" si="70"/>
        <v>0</v>
      </c>
      <c r="Y1143" t="str">
        <f t="shared" si="71"/>
        <v>Non-Senior</v>
      </c>
    </row>
    <row r="1144" spans="1:25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68"/>
        <v>0-12 Months</v>
      </c>
      <c r="W1144">
        <f t="shared" si="69"/>
        <v>0</v>
      </c>
      <c r="X1144">
        <f t="shared" si="70"/>
        <v>0</v>
      </c>
      <c r="Y1144" t="str">
        <f t="shared" si="71"/>
        <v>Senior Citizen</v>
      </c>
    </row>
    <row r="1145" spans="1:25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68"/>
        <v>13-24 Months</v>
      </c>
      <c r="W1145">
        <f t="shared" si="69"/>
        <v>0</v>
      </c>
      <c r="X1145">
        <f t="shared" si="70"/>
        <v>0</v>
      </c>
      <c r="Y1145" t="str">
        <f t="shared" si="71"/>
        <v>Non-Senior</v>
      </c>
    </row>
    <row r="1146" spans="1:25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68"/>
        <v>0-12 Months</v>
      </c>
      <c r="W1146">
        <f t="shared" si="69"/>
        <v>1</v>
      </c>
      <c r="X1146">
        <f t="shared" si="70"/>
        <v>35.549999999999997</v>
      </c>
      <c r="Y1146" t="str">
        <f t="shared" si="71"/>
        <v>Non-Senior</v>
      </c>
    </row>
    <row r="1147" spans="1:25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68"/>
        <v>25-36 Months</v>
      </c>
      <c r="W1147">
        <f t="shared" si="69"/>
        <v>0</v>
      </c>
      <c r="X1147">
        <f t="shared" si="70"/>
        <v>0</v>
      </c>
      <c r="Y1147" t="str">
        <f t="shared" si="71"/>
        <v>Non-Senior</v>
      </c>
    </row>
    <row r="1148" spans="1:25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68"/>
        <v>25-36 Months</v>
      </c>
      <c r="W1148">
        <f t="shared" si="69"/>
        <v>0</v>
      </c>
      <c r="X1148">
        <f t="shared" si="70"/>
        <v>0</v>
      </c>
      <c r="Y1148" t="str">
        <f t="shared" si="71"/>
        <v>Non-Senior</v>
      </c>
    </row>
    <row r="1149" spans="1:25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68"/>
        <v>0-12 Months</v>
      </c>
      <c r="W1149">
        <f t="shared" si="69"/>
        <v>0</v>
      </c>
      <c r="X1149">
        <f t="shared" si="70"/>
        <v>0</v>
      </c>
      <c r="Y1149" t="str">
        <f t="shared" si="71"/>
        <v>Non-Senior</v>
      </c>
    </row>
    <row r="1150" spans="1:25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68"/>
        <v>0-12 Months</v>
      </c>
      <c r="W1150">
        <f t="shared" si="69"/>
        <v>1</v>
      </c>
      <c r="X1150">
        <f t="shared" si="70"/>
        <v>95.15</v>
      </c>
      <c r="Y1150" t="str">
        <f t="shared" si="71"/>
        <v>Non-Senior</v>
      </c>
    </row>
    <row r="1151" spans="1:25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68"/>
        <v>13-24 Months</v>
      </c>
      <c r="W1151">
        <f t="shared" si="69"/>
        <v>1</v>
      </c>
      <c r="X1151">
        <f t="shared" si="70"/>
        <v>96.65</v>
      </c>
      <c r="Y1151" t="str">
        <f t="shared" si="71"/>
        <v>Non-Senior</v>
      </c>
    </row>
    <row r="1152" spans="1:25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68"/>
        <v>37-48 Months</v>
      </c>
      <c r="W1152">
        <f t="shared" si="69"/>
        <v>0</v>
      </c>
      <c r="X1152">
        <f t="shared" si="70"/>
        <v>0</v>
      </c>
      <c r="Y1152" t="str">
        <f t="shared" si="71"/>
        <v>Non-Senior</v>
      </c>
    </row>
    <row r="1153" spans="1:25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7082</v>
      </c>
      <c r="J1153" t="s">
        <v>7084</v>
      </c>
      <c r="K1153" t="s">
        <v>46</v>
      </c>
      <c r="L1153" t="s">
        <v>7084</v>
      </c>
      <c r="M1153" t="s">
        <v>7084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68"/>
        <v>0-12 Months</v>
      </c>
      <c r="W1153">
        <f t="shared" si="69"/>
        <v>0</v>
      </c>
      <c r="X1153">
        <f t="shared" si="70"/>
        <v>0</v>
      </c>
      <c r="Y1153" t="str">
        <f t="shared" si="71"/>
        <v>Non-Senior</v>
      </c>
    </row>
    <row r="1154" spans="1:25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si="68"/>
        <v>0-12 Months</v>
      </c>
      <c r="W1154">
        <f t="shared" si="69"/>
        <v>0</v>
      </c>
      <c r="X1154">
        <f t="shared" si="70"/>
        <v>0</v>
      </c>
      <c r="Y1154" t="str">
        <f t="shared" si="71"/>
        <v>Non-Senior</v>
      </c>
    </row>
    <row r="1155" spans="1:25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ref="V1155:V1218" si="72">IF(F1155&lt;=12,"0-12 Months",IF(F1155&lt;=24,"13-24 Months",IF(F1155&lt;=36,"25-36 Months",IF(F1155&lt;=48,"37-48 Months",IF(F1155&lt;=60,"49-60 Months","61-72 Months")))))</f>
        <v>49-60 Months</v>
      </c>
      <c r="W1155">
        <f t="shared" ref="W1155:W1218" si="73">IF(U1155="Yes",1,0)</f>
        <v>0</v>
      </c>
      <c r="X1155">
        <f t="shared" ref="X1155:X1218" si="74">IF(U1155="Yes",S1155,0)</f>
        <v>0</v>
      </c>
      <c r="Y1155" t="str">
        <f t="shared" ref="Y1155:Y1218" si="75">IF(C1155=1,"Senior Citizen","Non-Senior")</f>
        <v>Non-Senior</v>
      </c>
    </row>
    <row r="1156" spans="1:25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7082</v>
      </c>
      <c r="J1156" t="s">
        <v>7084</v>
      </c>
      <c r="K1156" t="s">
        <v>46</v>
      </c>
      <c r="L1156" t="s">
        <v>7084</v>
      </c>
      <c r="M1156" t="s">
        <v>7084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72"/>
        <v>37-48 Months</v>
      </c>
      <c r="W1156">
        <f t="shared" si="73"/>
        <v>0</v>
      </c>
      <c r="X1156">
        <f t="shared" si="74"/>
        <v>0</v>
      </c>
      <c r="Y1156" t="str">
        <f t="shared" si="75"/>
        <v>Non-Senior</v>
      </c>
    </row>
    <row r="1157" spans="1:25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72"/>
        <v>61-72 Months</v>
      </c>
      <c r="W1157">
        <f t="shared" si="73"/>
        <v>0</v>
      </c>
      <c r="X1157">
        <f t="shared" si="74"/>
        <v>0</v>
      </c>
      <c r="Y1157" t="str">
        <f t="shared" si="75"/>
        <v>Non-Senior</v>
      </c>
    </row>
    <row r="1158" spans="1:25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7082</v>
      </c>
      <c r="J1158" t="s">
        <v>7084</v>
      </c>
      <c r="K1158" t="s">
        <v>46</v>
      </c>
      <c r="L1158" t="s">
        <v>7084</v>
      </c>
      <c r="M1158" t="s">
        <v>7084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72"/>
        <v>49-60 Months</v>
      </c>
      <c r="W1158">
        <f t="shared" si="73"/>
        <v>0</v>
      </c>
      <c r="X1158">
        <f t="shared" si="74"/>
        <v>0</v>
      </c>
      <c r="Y1158" t="str">
        <f t="shared" si="75"/>
        <v>Non-Senior</v>
      </c>
    </row>
    <row r="1159" spans="1:25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72"/>
        <v>61-72 Months</v>
      </c>
      <c r="W1159">
        <f t="shared" si="73"/>
        <v>0</v>
      </c>
      <c r="X1159">
        <f t="shared" si="74"/>
        <v>0</v>
      </c>
      <c r="Y1159" t="str">
        <f t="shared" si="75"/>
        <v>Senior Citizen</v>
      </c>
    </row>
    <row r="1160" spans="1:25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72"/>
        <v>49-60 Months</v>
      </c>
      <c r="W1160">
        <f t="shared" si="73"/>
        <v>0</v>
      </c>
      <c r="X1160">
        <f t="shared" si="74"/>
        <v>0</v>
      </c>
      <c r="Y1160" t="str">
        <f t="shared" si="75"/>
        <v>Non-Senior</v>
      </c>
    </row>
    <row r="1161" spans="1:25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72"/>
        <v>0-12 Months</v>
      </c>
      <c r="W1161">
        <f t="shared" si="73"/>
        <v>1</v>
      </c>
      <c r="X1161">
        <f t="shared" si="74"/>
        <v>80.400000000000006</v>
      </c>
      <c r="Y1161" t="str">
        <f t="shared" si="75"/>
        <v>Senior Citizen</v>
      </c>
    </row>
    <row r="1162" spans="1:25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72"/>
        <v>13-24 Months</v>
      </c>
      <c r="W1162">
        <f t="shared" si="73"/>
        <v>0</v>
      </c>
      <c r="X1162">
        <f t="shared" si="74"/>
        <v>0</v>
      </c>
      <c r="Y1162" t="str">
        <f t="shared" si="75"/>
        <v>Senior Citizen</v>
      </c>
    </row>
    <row r="1163" spans="1:25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72"/>
        <v>0-12 Months</v>
      </c>
      <c r="W1163">
        <f t="shared" si="73"/>
        <v>1</v>
      </c>
      <c r="X1163">
        <f t="shared" si="74"/>
        <v>31.35</v>
      </c>
      <c r="Y1163" t="str">
        <f t="shared" si="75"/>
        <v>Non-Senior</v>
      </c>
    </row>
    <row r="1164" spans="1:25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72"/>
        <v>61-72 Months</v>
      </c>
      <c r="W1164">
        <f t="shared" si="73"/>
        <v>0</v>
      </c>
      <c r="X1164">
        <f t="shared" si="74"/>
        <v>0</v>
      </c>
      <c r="Y1164" t="str">
        <f t="shared" si="75"/>
        <v>Non-Senior</v>
      </c>
    </row>
    <row r="1165" spans="1:25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72"/>
        <v>0-12 Months</v>
      </c>
      <c r="W1165">
        <f t="shared" si="73"/>
        <v>1</v>
      </c>
      <c r="X1165">
        <f t="shared" si="74"/>
        <v>89.75</v>
      </c>
      <c r="Y1165" t="str">
        <f t="shared" si="75"/>
        <v>Non-Senior</v>
      </c>
    </row>
    <row r="1166" spans="1:25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72"/>
        <v>61-72 Months</v>
      </c>
      <c r="W1166">
        <f t="shared" si="73"/>
        <v>0</v>
      </c>
      <c r="X1166">
        <f t="shared" si="74"/>
        <v>0</v>
      </c>
      <c r="Y1166" t="str">
        <f t="shared" si="75"/>
        <v>Senior Citizen</v>
      </c>
    </row>
    <row r="1167" spans="1:25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7082</v>
      </c>
      <c r="J1167" t="s">
        <v>7084</v>
      </c>
      <c r="K1167" t="s">
        <v>46</v>
      </c>
      <c r="L1167" t="s">
        <v>7084</v>
      </c>
      <c r="M1167" t="s">
        <v>7084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72"/>
        <v>25-36 Months</v>
      </c>
      <c r="W1167">
        <f t="shared" si="73"/>
        <v>0</v>
      </c>
      <c r="X1167">
        <f t="shared" si="74"/>
        <v>0</v>
      </c>
      <c r="Y1167" t="str">
        <f t="shared" si="75"/>
        <v>Non-Senior</v>
      </c>
    </row>
    <row r="1168" spans="1:25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72"/>
        <v>0-12 Months</v>
      </c>
      <c r="W1168">
        <f t="shared" si="73"/>
        <v>0</v>
      </c>
      <c r="X1168">
        <f t="shared" si="74"/>
        <v>0</v>
      </c>
      <c r="Y1168" t="str">
        <f t="shared" si="75"/>
        <v>Non-Senior</v>
      </c>
    </row>
    <row r="1169" spans="1:25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72"/>
        <v>25-36 Months</v>
      </c>
      <c r="W1169">
        <f t="shared" si="73"/>
        <v>0</v>
      </c>
      <c r="X1169">
        <f t="shared" si="74"/>
        <v>0</v>
      </c>
      <c r="Y1169" t="str">
        <f t="shared" si="75"/>
        <v>Non-Senior</v>
      </c>
    </row>
    <row r="1170" spans="1:25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7082</v>
      </c>
      <c r="J1170" t="s">
        <v>7084</v>
      </c>
      <c r="K1170" t="s">
        <v>46</v>
      </c>
      <c r="L1170" t="s">
        <v>7084</v>
      </c>
      <c r="M1170" t="s">
        <v>7084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72"/>
        <v>0-12 Months</v>
      </c>
      <c r="W1170">
        <f t="shared" si="73"/>
        <v>0</v>
      </c>
      <c r="X1170">
        <f t="shared" si="74"/>
        <v>0</v>
      </c>
      <c r="Y1170" t="str">
        <f t="shared" si="75"/>
        <v>Non-Senior</v>
      </c>
    </row>
    <row r="1171" spans="1:25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72"/>
        <v>61-72 Months</v>
      </c>
      <c r="W1171">
        <f t="shared" si="73"/>
        <v>0</v>
      </c>
      <c r="X1171">
        <f t="shared" si="74"/>
        <v>0</v>
      </c>
      <c r="Y1171" t="str">
        <f t="shared" si="75"/>
        <v>Senior Citizen</v>
      </c>
    </row>
    <row r="1172" spans="1:25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72"/>
        <v>61-72 Months</v>
      </c>
      <c r="W1172">
        <f t="shared" si="73"/>
        <v>0</v>
      </c>
      <c r="X1172">
        <f t="shared" si="74"/>
        <v>0</v>
      </c>
      <c r="Y1172" t="str">
        <f t="shared" si="75"/>
        <v>Non-Senior</v>
      </c>
    </row>
    <row r="1173" spans="1:25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72"/>
        <v>49-60 Months</v>
      </c>
      <c r="W1173">
        <f t="shared" si="73"/>
        <v>1</v>
      </c>
      <c r="X1173">
        <f t="shared" si="74"/>
        <v>94.4</v>
      </c>
      <c r="Y1173" t="str">
        <f t="shared" si="75"/>
        <v>Non-Senior</v>
      </c>
    </row>
    <row r="1174" spans="1:25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72"/>
        <v>25-36 Months</v>
      </c>
      <c r="W1174">
        <f t="shared" si="73"/>
        <v>0</v>
      </c>
      <c r="X1174">
        <f t="shared" si="74"/>
        <v>0</v>
      </c>
      <c r="Y1174" t="str">
        <f t="shared" si="75"/>
        <v>Senior Citizen</v>
      </c>
    </row>
    <row r="1175" spans="1:25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7082</v>
      </c>
      <c r="J1175" t="s">
        <v>7084</v>
      </c>
      <c r="K1175" t="s">
        <v>46</v>
      </c>
      <c r="L1175" t="s">
        <v>7084</v>
      </c>
      <c r="M1175" t="s">
        <v>7084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72"/>
        <v>0-12 Months</v>
      </c>
      <c r="W1175">
        <f t="shared" si="73"/>
        <v>1</v>
      </c>
      <c r="X1175">
        <f t="shared" si="74"/>
        <v>19.850000000000001</v>
      </c>
      <c r="Y1175" t="str">
        <f t="shared" si="75"/>
        <v>Non-Senior</v>
      </c>
    </row>
    <row r="1176" spans="1:25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72"/>
        <v>13-24 Months</v>
      </c>
      <c r="W1176">
        <f t="shared" si="73"/>
        <v>0</v>
      </c>
      <c r="X1176">
        <f t="shared" si="74"/>
        <v>0</v>
      </c>
      <c r="Y1176" t="str">
        <f t="shared" si="75"/>
        <v>Non-Senior</v>
      </c>
    </row>
    <row r="1177" spans="1:25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72"/>
        <v>13-24 Months</v>
      </c>
      <c r="W1177">
        <f t="shared" si="73"/>
        <v>0</v>
      </c>
      <c r="X1177">
        <f t="shared" si="74"/>
        <v>0</v>
      </c>
      <c r="Y1177" t="str">
        <f t="shared" si="75"/>
        <v>Non-Senior</v>
      </c>
    </row>
    <row r="1178" spans="1:25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72"/>
        <v>0-12 Months</v>
      </c>
      <c r="W1178">
        <f t="shared" si="73"/>
        <v>1</v>
      </c>
      <c r="X1178">
        <f t="shared" si="74"/>
        <v>109.9</v>
      </c>
      <c r="Y1178" t="str">
        <f t="shared" si="75"/>
        <v>Non-Senior</v>
      </c>
    </row>
    <row r="1179" spans="1:25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72"/>
        <v>37-48 Months</v>
      </c>
      <c r="W1179">
        <f t="shared" si="73"/>
        <v>0</v>
      </c>
      <c r="X1179">
        <f t="shared" si="74"/>
        <v>0</v>
      </c>
      <c r="Y1179" t="str">
        <f t="shared" si="75"/>
        <v>Non-Senior</v>
      </c>
    </row>
    <row r="1180" spans="1:25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72"/>
        <v>13-24 Months</v>
      </c>
      <c r="W1180">
        <f t="shared" si="73"/>
        <v>1</v>
      </c>
      <c r="X1180">
        <f t="shared" si="74"/>
        <v>101.35</v>
      </c>
      <c r="Y1180" t="str">
        <f t="shared" si="75"/>
        <v>Non-Senior</v>
      </c>
    </row>
    <row r="1181" spans="1:25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72"/>
        <v>37-48 Months</v>
      </c>
      <c r="W1181">
        <f t="shared" si="73"/>
        <v>0</v>
      </c>
      <c r="X1181">
        <f t="shared" si="74"/>
        <v>0</v>
      </c>
      <c r="Y1181" t="str">
        <f t="shared" si="75"/>
        <v>Senior Citizen</v>
      </c>
    </row>
    <row r="1182" spans="1:25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72"/>
        <v>37-48 Months</v>
      </c>
      <c r="W1182">
        <f t="shared" si="73"/>
        <v>0</v>
      </c>
      <c r="X1182">
        <f t="shared" si="74"/>
        <v>0</v>
      </c>
      <c r="Y1182" t="str">
        <f t="shared" si="75"/>
        <v>Non-Senior</v>
      </c>
    </row>
    <row r="1183" spans="1:25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72"/>
        <v>13-24 Months</v>
      </c>
      <c r="W1183">
        <f t="shared" si="73"/>
        <v>1</v>
      </c>
      <c r="X1183">
        <f t="shared" si="74"/>
        <v>60.05</v>
      </c>
      <c r="Y1183" t="str">
        <f t="shared" si="75"/>
        <v>Senior Citizen</v>
      </c>
    </row>
    <row r="1184" spans="1:25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72"/>
        <v>49-60 Months</v>
      </c>
      <c r="W1184">
        <f t="shared" si="73"/>
        <v>0</v>
      </c>
      <c r="X1184">
        <f t="shared" si="74"/>
        <v>0</v>
      </c>
      <c r="Y1184" t="str">
        <f t="shared" si="75"/>
        <v>Non-Senior</v>
      </c>
    </row>
    <row r="1185" spans="1:25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72"/>
        <v>49-60 Months</v>
      </c>
      <c r="W1185">
        <f t="shared" si="73"/>
        <v>0</v>
      </c>
      <c r="X1185">
        <f t="shared" si="74"/>
        <v>0</v>
      </c>
      <c r="Y1185" t="str">
        <f t="shared" si="75"/>
        <v>Non-Senior</v>
      </c>
    </row>
    <row r="1186" spans="1:25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72"/>
        <v>13-24 Months</v>
      </c>
      <c r="W1186">
        <f t="shared" si="73"/>
        <v>0</v>
      </c>
      <c r="X1186">
        <f t="shared" si="74"/>
        <v>0</v>
      </c>
      <c r="Y1186" t="str">
        <f t="shared" si="75"/>
        <v>Non-Senior</v>
      </c>
    </row>
    <row r="1187" spans="1:25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72"/>
        <v>0-12 Months</v>
      </c>
      <c r="W1187">
        <f t="shared" si="73"/>
        <v>1</v>
      </c>
      <c r="X1187">
        <f t="shared" si="74"/>
        <v>60.15</v>
      </c>
      <c r="Y1187" t="str">
        <f t="shared" si="75"/>
        <v>Non-Senior</v>
      </c>
    </row>
    <row r="1188" spans="1:25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72"/>
        <v>49-60 Months</v>
      </c>
      <c r="W1188">
        <f t="shared" si="73"/>
        <v>0</v>
      </c>
      <c r="X1188">
        <f t="shared" si="74"/>
        <v>0</v>
      </c>
      <c r="Y1188" t="str">
        <f t="shared" si="75"/>
        <v>Non-Senior</v>
      </c>
    </row>
    <row r="1189" spans="1:25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72"/>
        <v>61-72 Months</v>
      </c>
      <c r="W1189">
        <f t="shared" si="73"/>
        <v>0</v>
      </c>
      <c r="X1189">
        <f t="shared" si="74"/>
        <v>0</v>
      </c>
      <c r="Y1189" t="str">
        <f t="shared" si="75"/>
        <v>Senior Citizen</v>
      </c>
    </row>
    <row r="1190" spans="1:25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72"/>
        <v>25-36 Months</v>
      </c>
      <c r="W1190">
        <f t="shared" si="73"/>
        <v>0</v>
      </c>
      <c r="X1190">
        <f t="shared" si="74"/>
        <v>0</v>
      </c>
      <c r="Y1190" t="str">
        <f t="shared" si="75"/>
        <v>Non-Senior</v>
      </c>
    </row>
    <row r="1191" spans="1:25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72"/>
        <v>0-12 Months</v>
      </c>
      <c r="W1191">
        <f t="shared" si="73"/>
        <v>0</v>
      </c>
      <c r="X1191">
        <f t="shared" si="74"/>
        <v>0</v>
      </c>
      <c r="Y1191" t="str">
        <f t="shared" si="75"/>
        <v>Non-Senior</v>
      </c>
    </row>
    <row r="1192" spans="1:25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72"/>
        <v>37-48 Months</v>
      </c>
      <c r="W1192">
        <f t="shared" si="73"/>
        <v>0</v>
      </c>
      <c r="X1192">
        <f t="shared" si="74"/>
        <v>0</v>
      </c>
      <c r="Y1192" t="str">
        <f t="shared" si="75"/>
        <v>Non-Senior</v>
      </c>
    </row>
    <row r="1193" spans="1:25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72"/>
        <v>25-36 Months</v>
      </c>
      <c r="W1193">
        <f t="shared" si="73"/>
        <v>0</v>
      </c>
      <c r="X1193">
        <f t="shared" si="74"/>
        <v>0</v>
      </c>
      <c r="Y1193" t="str">
        <f t="shared" si="75"/>
        <v>Non-Senior</v>
      </c>
    </row>
    <row r="1194" spans="1:25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72"/>
        <v>0-12 Months</v>
      </c>
      <c r="W1194">
        <f t="shared" si="73"/>
        <v>1</v>
      </c>
      <c r="X1194">
        <f t="shared" si="74"/>
        <v>90.45</v>
      </c>
      <c r="Y1194" t="str">
        <f t="shared" si="75"/>
        <v>Non-Senior</v>
      </c>
    </row>
    <row r="1195" spans="1:25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72"/>
        <v>37-48 Months</v>
      </c>
      <c r="W1195">
        <f t="shared" si="73"/>
        <v>0</v>
      </c>
      <c r="X1195">
        <f t="shared" si="74"/>
        <v>0</v>
      </c>
      <c r="Y1195" t="str">
        <f t="shared" si="75"/>
        <v>Non-Senior</v>
      </c>
    </row>
    <row r="1196" spans="1:25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72"/>
        <v>13-24 Months</v>
      </c>
      <c r="W1196">
        <f t="shared" si="73"/>
        <v>0</v>
      </c>
      <c r="X1196">
        <f t="shared" si="74"/>
        <v>0</v>
      </c>
      <c r="Y1196" t="str">
        <f t="shared" si="75"/>
        <v>Non-Senior</v>
      </c>
    </row>
    <row r="1197" spans="1:25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72"/>
        <v>13-24 Months</v>
      </c>
      <c r="W1197">
        <f t="shared" si="73"/>
        <v>0</v>
      </c>
      <c r="X1197">
        <f t="shared" si="74"/>
        <v>0</v>
      </c>
      <c r="Y1197" t="str">
        <f t="shared" si="75"/>
        <v>Senior Citizen</v>
      </c>
    </row>
    <row r="1198" spans="1:25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72"/>
        <v>61-72 Months</v>
      </c>
      <c r="W1198">
        <f t="shared" si="73"/>
        <v>0</v>
      </c>
      <c r="X1198">
        <f t="shared" si="74"/>
        <v>0</v>
      </c>
      <c r="Y1198" t="str">
        <f t="shared" si="75"/>
        <v>Non-Senior</v>
      </c>
    </row>
    <row r="1199" spans="1:25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7082</v>
      </c>
      <c r="J1199" t="s">
        <v>7084</v>
      </c>
      <c r="K1199" t="s">
        <v>46</v>
      </c>
      <c r="L1199" t="s">
        <v>7084</v>
      </c>
      <c r="M1199" t="s">
        <v>7084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72"/>
        <v>13-24 Months</v>
      </c>
      <c r="W1199">
        <f t="shared" si="73"/>
        <v>0</v>
      </c>
      <c r="X1199">
        <f t="shared" si="74"/>
        <v>0</v>
      </c>
      <c r="Y1199" t="str">
        <f t="shared" si="75"/>
        <v>Non-Senior</v>
      </c>
    </row>
    <row r="1200" spans="1:25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7082</v>
      </c>
      <c r="J1200" t="s">
        <v>7084</v>
      </c>
      <c r="K1200" t="s">
        <v>46</v>
      </c>
      <c r="L1200" t="s">
        <v>7084</v>
      </c>
      <c r="M1200" t="s">
        <v>7084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72"/>
        <v>37-48 Months</v>
      </c>
      <c r="W1200">
        <f t="shared" si="73"/>
        <v>0</v>
      </c>
      <c r="X1200">
        <f t="shared" si="74"/>
        <v>0</v>
      </c>
      <c r="Y1200" t="str">
        <f t="shared" si="75"/>
        <v>Non-Senior</v>
      </c>
    </row>
    <row r="1201" spans="1:25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72"/>
        <v>13-24 Months</v>
      </c>
      <c r="W1201">
        <f t="shared" si="73"/>
        <v>0</v>
      </c>
      <c r="X1201">
        <f t="shared" si="74"/>
        <v>0</v>
      </c>
      <c r="Y1201" t="str">
        <f t="shared" si="75"/>
        <v>Non-Senior</v>
      </c>
    </row>
    <row r="1202" spans="1:25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72"/>
        <v>37-48 Months</v>
      </c>
      <c r="W1202">
        <f t="shared" si="73"/>
        <v>0</v>
      </c>
      <c r="X1202">
        <f t="shared" si="74"/>
        <v>0</v>
      </c>
      <c r="Y1202" t="str">
        <f t="shared" si="75"/>
        <v>Non-Senior</v>
      </c>
    </row>
    <row r="1203" spans="1:25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72"/>
        <v>0-12 Months</v>
      </c>
      <c r="W1203">
        <f t="shared" si="73"/>
        <v>0</v>
      </c>
      <c r="X1203">
        <f t="shared" si="74"/>
        <v>0</v>
      </c>
      <c r="Y1203" t="str">
        <f t="shared" si="75"/>
        <v>Non-Senior</v>
      </c>
    </row>
    <row r="1204" spans="1:25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72"/>
        <v>49-60 Months</v>
      </c>
      <c r="W1204">
        <f t="shared" si="73"/>
        <v>1</v>
      </c>
      <c r="X1204">
        <f t="shared" si="74"/>
        <v>94.25</v>
      </c>
      <c r="Y1204" t="str">
        <f t="shared" si="75"/>
        <v>Non-Senior</v>
      </c>
    </row>
    <row r="1205" spans="1:25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7082</v>
      </c>
      <c r="J1205" t="s">
        <v>7084</v>
      </c>
      <c r="K1205" t="s">
        <v>46</v>
      </c>
      <c r="L1205" t="s">
        <v>7084</v>
      </c>
      <c r="M1205" t="s">
        <v>7084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72"/>
        <v>49-60 Months</v>
      </c>
      <c r="W1205">
        <f t="shared" si="73"/>
        <v>0</v>
      </c>
      <c r="X1205">
        <f t="shared" si="74"/>
        <v>0</v>
      </c>
      <c r="Y1205" t="str">
        <f t="shared" si="75"/>
        <v>Non-Senior</v>
      </c>
    </row>
    <row r="1206" spans="1:25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72"/>
        <v>13-24 Months</v>
      </c>
      <c r="W1206">
        <f t="shared" si="73"/>
        <v>0</v>
      </c>
      <c r="X1206">
        <f t="shared" si="74"/>
        <v>0</v>
      </c>
      <c r="Y1206" t="str">
        <f t="shared" si="75"/>
        <v>Non-Senior</v>
      </c>
    </row>
    <row r="1207" spans="1:25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72"/>
        <v>0-12 Months</v>
      </c>
      <c r="W1207">
        <f t="shared" si="73"/>
        <v>1</v>
      </c>
      <c r="X1207">
        <f t="shared" si="74"/>
        <v>74.900000000000006</v>
      </c>
      <c r="Y1207" t="str">
        <f t="shared" si="75"/>
        <v>Non-Senior</v>
      </c>
    </row>
    <row r="1208" spans="1:25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72"/>
        <v>0-12 Months</v>
      </c>
      <c r="W1208">
        <f t="shared" si="73"/>
        <v>0</v>
      </c>
      <c r="X1208">
        <f t="shared" si="74"/>
        <v>0</v>
      </c>
      <c r="Y1208" t="str">
        <f t="shared" si="75"/>
        <v>Non-Senior</v>
      </c>
    </row>
    <row r="1209" spans="1:25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72"/>
        <v>0-12 Months</v>
      </c>
      <c r="W1209">
        <f t="shared" si="73"/>
        <v>0</v>
      </c>
      <c r="X1209">
        <f t="shared" si="74"/>
        <v>0</v>
      </c>
      <c r="Y1209" t="str">
        <f t="shared" si="75"/>
        <v>Non-Senior</v>
      </c>
    </row>
    <row r="1210" spans="1:25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72"/>
        <v>0-12 Months</v>
      </c>
      <c r="W1210">
        <f t="shared" si="73"/>
        <v>1</v>
      </c>
      <c r="X1210">
        <f t="shared" si="74"/>
        <v>80.25</v>
      </c>
      <c r="Y1210" t="str">
        <f t="shared" si="75"/>
        <v>Non-Senior</v>
      </c>
    </row>
    <row r="1211" spans="1:25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72"/>
        <v>49-60 Months</v>
      </c>
      <c r="W1211">
        <f t="shared" si="73"/>
        <v>0</v>
      </c>
      <c r="X1211">
        <f t="shared" si="74"/>
        <v>0</v>
      </c>
      <c r="Y1211" t="str">
        <f t="shared" si="75"/>
        <v>Non-Senior</v>
      </c>
    </row>
    <row r="1212" spans="1:25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72"/>
        <v>13-24 Months</v>
      </c>
      <c r="W1212">
        <f t="shared" si="73"/>
        <v>1</v>
      </c>
      <c r="X1212">
        <f t="shared" si="74"/>
        <v>69</v>
      </c>
      <c r="Y1212" t="str">
        <f t="shared" si="75"/>
        <v>Non-Senior</v>
      </c>
    </row>
    <row r="1213" spans="1:25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72"/>
        <v>0-12 Months</v>
      </c>
      <c r="W1213">
        <f t="shared" si="73"/>
        <v>1</v>
      </c>
      <c r="X1213">
        <f t="shared" si="74"/>
        <v>66.349999999999994</v>
      </c>
      <c r="Y1213" t="str">
        <f t="shared" si="75"/>
        <v>Non-Senior</v>
      </c>
    </row>
    <row r="1214" spans="1:25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72"/>
        <v>0-12 Months</v>
      </c>
      <c r="W1214">
        <f t="shared" si="73"/>
        <v>0</v>
      </c>
      <c r="X1214">
        <f t="shared" si="74"/>
        <v>0</v>
      </c>
      <c r="Y1214" t="str">
        <f t="shared" si="75"/>
        <v>Non-Senior</v>
      </c>
    </row>
    <row r="1215" spans="1:25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7082</v>
      </c>
      <c r="J1215" t="s">
        <v>7084</v>
      </c>
      <c r="K1215" t="s">
        <v>46</v>
      </c>
      <c r="L1215" t="s">
        <v>7084</v>
      </c>
      <c r="M1215" t="s">
        <v>7084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72"/>
        <v>61-72 Months</v>
      </c>
      <c r="W1215">
        <f t="shared" si="73"/>
        <v>0</v>
      </c>
      <c r="X1215">
        <f t="shared" si="74"/>
        <v>0</v>
      </c>
      <c r="Y1215" t="str">
        <f t="shared" si="75"/>
        <v>Non-Senior</v>
      </c>
    </row>
    <row r="1216" spans="1:25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72"/>
        <v>13-24 Months</v>
      </c>
      <c r="W1216">
        <f t="shared" si="73"/>
        <v>1</v>
      </c>
      <c r="X1216">
        <f t="shared" si="74"/>
        <v>86</v>
      </c>
      <c r="Y1216" t="str">
        <f t="shared" si="75"/>
        <v>Non-Senior</v>
      </c>
    </row>
    <row r="1217" spans="1:25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72"/>
        <v>0-12 Months</v>
      </c>
      <c r="W1217">
        <f t="shared" si="73"/>
        <v>1</v>
      </c>
      <c r="X1217">
        <f t="shared" si="74"/>
        <v>80.3</v>
      </c>
      <c r="Y1217" t="str">
        <f t="shared" si="75"/>
        <v>Non-Senior</v>
      </c>
    </row>
    <row r="1218" spans="1:25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7082</v>
      </c>
      <c r="J1218" t="s">
        <v>7084</v>
      </c>
      <c r="K1218" t="s">
        <v>46</v>
      </c>
      <c r="L1218" t="s">
        <v>7084</v>
      </c>
      <c r="M1218" t="s">
        <v>7084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si="72"/>
        <v>49-60 Months</v>
      </c>
      <c r="W1218">
        <f t="shared" si="73"/>
        <v>0</v>
      </c>
      <c r="X1218">
        <f t="shared" si="74"/>
        <v>0</v>
      </c>
      <c r="Y1218" t="str">
        <f t="shared" si="75"/>
        <v>Non-Senior</v>
      </c>
    </row>
    <row r="1219" spans="1:25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7082</v>
      </c>
      <c r="J1219" t="s">
        <v>7084</v>
      </c>
      <c r="K1219" t="s">
        <v>46</v>
      </c>
      <c r="L1219" t="s">
        <v>7084</v>
      </c>
      <c r="M1219" t="s">
        <v>7084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ref="V1219:V1282" si="76">IF(F1219&lt;=12,"0-12 Months",IF(F1219&lt;=24,"13-24 Months",IF(F1219&lt;=36,"25-36 Months",IF(F1219&lt;=48,"37-48 Months",IF(F1219&lt;=60,"49-60 Months","61-72 Months")))))</f>
        <v>61-72 Months</v>
      </c>
      <c r="W1219">
        <f t="shared" ref="W1219:W1282" si="77">IF(U1219="Yes",1,0)</f>
        <v>0</v>
      </c>
      <c r="X1219">
        <f t="shared" ref="X1219:X1282" si="78">IF(U1219="Yes",S1219,0)</f>
        <v>0</v>
      </c>
      <c r="Y1219" t="str">
        <f t="shared" ref="Y1219:Y1282" si="79">IF(C1219=1,"Senior Citizen","Non-Senior")</f>
        <v>Non-Senior</v>
      </c>
    </row>
    <row r="1220" spans="1:25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76"/>
        <v>13-24 Months</v>
      </c>
      <c r="W1220">
        <f t="shared" si="77"/>
        <v>1</v>
      </c>
      <c r="X1220">
        <f t="shared" si="78"/>
        <v>90.55</v>
      </c>
      <c r="Y1220" t="str">
        <f t="shared" si="79"/>
        <v>Non-Senior</v>
      </c>
    </row>
    <row r="1221" spans="1:25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76"/>
        <v>61-72 Months</v>
      </c>
      <c r="W1221">
        <f t="shared" si="77"/>
        <v>0</v>
      </c>
      <c r="X1221">
        <f t="shared" si="78"/>
        <v>0</v>
      </c>
      <c r="Y1221" t="str">
        <f t="shared" si="79"/>
        <v>Non-Senior</v>
      </c>
    </row>
    <row r="1222" spans="1:25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76"/>
        <v>13-24 Months</v>
      </c>
      <c r="W1222">
        <f t="shared" si="77"/>
        <v>0</v>
      </c>
      <c r="X1222">
        <f t="shared" si="78"/>
        <v>0</v>
      </c>
      <c r="Y1222" t="str">
        <f t="shared" si="79"/>
        <v>Non-Senior</v>
      </c>
    </row>
    <row r="1223" spans="1:25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76"/>
        <v>0-12 Months</v>
      </c>
      <c r="W1223">
        <f t="shared" si="77"/>
        <v>0</v>
      </c>
      <c r="X1223">
        <f t="shared" si="78"/>
        <v>0</v>
      </c>
      <c r="Y1223" t="str">
        <f t="shared" si="79"/>
        <v>Non-Senior</v>
      </c>
    </row>
    <row r="1224" spans="1:25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76"/>
        <v>61-72 Months</v>
      </c>
      <c r="W1224">
        <f t="shared" si="77"/>
        <v>0</v>
      </c>
      <c r="X1224">
        <f t="shared" si="78"/>
        <v>0</v>
      </c>
      <c r="Y1224" t="str">
        <f t="shared" si="79"/>
        <v>Non-Senior</v>
      </c>
    </row>
    <row r="1225" spans="1:25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76"/>
        <v>0-12 Months</v>
      </c>
      <c r="W1225">
        <f t="shared" si="77"/>
        <v>1</v>
      </c>
      <c r="X1225">
        <f t="shared" si="78"/>
        <v>75.900000000000006</v>
      </c>
      <c r="Y1225" t="str">
        <f t="shared" si="79"/>
        <v>Non-Senior</v>
      </c>
    </row>
    <row r="1226" spans="1:25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76"/>
        <v>0-12 Months</v>
      </c>
      <c r="W1226">
        <f t="shared" si="77"/>
        <v>1</v>
      </c>
      <c r="X1226">
        <f t="shared" si="78"/>
        <v>45.85</v>
      </c>
      <c r="Y1226" t="str">
        <f t="shared" si="79"/>
        <v>Non-Senior</v>
      </c>
    </row>
    <row r="1227" spans="1:25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76"/>
        <v>13-24 Months</v>
      </c>
      <c r="W1227">
        <f t="shared" si="77"/>
        <v>1</v>
      </c>
      <c r="X1227">
        <f t="shared" si="78"/>
        <v>49.95</v>
      </c>
      <c r="Y1227" t="str">
        <f t="shared" si="79"/>
        <v>Non-Senior</v>
      </c>
    </row>
    <row r="1228" spans="1:25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7082</v>
      </c>
      <c r="J1228" t="s">
        <v>7084</v>
      </c>
      <c r="K1228" t="s">
        <v>46</v>
      </c>
      <c r="L1228" t="s">
        <v>7084</v>
      </c>
      <c r="M1228" t="s">
        <v>7084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76"/>
        <v>61-72 Months</v>
      </c>
      <c r="W1228">
        <f t="shared" si="77"/>
        <v>0</v>
      </c>
      <c r="X1228">
        <f t="shared" si="78"/>
        <v>0</v>
      </c>
      <c r="Y1228" t="str">
        <f t="shared" si="79"/>
        <v>Non-Senior</v>
      </c>
    </row>
    <row r="1229" spans="1:25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76"/>
        <v>25-36 Months</v>
      </c>
      <c r="W1229">
        <f t="shared" si="77"/>
        <v>0</v>
      </c>
      <c r="X1229">
        <f t="shared" si="78"/>
        <v>0</v>
      </c>
      <c r="Y1229" t="str">
        <f t="shared" si="79"/>
        <v>Non-Senior</v>
      </c>
    </row>
    <row r="1230" spans="1:25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76"/>
        <v>49-60 Months</v>
      </c>
      <c r="W1230">
        <f t="shared" si="77"/>
        <v>0</v>
      </c>
      <c r="X1230">
        <f t="shared" si="78"/>
        <v>0</v>
      </c>
      <c r="Y1230" t="str">
        <f t="shared" si="79"/>
        <v>Non-Senior</v>
      </c>
    </row>
    <row r="1231" spans="1:25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76"/>
        <v>61-72 Months</v>
      </c>
      <c r="W1231">
        <f t="shared" si="77"/>
        <v>0</v>
      </c>
      <c r="X1231">
        <f t="shared" si="78"/>
        <v>0</v>
      </c>
      <c r="Y1231" t="str">
        <f t="shared" si="79"/>
        <v>Non-Senior</v>
      </c>
    </row>
    <row r="1232" spans="1:25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76"/>
        <v>37-48 Months</v>
      </c>
      <c r="W1232">
        <f t="shared" si="77"/>
        <v>0</v>
      </c>
      <c r="X1232">
        <f t="shared" si="78"/>
        <v>0</v>
      </c>
      <c r="Y1232" t="str">
        <f t="shared" si="79"/>
        <v>Non-Senior</v>
      </c>
    </row>
    <row r="1233" spans="1:25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76"/>
        <v>13-24 Months</v>
      </c>
      <c r="W1233">
        <f t="shared" si="77"/>
        <v>0</v>
      </c>
      <c r="X1233">
        <f t="shared" si="78"/>
        <v>0</v>
      </c>
      <c r="Y1233" t="str">
        <f t="shared" si="79"/>
        <v>Non-Senior</v>
      </c>
    </row>
    <row r="1234" spans="1:25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76"/>
        <v>25-36 Months</v>
      </c>
      <c r="W1234">
        <f t="shared" si="77"/>
        <v>1</v>
      </c>
      <c r="X1234">
        <f t="shared" si="78"/>
        <v>78.3</v>
      </c>
      <c r="Y1234" t="str">
        <f t="shared" si="79"/>
        <v>Non-Senior</v>
      </c>
    </row>
    <row r="1235" spans="1:25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7082</v>
      </c>
      <c r="J1235" t="s">
        <v>7084</v>
      </c>
      <c r="K1235" t="s">
        <v>46</v>
      </c>
      <c r="L1235" t="s">
        <v>7084</v>
      </c>
      <c r="M1235" t="s">
        <v>7084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76"/>
        <v>61-72 Months</v>
      </c>
      <c r="W1235">
        <f t="shared" si="77"/>
        <v>0</v>
      </c>
      <c r="X1235">
        <f t="shared" si="78"/>
        <v>0</v>
      </c>
      <c r="Y1235" t="str">
        <f t="shared" si="79"/>
        <v>Non-Senior</v>
      </c>
    </row>
    <row r="1236" spans="1:25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76"/>
        <v>49-60 Months</v>
      </c>
      <c r="W1236">
        <f t="shared" si="77"/>
        <v>0</v>
      </c>
      <c r="X1236">
        <f t="shared" si="78"/>
        <v>0</v>
      </c>
      <c r="Y1236" t="str">
        <f t="shared" si="79"/>
        <v>Non-Senior</v>
      </c>
    </row>
    <row r="1237" spans="1:25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76"/>
        <v>61-72 Months</v>
      </c>
      <c r="W1237">
        <f t="shared" si="77"/>
        <v>0</v>
      </c>
      <c r="X1237">
        <f t="shared" si="78"/>
        <v>0</v>
      </c>
      <c r="Y1237" t="str">
        <f t="shared" si="79"/>
        <v>Senior Citizen</v>
      </c>
    </row>
    <row r="1238" spans="1:25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76"/>
        <v>0-12 Months</v>
      </c>
      <c r="W1238">
        <f t="shared" si="77"/>
        <v>1</v>
      </c>
      <c r="X1238">
        <f t="shared" si="78"/>
        <v>76.95</v>
      </c>
      <c r="Y1238" t="str">
        <f t="shared" si="79"/>
        <v>Non-Senior</v>
      </c>
    </row>
    <row r="1239" spans="1:25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7082</v>
      </c>
      <c r="J1239" t="s">
        <v>7084</v>
      </c>
      <c r="K1239" t="s">
        <v>46</v>
      </c>
      <c r="L1239" t="s">
        <v>7084</v>
      </c>
      <c r="M1239" t="s">
        <v>7084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76"/>
        <v>13-24 Months</v>
      </c>
      <c r="W1239">
        <f t="shared" si="77"/>
        <v>0</v>
      </c>
      <c r="X1239">
        <f t="shared" si="78"/>
        <v>0</v>
      </c>
      <c r="Y1239" t="str">
        <f t="shared" si="79"/>
        <v>Non-Senior</v>
      </c>
    </row>
    <row r="1240" spans="1:25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76"/>
        <v>13-24 Months</v>
      </c>
      <c r="W1240">
        <f t="shared" si="77"/>
        <v>1</v>
      </c>
      <c r="X1240">
        <f t="shared" si="78"/>
        <v>96.15</v>
      </c>
      <c r="Y1240" t="str">
        <f t="shared" si="79"/>
        <v>Senior Citizen</v>
      </c>
    </row>
    <row r="1241" spans="1:25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76"/>
        <v>0-12 Months</v>
      </c>
      <c r="W1241">
        <f t="shared" si="77"/>
        <v>0</v>
      </c>
      <c r="X1241">
        <f t="shared" si="78"/>
        <v>0</v>
      </c>
      <c r="Y1241" t="str">
        <f t="shared" si="79"/>
        <v>Non-Senior</v>
      </c>
    </row>
    <row r="1242" spans="1:25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7082</v>
      </c>
      <c r="J1242" t="s">
        <v>7084</v>
      </c>
      <c r="K1242" t="s">
        <v>46</v>
      </c>
      <c r="L1242" t="s">
        <v>7084</v>
      </c>
      <c r="M1242" t="s">
        <v>7084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76"/>
        <v>25-36 Months</v>
      </c>
      <c r="W1242">
        <f t="shared" si="77"/>
        <v>0</v>
      </c>
      <c r="X1242">
        <f t="shared" si="78"/>
        <v>0</v>
      </c>
      <c r="Y1242" t="str">
        <f t="shared" si="79"/>
        <v>Non-Senior</v>
      </c>
    </row>
    <row r="1243" spans="1:25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76"/>
        <v>25-36 Months</v>
      </c>
      <c r="W1243">
        <f t="shared" si="77"/>
        <v>0</v>
      </c>
      <c r="X1243">
        <f t="shared" si="78"/>
        <v>0</v>
      </c>
      <c r="Y1243" t="str">
        <f t="shared" si="79"/>
        <v>Non-Senior</v>
      </c>
    </row>
    <row r="1244" spans="1:25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76"/>
        <v>13-24 Months</v>
      </c>
      <c r="W1244">
        <f t="shared" si="77"/>
        <v>0</v>
      </c>
      <c r="X1244">
        <f t="shared" si="78"/>
        <v>0</v>
      </c>
      <c r="Y1244" t="str">
        <f t="shared" si="79"/>
        <v>Non-Senior</v>
      </c>
    </row>
    <row r="1245" spans="1:25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76"/>
        <v>0-12 Months</v>
      </c>
      <c r="W1245">
        <f t="shared" si="77"/>
        <v>1</v>
      </c>
      <c r="X1245">
        <f t="shared" si="78"/>
        <v>45.3</v>
      </c>
      <c r="Y1245" t="str">
        <f t="shared" si="79"/>
        <v>Non-Senior</v>
      </c>
    </row>
    <row r="1246" spans="1:25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7082</v>
      </c>
      <c r="J1246" t="s">
        <v>7084</v>
      </c>
      <c r="K1246" t="s">
        <v>46</v>
      </c>
      <c r="L1246" t="s">
        <v>7084</v>
      </c>
      <c r="M1246" t="s">
        <v>7084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76"/>
        <v>13-24 Months</v>
      </c>
      <c r="W1246">
        <f t="shared" si="77"/>
        <v>1</v>
      </c>
      <c r="X1246">
        <f t="shared" si="78"/>
        <v>19.399999999999999</v>
      </c>
      <c r="Y1246" t="str">
        <f t="shared" si="79"/>
        <v>Non-Senior</v>
      </c>
    </row>
    <row r="1247" spans="1:25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76"/>
        <v>13-24 Months</v>
      </c>
      <c r="W1247">
        <f t="shared" si="77"/>
        <v>0</v>
      </c>
      <c r="X1247">
        <f t="shared" si="78"/>
        <v>0</v>
      </c>
      <c r="Y1247" t="str">
        <f t="shared" si="79"/>
        <v>Senior Citizen</v>
      </c>
    </row>
    <row r="1248" spans="1:25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76"/>
        <v>37-48 Months</v>
      </c>
      <c r="W1248">
        <f t="shared" si="77"/>
        <v>0</v>
      </c>
      <c r="X1248">
        <f t="shared" si="78"/>
        <v>0</v>
      </c>
      <c r="Y1248" t="str">
        <f t="shared" si="79"/>
        <v>Non-Senior</v>
      </c>
    </row>
    <row r="1249" spans="1:25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76"/>
        <v>13-24 Months</v>
      </c>
      <c r="W1249">
        <f t="shared" si="77"/>
        <v>0</v>
      </c>
      <c r="X1249">
        <f t="shared" si="78"/>
        <v>0</v>
      </c>
      <c r="Y1249" t="str">
        <f t="shared" si="79"/>
        <v>Non-Senior</v>
      </c>
    </row>
    <row r="1250" spans="1:25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76"/>
        <v>0-12 Months</v>
      </c>
      <c r="W1250">
        <f t="shared" si="77"/>
        <v>1</v>
      </c>
      <c r="X1250">
        <f t="shared" si="78"/>
        <v>90.15</v>
      </c>
      <c r="Y1250" t="str">
        <f t="shared" si="79"/>
        <v>Non-Senior</v>
      </c>
    </row>
    <row r="1251" spans="1:25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76"/>
        <v>0-12 Months</v>
      </c>
      <c r="W1251">
        <f t="shared" si="77"/>
        <v>1</v>
      </c>
      <c r="X1251">
        <f t="shared" si="78"/>
        <v>45.05</v>
      </c>
      <c r="Y1251" t="str">
        <f t="shared" si="79"/>
        <v>Non-Senior</v>
      </c>
    </row>
    <row r="1252" spans="1:25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76"/>
        <v>49-60 Months</v>
      </c>
      <c r="W1252">
        <f t="shared" si="77"/>
        <v>0</v>
      </c>
      <c r="X1252">
        <f t="shared" si="78"/>
        <v>0</v>
      </c>
      <c r="Y1252" t="str">
        <f t="shared" si="79"/>
        <v>Non-Senior</v>
      </c>
    </row>
    <row r="1253" spans="1:25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76"/>
        <v>0-12 Months</v>
      </c>
      <c r="W1253">
        <f t="shared" si="77"/>
        <v>1</v>
      </c>
      <c r="X1253">
        <f t="shared" si="78"/>
        <v>75.8</v>
      </c>
      <c r="Y1253" t="str">
        <f t="shared" si="79"/>
        <v>Non-Senior</v>
      </c>
    </row>
    <row r="1254" spans="1:25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7082</v>
      </c>
      <c r="J1254" t="s">
        <v>7084</v>
      </c>
      <c r="K1254" t="s">
        <v>46</v>
      </c>
      <c r="L1254" t="s">
        <v>7084</v>
      </c>
      <c r="M1254" t="s">
        <v>7084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76"/>
        <v>0-12 Months</v>
      </c>
      <c r="W1254">
        <f t="shared" si="77"/>
        <v>0</v>
      </c>
      <c r="X1254">
        <f t="shared" si="78"/>
        <v>0</v>
      </c>
      <c r="Y1254" t="str">
        <f t="shared" si="79"/>
        <v>Non-Senior</v>
      </c>
    </row>
    <row r="1255" spans="1:25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76"/>
        <v>0-12 Months</v>
      </c>
      <c r="W1255">
        <f t="shared" si="77"/>
        <v>1</v>
      </c>
      <c r="X1255">
        <f t="shared" si="78"/>
        <v>79.3</v>
      </c>
      <c r="Y1255" t="str">
        <f t="shared" si="79"/>
        <v>Non-Senior</v>
      </c>
    </row>
    <row r="1256" spans="1:25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76"/>
        <v>49-60 Months</v>
      </c>
      <c r="W1256">
        <f t="shared" si="77"/>
        <v>0</v>
      </c>
      <c r="X1256">
        <f t="shared" si="78"/>
        <v>0</v>
      </c>
      <c r="Y1256" t="str">
        <f t="shared" si="79"/>
        <v>Senior Citizen</v>
      </c>
    </row>
    <row r="1257" spans="1:25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76"/>
        <v>0-12 Months</v>
      </c>
      <c r="W1257">
        <f t="shared" si="77"/>
        <v>1</v>
      </c>
      <c r="X1257">
        <f t="shared" si="78"/>
        <v>30.9</v>
      </c>
      <c r="Y1257" t="str">
        <f t="shared" si="79"/>
        <v>Non-Senior</v>
      </c>
    </row>
    <row r="1258" spans="1:25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76"/>
        <v>61-72 Months</v>
      </c>
      <c r="W1258">
        <f t="shared" si="77"/>
        <v>0</v>
      </c>
      <c r="X1258">
        <f t="shared" si="78"/>
        <v>0</v>
      </c>
      <c r="Y1258" t="str">
        <f t="shared" si="79"/>
        <v>Non-Senior</v>
      </c>
    </row>
    <row r="1259" spans="1:25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76"/>
        <v>37-48 Months</v>
      </c>
      <c r="W1259">
        <f t="shared" si="77"/>
        <v>0</v>
      </c>
      <c r="X1259">
        <f t="shared" si="78"/>
        <v>0</v>
      </c>
      <c r="Y1259" t="str">
        <f t="shared" si="79"/>
        <v>Senior Citizen</v>
      </c>
    </row>
    <row r="1260" spans="1:25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7082</v>
      </c>
      <c r="J1260" t="s">
        <v>7084</v>
      </c>
      <c r="K1260" t="s">
        <v>46</v>
      </c>
      <c r="L1260" t="s">
        <v>7084</v>
      </c>
      <c r="M1260" t="s">
        <v>7084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76"/>
        <v>37-48 Months</v>
      </c>
      <c r="W1260">
        <f t="shared" si="77"/>
        <v>0</v>
      </c>
      <c r="X1260">
        <f t="shared" si="78"/>
        <v>0</v>
      </c>
      <c r="Y1260" t="str">
        <f t="shared" si="79"/>
        <v>Non-Senior</v>
      </c>
    </row>
    <row r="1261" spans="1:25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76"/>
        <v>37-48 Months</v>
      </c>
      <c r="W1261">
        <f t="shared" si="77"/>
        <v>1</v>
      </c>
      <c r="X1261">
        <f t="shared" si="78"/>
        <v>95.25</v>
      </c>
      <c r="Y1261" t="str">
        <f t="shared" si="79"/>
        <v>Senior Citizen</v>
      </c>
    </row>
    <row r="1262" spans="1:25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76"/>
        <v>0-12 Months</v>
      </c>
      <c r="W1262">
        <f t="shared" si="77"/>
        <v>0</v>
      </c>
      <c r="X1262">
        <f t="shared" si="78"/>
        <v>0</v>
      </c>
      <c r="Y1262" t="str">
        <f t="shared" si="79"/>
        <v>Non-Senior</v>
      </c>
    </row>
    <row r="1263" spans="1:25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76"/>
        <v>0-12 Months</v>
      </c>
      <c r="W1263">
        <f t="shared" si="77"/>
        <v>0</v>
      </c>
      <c r="X1263">
        <f t="shared" si="78"/>
        <v>0</v>
      </c>
      <c r="Y1263" t="str">
        <f t="shared" si="79"/>
        <v>Non-Senior</v>
      </c>
    </row>
    <row r="1264" spans="1:25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76"/>
        <v>0-12 Months</v>
      </c>
      <c r="W1264">
        <f t="shared" si="77"/>
        <v>0</v>
      </c>
      <c r="X1264">
        <f t="shared" si="78"/>
        <v>0</v>
      </c>
      <c r="Y1264" t="str">
        <f t="shared" si="79"/>
        <v>Non-Senior</v>
      </c>
    </row>
    <row r="1265" spans="1:25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76"/>
        <v>61-72 Months</v>
      </c>
      <c r="W1265">
        <f t="shared" si="77"/>
        <v>1</v>
      </c>
      <c r="X1265">
        <f t="shared" si="78"/>
        <v>89.6</v>
      </c>
      <c r="Y1265" t="str">
        <f t="shared" si="79"/>
        <v>Senior Citizen</v>
      </c>
    </row>
    <row r="1266" spans="1:25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76"/>
        <v>61-72 Months</v>
      </c>
      <c r="W1266">
        <f t="shared" si="77"/>
        <v>0</v>
      </c>
      <c r="X1266">
        <f t="shared" si="78"/>
        <v>0</v>
      </c>
      <c r="Y1266" t="str">
        <f t="shared" si="79"/>
        <v>Non-Senior</v>
      </c>
    </row>
    <row r="1267" spans="1:25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76"/>
        <v>49-60 Months</v>
      </c>
      <c r="W1267">
        <f t="shared" si="77"/>
        <v>0</v>
      </c>
      <c r="X1267">
        <f t="shared" si="78"/>
        <v>0</v>
      </c>
      <c r="Y1267" t="str">
        <f t="shared" si="79"/>
        <v>Senior Citizen</v>
      </c>
    </row>
    <row r="1268" spans="1:25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76"/>
        <v>0-12 Months</v>
      </c>
      <c r="W1268">
        <f t="shared" si="77"/>
        <v>0</v>
      </c>
      <c r="X1268">
        <f t="shared" si="78"/>
        <v>0</v>
      </c>
      <c r="Y1268" t="str">
        <f t="shared" si="79"/>
        <v>Senior Citizen</v>
      </c>
    </row>
    <row r="1269" spans="1:25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76"/>
        <v>61-72 Months</v>
      </c>
      <c r="W1269">
        <f t="shared" si="77"/>
        <v>0</v>
      </c>
      <c r="X1269">
        <f t="shared" si="78"/>
        <v>0</v>
      </c>
      <c r="Y1269" t="str">
        <f t="shared" si="79"/>
        <v>Non-Senior</v>
      </c>
    </row>
    <row r="1270" spans="1:25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76"/>
        <v>49-60 Months</v>
      </c>
      <c r="W1270">
        <f t="shared" si="77"/>
        <v>1</v>
      </c>
      <c r="X1270">
        <f t="shared" si="78"/>
        <v>110.15</v>
      </c>
      <c r="Y1270" t="str">
        <f t="shared" si="79"/>
        <v>Non-Senior</v>
      </c>
    </row>
    <row r="1271" spans="1:25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76"/>
        <v>61-72 Months</v>
      </c>
      <c r="W1271">
        <f t="shared" si="77"/>
        <v>0</v>
      </c>
      <c r="X1271">
        <f t="shared" si="78"/>
        <v>0</v>
      </c>
      <c r="Y1271" t="str">
        <f t="shared" si="79"/>
        <v>Non-Senior</v>
      </c>
    </row>
    <row r="1272" spans="1:25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7082</v>
      </c>
      <c r="J1272" t="s">
        <v>7084</v>
      </c>
      <c r="K1272" t="s">
        <v>46</v>
      </c>
      <c r="L1272" t="s">
        <v>7084</v>
      </c>
      <c r="M1272" t="s">
        <v>7084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76"/>
        <v>61-72 Months</v>
      </c>
      <c r="W1272">
        <f t="shared" si="77"/>
        <v>0</v>
      </c>
      <c r="X1272">
        <f t="shared" si="78"/>
        <v>0</v>
      </c>
      <c r="Y1272" t="str">
        <f t="shared" si="79"/>
        <v>Non-Senior</v>
      </c>
    </row>
    <row r="1273" spans="1:25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76"/>
        <v>49-60 Months</v>
      </c>
      <c r="W1273">
        <f t="shared" si="77"/>
        <v>0</v>
      </c>
      <c r="X1273">
        <f t="shared" si="78"/>
        <v>0</v>
      </c>
      <c r="Y1273" t="str">
        <f t="shared" si="79"/>
        <v>Non-Senior</v>
      </c>
    </row>
    <row r="1274" spans="1:25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7082</v>
      </c>
      <c r="J1274" t="s">
        <v>7084</v>
      </c>
      <c r="K1274" t="s">
        <v>46</v>
      </c>
      <c r="L1274" t="s">
        <v>7084</v>
      </c>
      <c r="M1274" t="s">
        <v>7084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76"/>
        <v>0-12 Months</v>
      </c>
      <c r="W1274">
        <f t="shared" si="77"/>
        <v>0</v>
      </c>
      <c r="X1274">
        <f t="shared" si="78"/>
        <v>0</v>
      </c>
      <c r="Y1274" t="str">
        <f t="shared" si="79"/>
        <v>Non-Senior</v>
      </c>
    </row>
    <row r="1275" spans="1:25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76"/>
        <v>49-60 Months</v>
      </c>
      <c r="W1275">
        <f t="shared" si="77"/>
        <v>0</v>
      </c>
      <c r="X1275">
        <f t="shared" si="78"/>
        <v>0</v>
      </c>
      <c r="Y1275" t="str">
        <f t="shared" si="79"/>
        <v>Senior Citizen</v>
      </c>
    </row>
    <row r="1276" spans="1:25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76"/>
        <v>61-72 Months</v>
      </c>
      <c r="W1276">
        <f t="shared" si="77"/>
        <v>0</v>
      </c>
      <c r="X1276">
        <f t="shared" si="78"/>
        <v>0</v>
      </c>
      <c r="Y1276" t="str">
        <f t="shared" si="79"/>
        <v>Non-Senior</v>
      </c>
    </row>
    <row r="1277" spans="1:25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76"/>
        <v>49-60 Months</v>
      </c>
      <c r="W1277">
        <f t="shared" si="77"/>
        <v>0</v>
      </c>
      <c r="X1277">
        <f t="shared" si="78"/>
        <v>0</v>
      </c>
      <c r="Y1277" t="str">
        <f t="shared" si="79"/>
        <v>Non-Senior</v>
      </c>
    </row>
    <row r="1278" spans="1:25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76"/>
        <v>61-72 Months</v>
      </c>
      <c r="W1278">
        <f t="shared" si="77"/>
        <v>0</v>
      </c>
      <c r="X1278">
        <f t="shared" si="78"/>
        <v>0</v>
      </c>
      <c r="Y1278" t="str">
        <f t="shared" si="79"/>
        <v>Senior Citizen</v>
      </c>
    </row>
    <row r="1279" spans="1:25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7082</v>
      </c>
      <c r="J1279" t="s">
        <v>7084</v>
      </c>
      <c r="K1279" t="s">
        <v>46</v>
      </c>
      <c r="L1279" t="s">
        <v>7084</v>
      </c>
      <c r="M1279" t="s">
        <v>7084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76"/>
        <v>61-72 Months</v>
      </c>
      <c r="W1279">
        <f t="shared" si="77"/>
        <v>0</v>
      </c>
      <c r="X1279">
        <f t="shared" si="78"/>
        <v>0</v>
      </c>
      <c r="Y1279" t="str">
        <f t="shared" si="79"/>
        <v>Non-Senior</v>
      </c>
    </row>
    <row r="1280" spans="1:25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76"/>
        <v>25-36 Months</v>
      </c>
      <c r="W1280">
        <f t="shared" si="77"/>
        <v>0</v>
      </c>
      <c r="X1280">
        <f t="shared" si="78"/>
        <v>0</v>
      </c>
      <c r="Y1280" t="str">
        <f t="shared" si="79"/>
        <v>Non-Senior</v>
      </c>
    </row>
    <row r="1281" spans="1:25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7082</v>
      </c>
      <c r="J1281" t="s">
        <v>7084</v>
      </c>
      <c r="K1281" t="s">
        <v>46</v>
      </c>
      <c r="L1281" t="s">
        <v>7084</v>
      </c>
      <c r="M1281" t="s">
        <v>7084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76"/>
        <v>25-36 Months</v>
      </c>
      <c r="W1281">
        <f t="shared" si="77"/>
        <v>0</v>
      </c>
      <c r="X1281">
        <f t="shared" si="78"/>
        <v>0</v>
      </c>
      <c r="Y1281" t="str">
        <f t="shared" si="79"/>
        <v>Non-Senior</v>
      </c>
    </row>
    <row r="1282" spans="1:25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si="76"/>
        <v>61-72 Months</v>
      </c>
      <c r="W1282">
        <f t="shared" si="77"/>
        <v>0</v>
      </c>
      <c r="X1282">
        <f t="shared" si="78"/>
        <v>0</v>
      </c>
      <c r="Y1282" t="str">
        <f t="shared" si="79"/>
        <v>Senior Citizen</v>
      </c>
    </row>
    <row r="1283" spans="1:25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7082</v>
      </c>
      <c r="J1283" t="s">
        <v>7084</v>
      </c>
      <c r="K1283" t="s">
        <v>46</v>
      </c>
      <c r="L1283" t="s">
        <v>7084</v>
      </c>
      <c r="M1283" t="s">
        <v>7084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ref="V1283:V1346" si="80">IF(F1283&lt;=12,"0-12 Months",IF(F1283&lt;=24,"13-24 Months",IF(F1283&lt;=36,"25-36 Months",IF(F1283&lt;=48,"37-48 Months",IF(F1283&lt;=60,"49-60 Months","61-72 Months")))))</f>
        <v>25-36 Months</v>
      </c>
      <c r="W1283">
        <f t="shared" ref="W1283:W1346" si="81">IF(U1283="Yes",1,0)</f>
        <v>0</v>
      </c>
      <c r="X1283">
        <f t="shared" ref="X1283:X1346" si="82">IF(U1283="Yes",S1283,0)</f>
        <v>0</v>
      </c>
      <c r="Y1283" t="str">
        <f t="shared" ref="Y1283:Y1346" si="83">IF(C1283=1,"Senior Citizen","Non-Senior")</f>
        <v>Non-Senior</v>
      </c>
    </row>
    <row r="1284" spans="1:25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80"/>
        <v>0-12 Months</v>
      </c>
      <c r="W1284">
        <f t="shared" si="81"/>
        <v>0</v>
      </c>
      <c r="X1284">
        <f t="shared" si="82"/>
        <v>0</v>
      </c>
      <c r="Y1284" t="str">
        <f t="shared" si="83"/>
        <v>Non-Senior</v>
      </c>
    </row>
    <row r="1285" spans="1:25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80"/>
        <v>61-72 Months</v>
      </c>
      <c r="W1285">
        <f t="shared" si="81"/>
        <v>0</v>
      </c>
      <c r="X1285">
        <f t="shared" si="82"/>
        <v>0</v>
      </c>
      <c r="Y1285" t="str">
        <f t="shared" si="83"/>
        <v>Non-Senior</v>
      </c>
    </row>
    <row r="1286" spans="1:25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7082</v>
      </c>
      <c r="J1286" t="s">
        <v>7084</v>
      </c>
      <c r="K1286" t="s">
        <v>46</v>
      </c>
      <c r="L1286" t="s">
        <v>7084</v>
      </c>
      <c r="M1286" t="s">
        <v>7084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80"/>
        <v>49-60 Months</v>
      </c>
      <c r="W1286">
        <f t="shared" si="81"/>
        <v>0</v>
      </c>
      <c r="X1286">
        <f t="shared" si="82"/>
        <v>0</v>
      </c>
      <c r="Y1286" t="str">
        <f t="shared" si="83"/>
        <v>Non-Senior</v>
      </c>
    </row>
    <row r="1287" spans="1:25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80"/>
        <v>0-12 Months</v>
      </c>
      <c r="W1287">
        <f t="shared" si="81"/>
        <v>1</v>
      </c>
      <c r="X1287">
        <f t="shared" si="82"/>
        <v>89.5</v>
      </c>
      <c r="Y1287" t="str">
        <f t="shared" si="83"/>
        <v>Senior Citizen</v>
      </c>
    </row>
    <row r="1288" spans="1:25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80"/>
        <v>0-12 Months</v>
      </c>
      <c r="W1288">
        <f t="shared" si="81"/>
        <v>0</v>
      </c>
      <c r="X1288">
        <f t="shared" si="82"/>
        <v>0</v>
      </c>
      <c r="Y1288" t="str">
        <f t="shared" si="83"/>
        <v>Non-Senior</v>
      </c>
    </row>
    <row r="1289" spans="1:25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80"/>
        <v>25-36 Months</v>
      </c>
      <c r="W1289">
        <f t="shared" si="81"/>
        <v>0</v>
      </c>
      <c r="X1289">
        <f t="shared" si="82"/>
        <v>0</v>
      </c>
      <c r="Y1289" t="str">
        <f t="shared" si="83"/>
        <v>Non-Senior</v>
      </c>
    </row>
    <row r="1290" spans="1:25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7082</v>
      </c>
      <c r="J1290" t="s">
        <v>7084</v>
      </c>
      <c r="K1290" t="s">
        <v>46</v>
      </c>
      <c r="L1290" t="s">
        <v>7084</v>
      </c>
      <c r="M1290" t="s">
        <v>7084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80"/>
        <v>61-72 Months</v>
      </c>
      <c r="W1290">
        <f t="shared" si="81"/>
        <v>0</v>
      </c>
      <c r="X1290">
        <f t="shared" si="82"/>
        <v>0</v>
      </c>
      <c r="Y1290" t="str">
        <f t="shared" si="83"/>
        <v>Non-Senior</v>
      </c>
    </row>
    <row r="1291" spans="1:25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80"/>
        <v>61-72 Months</v>
      </c>
      <c r="W1291">
        <f t="shared" si="81"/>
        <v>0</v>
      </c>
      <c r="X1291">
        <f t="shared" si="82"/>
        <v>0</v>
      </c>
      <c r="Y1291" t="str">
        <f t="shared" si="83"/>
        <v>Non-Senior</v>
      </c>
    </row>
    <row r="1292" spans="1:25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80"/>
        <v>61-72 Months</v>
      </c>
      <c r="W1292">
        <f t="shared" si="81"/>
        <v>0</v>
      </c>
      <c r="X1292">
        <f t="shared" si="82"/>
        <v>0</v>
      </c>
      <c r="Y1292" t="str">
        <f t="shared" si="83"/>
        <v>Senior Citizen</v>
      </c>
    </row>
    <row r="1293" spans="1:25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80"/>
        <v>0-12 Months</v>
      </c>
      <c r="W1293">
        <f t="shared" si="81"/>
        <v>1</v>
      </c>
      <c r="X1293">
        <f t="shared" si="82"/>
        <v>75</v>
      </c>
      <c r="Y1293" t="str">
        <f t="shared" si="83"/>
        <v>Non-Senior</v>
      </c>
    </row>
    <row r="1294" spans="1:25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80"/>
        <v>61-72 Months</v>
      </c>
      <c r="W1294">
        <f t="shared" si="81"/>
        <v>0</v>
      </c>
      <c r="X1294">
        <f t="shared" si="82"/>
        <v>0</v>
      </c>
      <c r="Y1294" t="str">
        <f t="shared" si="83"/>
        <v>Non-Senior</v>
      </c>
    </row>
    <row r="1295" spans="1:25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80"/>
        <v>61-72 Months</v>
      </c>
      <c r="W1295">
        <f t="shared" si="81"/>
        <v>0</v>
      </c>
      <c r="X1295">
        <f t="shared" si="82"/>
        <v>0</v>
      </c>
      <c r="Y1295" t="str">
        <f t="shared" si="83"/>
        <v>Non-Senior</v>
      </c>
    </row>
    <row r="1296" spans="1:25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80"/>
        <v>0-12 Months</v>
      </c>
      <c r="W1296">
        <f t="shared" si="81"/>
        <v>1</v>
      </c>
      <c r="X1296">
        <f t="shared" si="82"/>
        <v>44.75</v>
      </c>
      <c r="Y1296" t="str">
        <f t="shared" si="83"/>
        <v>Non-Senior</v>
      </c>
    </row>
    <row r="1297" spans="1:25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80"/>
        <v>61-72 Months</v>
      </c>
      <c r="W1297">
        <f t="shared" si="81"/>
        <v>0</v>
      </c>
      <c r="X1297">
        <f t="shared" si="82"/>
        <v>0</v>
      </c>
      <c r="Y1297" t="str">
        <f t="shared" si="83"/>
        <v>Non-Senior</v>
      </c>
    </row>
    <row r="1298" spans="1:25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80"/>
        <v>13-24 Months</v>
      </c>
      <c r="W1298">
        <f t="shared" si="81"/>
        <v>0</v>
      </c>
      <c r="X1298">
        <f t="shared" si="82"/>
        <v>0</v>
      </c>
      <c r="Y1298" t="str">
        <f t="shared" si="83"/>
        <v>Senior Citizen</v>
      </c>
    </row>
    <row r="1299" spans="1:25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80"/>
        <v>0-12 Months</v>
      </c>
      <c r="W1299">
        <f t="shared" si="81"/>
        <v>0</v>
      </c>
      <c r="X1299">
        <f t="shared" si="82"/>
        <v>0</v>
      </c>
      <c r="Y1299" t="str">
        <f t="shared" si="83"/>
        <v>Non-Senior</v>
      </c>
    </row>
    <row r="1300" spans="1:25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80"/>
        <v>13-24 Months</v>
      </c>
      <c r="W1300">
        <f t="shared" si="81"/>
        <v>0</v>
      </c>
      <c r="X1300">
        <f t="shared" si="82"/>
        <v>0</v>
      </c>
      <c r="Y1300" t="str">
        <f t="shared" si="83"/>
        <v>Non-Senior</v>
      </c>
    </row>
    <row r="1301" spans="1:25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80"/>
        <v>0-12 Months</v>
      </c>
      <c r="W1301">
        <f t="shared" si="81"/>
        <v>1</v>
      </c>
      <c r="X1301">
        <f t="shared" si="82"/>
        <v>44.05</v>
      </c>
      <c r="Y1301" t="str">
        <f t="shared" si="83"/>
        <v>Non-Senior</v>
      </c>
    </row>
    <row r="1302" spans="1:25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80"/>
        <v>61-72 Months</v>
      </c>
      <c r="W1302">
        <f t="shared" si="81"/>
        <v>0</v>
      </c>
      <c r="X1302">
        <f t="shared" si="82"/>
        <v>0</v>
      </c>
      <c r="Y1302" t="str">
        <f t="shared" si="83"/>
        <v>Non-Senior</v>
      </c>
    </row>
    <row r="1303" spans="1:25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80"/>
        <v>61-72 Months</v>
      </c>
      <c r="W1303">
        <f t="shared" si="81"/>
        <v>0</v>
      </c>
      <c r="X1303">
        <f t="shared" si="82"/>
        <v>0</v>
      </c>
      <c r="Y1303" t="str">
        <f t="shared" si="83"/>
        <v>Non-Senior</v>
      </c>
    </row>
    <row r="1304" spans="1:25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80"/>
        <v>37-48 Months</v>
      </c>
      <c r="W1304">
        <f t="shared" si="81"/>
        <v>0</v>
      </c>
      <c r="X1304">
        <f t="shared" si="82"/>
        <v>0</v>
      </c>
      <c r="Y1304" t="str">
        <f t="shared" si="83"/>
        <v>Non-Senior</v>
      </c>
    </row>
    <row r="1305" spans="1:25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7082</v>
      </c>
      <c r="J1305" t="s">
        <v>7084</v>
      </c>
      <c r="K1305" t="s">
        <v>46</v>
      </c>
      <c r="L1305" t="s">
        <v>7084</v>
      </c>
      <c r="M1305" t="s">
        <v>7084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80"/>
        <v>61-72 Months</v>
      </c>
      <c r="W1305">
        <f t="shared" si="81"/>
        <v>0</v>
      </c>
      <c r="X1305">
        <f t="shared" si="82"/>
        <v>0</v>
      </c>
      <c r="Y1305" t="str">
        <f t="shared" si="83"/>
        <v>Non-Senior</v>
      </c>
    </row>
    <row r="1306" spans="1:25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80"/>
        <v>13-24 Months</v>
      </c>
      <c r="W1306">
        <f t="shared" si="81"/>
        <v>1</v>
      </c>
      <c r="X1306">
        <f t="shared" si="82"/>
        <v>85.6</v>
      </c>
      <c r="Y1306" t="str">
        <f t="shared" si="83"/>
        <v>Senior Citizen</v>
      </c>
    </row>
    <row r="1307" spans="1:25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80"/>
        <v>25-36 Months</v>
      </c>
      <c r="W1307">
        <f t="shared" si="81"/>
        <v>0</v>
      </c>
      <c r="X1307">
        <f t="shared" si="82"/>
        <v>0</v>
      </c>
      <c r="Y1307" t="str">
        <f t="shared" si="83"/>
        <v>Non-Senior</v>
      </c>
    </row>
    <row r="1308" spans="1:25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80"/>
        <v>61-72 Months</v>
      </c>
      <c r="W1308">
        <f t="shared" si="81"/>
        <v>1</v>
      </c>
      <c r="X1308">
        <f t="shared" si="82"/>
        <v>115.55</v>
      </c>
      <c r="Y1308" t="str">
        <f t="shared" si="83"/>
        <v>Non-Senior</v>
      </c>
    </row>
    <row r="1309" spans="1:25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80"/>
        <v>25-36 Months</v>
      </c>
      <c r="W1309">
        <f t="shared" si="81"/>
        <v>0</v>
      </c>
      <c r="X1309">
        <f t="shared" si="82"/>
        <v>0</v>
      </c>
      <c r="Y1309" t="str">
        <f t="shared" si="83"/>
        <v>Non-Senior</v>
      </c>
    </row>
    <row r="1310" spans="1:25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80"/>
        <v>13-24 Months</v>
      </c>
      <c r="W1310">
        <f t="shared" si="81"/>
        <v>1</v>
      </c>
      <c r="X1310">
        <f t="shared" si="82"/>
        <v>86.6</v>
      </c>
      <c r="Y1310" t="str">
        <f t="shared" si="83"/>
        <v>Senior Citizen</v>
      </c>
    </row>
    <row r="1311" spans="1:25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80"/>
        <v>13-24 Months</v>
      </c>
      <c r="W1311">
        <f t="shared" si="81"/>
        <v>1</v>
      </c>
      <c r="X1311">
        <f t="shared" si="82"/>
        <v>85.2</v>
      </c>
      <c r="Y1311" t="str">
        <f t="shared" si="83"/>
        <v>Non-Senior</v>
      </c>
    </row>
    <row r="1312" spans="1:25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80"/>
        <v>25-36 Months</v>
      </c>
      <c r="W1312">
        <f t="shared" si="81"/>
        <v>1</v>
      </c>
      <c r="X1312">
        <f t="shared" si="82"/>
        <v>97.65</v>
      </c>
      <c r="Y1312" t="str">
        <f t="shared" si="83"/>
        <v>Non-Senior</v>
      </c>
    </row>
    <row r="1313" spans="1:25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80"/>
        <v>37-48 Months</v>
      </c>
      <c r="W1313">
        <f t="shared" si="81"/>
        <v>0</v>
      </c>
      <c r="X1313">
        <f t="shared" si="82"/>
        <v>0</v>
      </c>
      <c r="Y1313" t="str">
        <f t="shared" si="83"/>
        <v>Non-Senior</v>
      </c>
    </row>
    <row r="1314" spans="1:25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80"/>
        <v>37-48 Months</v>
      </c>
      <c r="W1314">
        <f t="shared" si="81"/>
        <v>0</v>
      </c>
      <c r="X1314">
        <f t="shared" si="82"/>
        <v>0</v>
      </c>
      <c r="Y1314" t="str">
        <f t="shared" si="83"/>
        <v>Non-Senior</v>
      </c>
    </row>
    <row r="1315" spans="1:25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80"/>
        <v>37-48 Months</v>
      </c>
      <c r="W1315">
        <f t="shared" si="81"/>
        <v>1</v>
      </c>
      <c r="X1315">
        <f t="shared" si="82"/>
        <v>109.55</v>
      </c>
      <c r="Y1315" t="str">
        <f t="shared" si="83"/>
        <v>Non-Senior</v>
      </c>
    </row>
    <row r="1316" spans="1:25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80"/>
        <v>37-48 Months</v>
      </c>
      <c r="W1316">
        <f t="shared" si="81"/>
        <v>1</v>
      </c>
      <c r="X1316">
        <f t="shared" si="82"/>
        <v>89.55</v>
      </c>
      <c r="Y1316" t="str">
        <f t="shared" si="83"/>
        <v>Non-Senior</v>
      </c>
    </row>
    <row r="1317" spans="1:25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7082</v>
      </c>
      <c r="J1317" t="s">
        <v>7084</v>
      </c>
      <c r="K1317" t="s">
        <v>46</v>
      </c>
      <c r="L1317" t="s">
        <v>7084</v>
      </c>
      <c r="M1317" t="s">
        <v>7084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80"/>
        <v>0-12 Months</v>
      </c>
      <c r="W1317">
        <f t="shared" si="81"/>
        <v>0</v>
      </c>
      <c r="X1317">
        <f t="shared" si="82"/>
        <v>0</v>
      </c>
      <c r="Y1317" t="str">
        <f t="shared" si="83"/>
        <v>Non-Senior</v>
      </c>
    </row>
    <row r="1318" spans="1:25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7082</v>
      </c>
      <c r="J1318" t="s">
        <v>7084</v>
      </c>
      <c r="K1318" t="s">
        <v>46</v>
      </c>
      <c r="L1318" t="s">
        <v>7084</v>
      </c>
      <c r="M1318" t="s">
        <v>7084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80"/>
        <v>0-12 Months</v>
      </c>
      <c r="W1318">
        <f t="shared" si="81"/>
        <v>0</v>
      </c>
      <c r="X1318">
        <f t="shared" si="82"/>
        <v>0</v>
      </c>
      <c r="Y1318" t="str">
        <f t="shared" si="83"/>
        <v>Non-Senior</v>
      </c>
    </row>
    <row r="1319" spans="1:25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7082</v>
      </c>
      <c r="J1319" t="s">
        <v>7084</v>
      </c>
      <c r="K1319" t="s">
        <v>46</v>
      </c>
      <c r="L1319" t="s">
        <v>7084</v>
      </c>
      <c r="M1319" t="s">
        <v>7084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80"/>
        <v>0-12 Months</v>
      </c>
      <c r="W1319">
        <f t="shared" si="81"/>
        <v>0</v>
      </c>
      <c r="X1319">
        <f t="shared" si="82"/>
        <v>0</v>
      </c>
      <c r="Y1319" t="str">
        <f t="shared" si="83"/>
        <v>Non-Senior</v>
      </c>
    </row>
    <row r="1320" spans="1:25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80"/>
        <v>0-12 Months</v>
      </c>
      <c r="W1320">
        <f t="shared" si="81"/>
        <v>0</v>
      </c>
      <c r="X1320">
        <f t="shared" si="82"/>
        <v>0</v>
      </c>
      <c r="Y1320" t="str">
        <f t="shared" si="83"/>
        <v>Non-Senior</v>
      </c>
    </row>
    <row r="1321" spans="1:25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7082</v>
      </c>
      <c r="J1321" t="s">
        <v>7084</v>
      </c>
      <c r="K1321" t="s">
        <v>46</v>
      </c>
      <c r="L1321" t="s">
        <v>7084</v>
      </c>
      <c r="M1321" t="s">
        <v>7084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80"/>
        <v>0-12 Months</v>
      </c>
      <c r="W1321">
        <f t="shared" si="81"/>
        <v>1</v>
      </c>
      <c r="X1321">
        <f t="shared" si="82"/>
        <v>19.45</v>
      </c>
      <c r="Y1321" t="str">
        <f t="shared" si="83"/>
        <v>Non-Senior</v>
      </c>
    </row>
    <row r="1322" spans="1:25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80"/>
        <v>25-36 Months</v>
      </c>
      <c r="W1322">
        <f t="shared" si="81"/>
        <v>0</v>
      </c>
      <c r="X1322">
        <f t="shared" si="82"/>
        <v>0</v>
      </c>
      <c r="Y1322" t="str">
        <f t="shared" si="83"/>
        <v>Non-Senior</v>
      </c>
    </row>
    <row r="1323" spans="1:25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80"/>
        <v>49-60 Months</v>
      </c>
      <c r="W1323">
        <f t="shared" si="81"/>
        <v>0</v>
      </c>
      <c r="X1323">
        <f t="shared" si="82"/>
        <v>0</v>
      </c>
      <c r="Y1323" t="str">
        <f t="shared" si="83"/>
        <v>Non-Senior</v>
      </c>
    </row>
    <row r="1324" spans="1:25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7082</v>
      </c>
      <c r="J1324" t="s">
        <v>7084</v>
      </c>
      <c r="K1324" t="s">
        <v>46</v>
      </c>
      <c r="L1324" t="s">
        <v>7084</v>
      </c>
      <c r="M1324" t="s">
        <v>7084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80"/>
        <v>0-12 Months</v>
      </c>
      <c r="W1324">
        <f t="shared" si="81"/>
        <v>0</v>
      </c>
      <c r="X1324">
        <f t="shared" si="82"/>
        <v>0</v>
      </c>
      <c r="Y1324" t="str">
        <f t="shared" si="83"/>
        <v>Non-Senior</v>
      </c>
    </row>
    <row r="1325" spans="1:25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7082</v>
      </c>
      <c r="J1325" t="s">
        <v>7084</v>
      </c>
      <c r="K1325" t="s">
        <v>46</v>
      </c>
      <c r="L1325" t="s">
        <v>7084</v>
      </c>
      <c r="M1325" t="s">
        <v>7084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80"/>
        <v>61-72 Months</v>
      </c>
      <c r="W1325">
        <f t="shared" si="81"/>
        <v>0</v>
      </c>
      <c r="X1325">
        <f t="shared" si="82"/>
        <v>0</v>
      </c>
      <c r="Y1325" t="str">
        <f t="shared" si="83"/>
        <v>Non-Senior</v>
      </c>
    </row>
    <row r="1326" spans="1:25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7082</v>
      </c>
      <c r="J1326" t="s">
        <v>7084</v>
      </c>
      <c r="K1326" t="s">
        <v>46</v>
      </c>
      <c r="L1326" t="s">
        <v>7084</v>
      </c>
      <c r="M1326" t="s">
        <v>7084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80"/>
        <v>0-12 Months</v>
      </c>
      <c r="W1326">
        <f t="shared" si="81"/>
        <v>1</v>
      </c>
      <c r="X1326">
        <f t="shared" si="82"/>
        <v>20.350000000000001</v>
      </c>
      <c r="Y1326" t="str">
        <f t="shared" si="83"/>
        <v>Non-Senior</v>
      </c>
    </row>
    <row r="1327" spans="1:25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80"/>
        <v>0-12 Months</v>
      </c>
      <c r="W1327">
        <f t="shared" si="81"/>
        <v>1</v>
      </c>
      <c r="X1327">
        <f t="shared" si="82"/>
        <v>69.25</v>
      </c>
      <c r="Y1327" t="str">
        <f t="shared" si="83"/>
        <v>Senior Citizen</v>
      </c>
    </row>
    <row r="1328" spans="1:25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80"/>
        <v>37-48 Months</v>
      </c>
      <c r="W1328">
        <f t="shared" si="81"/>
        <v>0</v>
      </c>
      <c r="X1328">
        <f t="shared" si="82"/>
        <v>0</v>
      </c>
      <c r="Y1328" t="str">
        <f t="shared" si="83"/>
        <v>Non-Senior</v>
      </c>
    </row>
    <row r="1329" spans="1:25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80"/>
        <v>49-60 Months</v>
      </c>
      <c r="W1329">
        <f t="shared" si="81"/>
        <v>1</v>
      </c>
      <c r="X1329">
        <f t="shared" si="82"/>
        <v>99.5</v>
      </c>
      <c r="Y1329" t="str">
        <f t="shared" si="83"/>
        <v>Non-Senior</v>
      </c>
    </row>
    <row r="1330" spans="1:25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80"/>
        <v>13-24 Months</v>
      </c>
      <c r="W1330">
        <f t="shared" si="81"/>
        <v>0</v>
      </c>
      <c r="X1330">
        <f t="shared" si="82"/>
        <v>0</v>
      </c>
      <c r="Y1330" t="str">
        <f t="shared" si="83"/>
        <v>Non-Senior</v>
      </c>
    </row>
    <row r="1331" spans="1:25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7082</v>
      </c>
      <c r="J1331" t="s">
        <v>7084</v>
      </c>
      <c r="K1331" t="s">
        <v>46</v>
      </c>
      <c r="L1331" t="s">
        <v>7084</v>
      </c>
      <c r="M1331" t="s">
        <v>7084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80"/>
        <v>61-72 Months</v>
      </c>
      <c r="W1331">
        <f t="shared" si="81"/>
        <v>0</v>
      </c>
      <c r="X1331">
        <f t="shared" si="82"/>
        <v>0</v>
      </c>
      <c r="Y1331" t="str">
        <f t="shared" si="83"/>
        <v>Non-Senior</v>
      </c>
    </row>
    <row r="1332" spans="1:25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80"/>
        <v>13-24 Months</v>
      </c>
      <c r="W1332">
        <f t="shared" si="81"/>
        <v>0</v>
      </c>
      <c r="X1332">
        <f t="shared" si="82"/>
        <v>0</v>
      </c>
      <c r="Y1332" t="str">
        <f t="shared" si="83"/>
        <v>Non-Senior</v>
      </c>
    </row>
    <row r="1333" spans="1:25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80"/>
        <v>0-12 Months</v>
      </c>
      <c r="W1333">
        <f t="shared" si="81"/>
        <v>0</v>
      </c>
      <c r="X1333">
        <f t="shared" si="82"/>
        <v>0</v>
      </c>
      <c r="Y1333" t="str">
        <f t="shared" si="83"/>
        <v>Non-Senior</v>
      </c>
    </row>
    <row r="1334" spans="1:25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7082</v>
      </c>
      <c r="J1334" t="s">
        <v>7084</v>
      </c>
      <c r="K1334" t="s">
        <v>46</v>
      </c>
      <c r="L1334" t="s">
        <v>7084</v>
      </c>
      <c r="M1334" t="s">
        <v>7084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80"/>
        <v>61-72 Months</v>
      </c>
      <c r="W1334">
        <f t="shared" si="81"/>
        <v>0</v>
      </c>
      <c r="X1334">
        <f t="shared" si="82"/>
        <v>0</v>
      </c>
      <c r="Y1334" t="str">
        <f t="shared" si="83"/>
        <v>Non-Senior</v>
      </c>
    </row>
    <row r="1335" spans="1:25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80"/>
        <v>49-60 Months</v>
      </c>
      <c r="W1335">
        <f t="shared" si="81"/>
        <v>0</v>
      </c>
      <c r="X1335">
        <f t="shared" si="82"/>
        <v>0</v>
      </c>
      <c r="Y1335" t="str">
        <f t="shared" si="83"/>
        <v>Non-Senior</v>
      </c>
    </row>
    <row r="1336" spans="1:25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80"/>
        <v>0-12 Months</v>
      </c>
      <c r="W1336">
        <f t="shared" si="81"/>
        <v>1</v>
      </c>
      <c r="X1336">
        <f t="shared" si="82"/>
        <v>25.2</v>
      </c>
      <c r="Y1336" t="str">
        <f t="shared" si="83"/>
        <v>Senior Citizen</v>
      </c>
    </row>
    <row r="1337" spans="1:25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80"/>
        <v>0-12 Months</v>
      </c>
      <c r="W1337">
        <f t="shared" si="81"/>
        <v>1</v>
      </c>
      <c r="X1337">
        <f t="shared" si="82"/>
        <v>45</v>
      </c>
      <c r="Y1337" t="str">
        <f t="shared" si="83"/>
        <v>Non-Senior</v>
      </c>
    </row>
    <row r="1338" spans="1:25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80"/>
        <v>13-24 Months</v>
      </c>
      <c r="W1338">
        <f t="shared" si="81"/>
        <v>0</v>
      </c>
      <c r="X1338">
        <f t="shared" si="82"/>
        <v>0</v>
      </c>
      <c r="Y1338" t="str">
        <f t="shared" si="83"/>
        <v>Non-Senior</v>
      </c>
    </row>
    <row r="1339" spans="1:25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7082</v>
      </c>
      <c r="J1339" t="s">
        <v>7084</v>
      </c>
      <c r="K1339" t="s">
        <v>46</v>
      </c>
      <c r="L1339" t="s">
        <v>7084</v>
      </c>
      <c r="M1339" t="s">
        <v>7084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80"/>
        <v>25-36 Months</v>
      </c>
      <c r="W1339">
        <f t="shared" si="81"/>
        <v>0</v>
      </c>
      <c r="X1339">
        <f t="shared" si="82"/>
        <v>0</v>
      </c>
      <c r="Y1339" t="str">
        <f t="shared" si="83"/>
        <v>Non-Senior</v>
      </c>
    </row>
    <row r="1340" spans="1:25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7082</v>
      </c>
      <c r="J1340" t="s">
        <v>7084</v>
      </c>
      <c r="K1340" t="s">
        <v>46</v>
      </c>
      <c r="L1340" t="s">
        <v>7084</v>
      </c>
      <c r="M1340" t="s">
        <v>7084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80"/>
        <v>0-12 Months</v>
      </c>
      <c r="W1340">
        <f t="shared" si="81"/>
        <v>1</v>
      </c>
      <c r="X1340">
        <f t="shared" si="82"/>
        <v>20.149999999999999</v>
      </c>
      <c r="Y1340" t="str">
        <f t="shared" si="83"/>
        <v>Non-Senior</v>
      </c>
    </row>
    <row r="1341" spans="1:25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80"/>
        <v>61-72 Months</v>
      </c>
      <c r="W1341">
        <f t="shared" si="81"/>
        <v>1</v>
      </c>
      <c r="X1341">
        <f t="shared" si="82"/>
        <v>105</v>
      </c>
      <c r="Y1341" t="str">
        <f t="shared" si="83"/>
        <v>Non-Senior</v>
      </c>
    </row>
    <row r="1342" spans="1:25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 t="str">
        <f t="shared" si="80"/>
        <v>0-12 Months</v>
      </c>
      <c r="W1342">
        <f t="shared" si="81"/>
        <v>0</v>
      </c>
      <c r="X1342">
        <f t="shared" si="82"/>
        <v>0</v>
      </c>
      <c r="Y1342" t="str">
        <f t="shared" si="83"/>
        <v>Non-Senior</v>
      </c>
    </row>
    <row r="1343" spans="1:25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80"/>
        <v>0-12 Months</v>
      </c>
      <c r="W1343">
        <f t="shared" si="81"/>
        <v>1</v>
      </c>
      <c r="X1343">
        <f t="shared" si="82"/>
        <v>54.7</v>
      </c>
      <c r="Y1343" t="str">
        <f t="shared" si="83"/>
        <v>Non-Senior</v>
      </c>
    </row>
    <row r="1344" spans="1:25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7082</v>
      </c>
      <c r="J1344" t="s">
        <v>7084</v>
      </c>
      <c r="K1344" t="s">
        <v>46</v>
      </c>
      <c r="L1344" t="s">
        <v>7084</v>
      </c>
      <c r="M1344" t="s">
        <v>7084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80"/>
        <v>0-12 Months</v>
      </c>
      <c r="W1344">
        <f t="shared" si="81"/>
        <v>0</v>
      </c>
      <c r="X1344">
        <f t="shared" si="82"/>
        <v>0</v>
      </c>
      <c r="Y1344" t="str">
        <f t="shared" si="83"/>
        <v>Non-Senior</v>
      </c>
    </row>
    <row r="1345" spans="1:25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80"/>
        <v>61-72 Months</v>
      </c>
      <c r="W1345">
        <f t="shared" si="81"/>
        <v>0</v>
      </c>
      <c r="X1345">
        <f t="shared" si="82"/>
        <v>0</v>
      </c>
      <c r="Y1345" t="str">
        <f t="shared" si="83"/>
        <v>Non-Senior</v>
      </c>
    </row>
    <row r="1346" spans="1:25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7082</v>
      </c>
      <c r="J1346" t="s">
        <v>7084</v>
      </c>
      <c r="K1346" t="s">
        <v>46</v>
      </c>
      <c r="L1346" t="s">
        <v>7084</v>
      </c>
      <c r="M1346" t="s">
        <v>7084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si="80"/>
        <v>25-36 Months</v>
      </c>
      <c r="W1346">
        <f t="shared" si="81"/>
        <v>0</v>
      </c>
      <c r="X1346">
        <f t="shared" si="82"/>
        <v>0</v>
      </c>
      <c r="Y1346" t="str">
        <f t="shared" si="83"/>
        <v>Non-Senior</v>
      </c>
    </row>
    <row r="1347" spans="1:25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ref="V1347:V1410" si="84">IF(F1347&lt;=12,"0-12 Months",IF(F1347&lt;=24,"13-24 Months",IF(F1347&lt;=36,"25-36 Months",IF(F1347&lt;=48,"37-48 Months",IF(F1347&lt;=60,"49-60 Months","61-72 Months")))))</f>
        <v>49-60 Months</v>
      </c>
      <c r="W1347">
        <f t="shared" ref="W1347:W1410" si="85">IF(U1347="Yes",1,0)</f>
        <v>0</v>
      </c>
      <c r="X1347">
        <f t="shared" ref="X1347:X1410" si="86">IF(U1347="Yes",S1347,0)</f>
        <v>0</v>
      </c>
      <c r="Y1347" t="str">
        <f t="shared" ref="Y1347:Y1410" si="87">IF(C1347=1,"Senior Citizen","Non-Senior")</f>
        <v>Non-Senior</v>
      </c>
    </row>
    <row r="1348" spans="1:25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84"/>
        <v>13-24 Months</v>
      </c>
      <c r="W1348">
        <f t="shared" si="85"/>
        <v>1</v>
      </c>
      <c r="X1348">
        <f t="shared" si="86"/>
        <v>87.25</v>
      </c>
      <c r="Y1348" t="str">
        <f t="shared" si="87"/>
        <v>Non-Senior</v>
      </c>
    </row>
    <row r="1349" spans="1:25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7082</v>
      </c>
      <c r="J1349" t="s">
        <v>7084</v>
      </c>
      <c r="K1349" t="s">
        <v>46</v>
      </c>
      <c r="L1349" t="s">
        <v>7084</v>
      </c>
      <c r="M1349" t="s">
        <v>7084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84"/>
        <v>13-24 Months</v>
      </c>
      <c r="W1349">
        <f t="shared" si="85"/>
        <v>0</v>
      </c>
      <c r="X1349">
        <f t="shared" si="86"/>
        <v>0</v>
      </c>
      <c r="Y1349" t="str">
        <f t="shared" si="87"/>
        <v>Non-Senior</v>
      </c>
    </row>
    <row r="1350" spans="1:25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84"/>
        <v>0-12 Months</v>
      </c>
      <c r="W1350">
        <f t="shared" si="85"/>
        <v>1</v>
      </c>
      <c r="X1350">
        <f t="shared" si="86"/>
        <v>79.95</v>
      </c>
      <c r="Y1350" t="str">
        <f t="shared" si="87"/>
        <v>Non-Senior</v>
      </c>
    </row>
    <row r="1351" spans="1:25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84"/>
        <v>49-60 Months</v>
      </c>
      <c r="W1351">
        <f t="shared" si="85"/>
        <v>0</v>
      </c>
      <c r="X1351">
        <f t="shared" si="86"/>
        <v>0</v>
      </c>
      <c r="Y1351" t="str">
        <f t="shared" si="87"/>
        <v>Non-Senior</v>
      </c>
    </row>
    <row r="1352" spans="1:25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84"/>
        <v>61-72 Months</v>
      </c>
      <c r="W1352">
        <f t="shared" si="85"/>
        <v>0</v>
      </c>
      <c r="X1352">
        <f t="shared" si="86"/>
        <v>0</v>
      </c>
      <c r="Y1352" t="str">
        <f t="shared" si="87"/>
        <v>Non-Senior</v>
      </c>
    </row>
    <row r="1353" spans="1:25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7082</v>
      </c>
      <c r="J1353" t="s">
        <v>7084</v>
      </c>
      <c r="K1353" t="s">
        <v>46</v>
      </c>
      <c r="L1353" t="s">
        <v>7084</v>
      </c>
      <c r="M1353" t="s">
        <v>7084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84"/>
        <v>0-12 Months</v>
      </c>
      <c r="W1353">
        <f t="shared" si="85"/>
        <v>0</v>
      </c>
      <c r="X1353">
        <f t="shared" si="86"/>
        <v>0</v>
      </c>
      <c r="Y1353" t="str">
        <f t="shared" si="87"/>
        <v>Non-Senior</v>
      </c>
    </row>
    <row r="1354" spans="1:25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84"/>
        <v>61-72 Months</v>
      </c>
      <c r="W1354">
        <f t="shared" si="85"/>
        <v>0</v>
      </c>
      <c r="X1354">
        <f t="shared" si="86"/>
        <v>0</v>
      </c>
      <c r="Y1354" t="str">
        <f t="shared" si="87"/>
        <v>Non-Senior</v>
      </c>
    </row>
    <row r="1355" spans="1:25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7082</v>
      </c>
      <c r="J1355" t="s">
        <v>7084</v>
      </c>
      <c r="K1355" t="s">
        <v>46</v>
      </c>
      <c r="L1355" t="s">
        <v>7084</v>
      </c>
      <c r="M1355" t="s">
        <v>7084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84"/>
        <v>61-72 Months</v>
      </c>
      <c r="W1355">
        <f t="shared" si="85"/>
        <v>0</v>
      </c>
      <c r="X1355">
        <f t="shared" si="86"/>
        <v>0</v>
      </c>
      <c r="Y1355" t="str">
        <f t="shared" si="87"/>
        <v>Non-Senior</v>
      </c>
    </row>
    <row r="1356" spans="1:25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84"/>
        <v>13-24 Months</v>
      </c>
      <c r="W1356">
        <f t="shared" si="85"/>
        <v>1</v>
      </c>
      <c r="X1356">
        <f t="shared" si="86"/>
        <v>88.35</v>
      </c>
      <c r="Y1356" t="str">
        <f t="shared" si="87"/>
        <v>Non-Senior</v>
      </c>
    </row>
    <row r="1357" spans="1:25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7082</v>
      </c>
      <c r="J1357" t="s">
        <v>7084</v>
      </c>
      <c r="K1357" t="s">
        <v>46</v>
      </c>
      <c r="L1357" t="s">
        <v>7084</v>
      </c>
      <c r="M1357" t="s">
        <v>7084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84"/>
        <v>0-12 Months</v>
      </c>
      <c r="W1357">
        <f t="shared" si="85"/>
        <v>0</v>
      </c>
      <c r="X1357">
        <f t="shared" si="86"/>
        <v>0</v>
      </c>
      <c r="Y1357" t="str">
        <f t="shared" si="87"/>
        <v>Non-Senior</v>
      </c>
    </row>
    <row r="1358" spans="1:25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84"/>
        <v>0-12 Months</v>
      </c>
      <c r="W1358">
        <f t="shared" si="85"/>
        <v>0</v>
      </c>
      <c r="X1358">
        <f t="shared" si="86"/>
        <v>0</v>
      </c>
      <c r="Y1358" t="str">
        <f t="shared" si="87"/>
        <v>Non-Senior</v>
      </c>
    </row>
    <row r="1359" spans="1:25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84"/>
        <v>37-48 Months</v>
      </c>
      <c r="W1359">
        <f t="shared" si="85"/>
        <v>0</v>
      </c>
      <c r="X1359">
        <f t="shared" si="86"/>
        <v>0</v>
      </c>
      <c r="Y1359" t="str">
        <f t="shared" si="87"/>
        <v>Non-Senior</v>
      </c>
    </row>
    <row r="1360" spans="1:25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84"/>
        <v>0-12 Months</v>
      </c>
      <c r="W1360">
        <f t="shared" si="85"/>
        <v>0</v>
      </c>
      <c r="X1360">
        <f t="shared" si="86"/>
        <v>0</v>
      </c>
      <c r="Y1360" t="str">
        <f t="shared" si="87"/>
        <v>Non-Senior</v>
      </c>
    </row>
    <row r="1361" spans="1:25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84"/>
        <v>0-12 Months</v>
      </c>
      <c r="W1361">
        <f t="shared" si="85"/>
        <v>1</v>
      </c>
      <c r="X1361">
        <f t="shared" si="86"/>
        <v>94.75</v>
      </c>
      <c r="Y1361" t="str">
        <f t="shared" si="87"/>
        <v>Non-Senior</v>
      </c>
    </row>
    <row r="1362" spans="1:25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84"/>
        <v>13-24 Months</v>
      </c>
      <c r="W1362">
        <f t="shared" si="85"/>
        <v>1</v>
      </c>
      <c r="X1362">
        <f t="shared" si="86"/>
        <v>95.05</v>
      </c>
      <c r="Y1362" t="str">
        <f t="shared" si="87"/>
        <v>Senior Citizen</v>
      </c>
    </row>
    <row r="1363" spans="1:25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84"/>
        <v>0-12 Months</v>
      </c>
      <c r="W1363">
        <f t="shared" si="85"/>
        <v>1</v>
      </c>
      <c r="X1363">
        <f t="shared" si="86"/>
        <v>78.45</v>
      </c>
      <c r="Y1363" t="str">
        <f t="shared" si="87"/>
        <v>Non-Senior</v>
      </c>
    </row>
    <row r="1364" spans="1:25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84"/>
        <v>0-12 Months</v>
      </c>
      <c r="W1364">
        <f t="shared" si="85"/>
        <v>1</v>
      </c>
      <c r="X1364">
        <f t="shared" si="86"/>
        <v>70.2</v>
      </c>
      <c r="Y1364" t="str">
        <f t="shared" si="87"/>
        <v>Non-Senior</v>
      </c>
    </row>
    <row r="1365" spans="1:25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84"/>
        <v>61-72 Months</v>
      </c>
      <c r="W1365">
        <f t="shared" si="85"/>
        <v>0</v>
      </c>
      <c r="X1365">
        <f t="shared" si="86"/>
        <v>0</v>
      </c>
      <c r="Y1365" t="str">
        <f t="shared" si="87"/>
        <v>Non-Senior</v>
      </c>
    </row>
    <row r="1366" spans="1:25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84"/>
        <v>49-60 Months</v>
      </c>
      <c r="W1366">
        <f t="shared" si="85"/>
        <v>0</v>
      </c>
      <c r="X1366">
        <f t="shared" si="86"/>
        <v>0</v>
      </c>
      <c r="Y1366" t="str">
        <f t="shared" si="87"/>
        <v>Non-Senior</v>
      </c>
    </row>
    <row r="1367" spans="1:25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84"/>
        <v>49-60 Months</v>
      </c>
      <c r="W1367">
        <f t="shared" si="85"/>
        <v>1</v>
      </c>
      <c r="X1367">
        <f t="shared" si="86"/>
        <v>41.05</v>
      </c>
      <c r="Y1367" t="str">
        <f t="shared" si="87"/>
        <v>Non-Senior</v>
      </c>
    </row>
    <row r="1368" spans="1:25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84"/>
        <v>0-12 Months</v>
      </c>
      <c r="W1368">
        <f t="shared" si="85"/>
        <v>1</v>
      </c>
      <c r="X1368">
        <f t="shared" si="86"/>
        <v>85.6</v>
      </c>
      <c r="Y1368" t="str">
        <f t="shared" si="87"/>
        <v>Non-Senior</v>
      </c>
    </row>
    <row r="1369" spans="1:25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84"/>
        <v>61-72 Months</v>
      </c>
      <c r="W1369">
        <f t="shared" si="85"/>
        <v>0</v>
      </c>
      <c r="X1369">
        <f t="shared" si="86"/>
        <v>0</v>
      </c>
      <c r="Y1369" t="str">
        <f t="shared" si="87"/>
        <v>Senior Citizen</v>
      </c>
    </row>
    <row r="1370" spans="1:25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84"/>
        <v>49-60 Months</v>
      </c>
      <c r="W1370">
        <f t="shared" si="85"/>
        <v>0</v>
      </c>
      <c r="X1370">
        <f t="shared" si="86"/>
        <v>0</v>
      </c>
      <c r="Y1370" t="str">
        <f t="shared" si="87"/>
        <v>Non-Senior</v>
      </c>
    </row>
    <row r="1371" spans="1:25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84"/>
        <v>25-36 Months</v>
      </c>
      <c r="W1371">
        <f t="shared" si="85"/>
        <v>0</v>
      </c>
      <c r="X1371">
        <f t="shared" si="86"/>
        <v>0</v>
      </c>
      <c r="Y1371" t="str">
        <f t="shared" si="87"/>
        <v>Non-Senior</v>
      </c>
    </row>
    <row r="1372" spans="1:25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7082</v>
      </c>
      <c r="J1372" t="s">
        <v>7084</v>
      </c>
      <c r="K1372" t="s">
        <v>46</v>
      </c>
      <c r="L1372" t="s">
        <v>7084</v>
      </c>
      <c r="M1372" t="s">
        <v>7084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84"/>
        <v>25-36 Months</v>
      </c>
      <c r="W1372">
        <f t="shared" si="85"/>
        <v>0</v>
      </c>
      <c r="X1372">
        <f t="shared" si="86"/>
        <v>0</v>
      </c>
      <c r="Y1372" t="str">
        <f t="shared" si="87"/>
        <v>Non-Senior</v>
      </c>
    </row>
    <row r="1373" spans="1:25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84"/>
        <v>0-12 Months</v>
      </c>
      <c r="W1373">
        <f t="shared" si="85"/>
        <v>1</v>
      </c>
      <c r="X1373">
        <f t="shared" si="86"/>
        <v>79.2</v>
      </c>
      <c r="Y1373" t="str">
        <f t="shared" si="87"/>
        <v>Senior Citizen</v>
      </c>
    </row>
    <row r="1374" spans="1:25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84"/>
        <v>13-24 Months</v>
      </c>
      <c r="W1374">
        <f t="shared" si="85"/>
        <v>0</v>
      </c>
      <c r="X1374">
        <f t="shared" si="86"/>
        <v>0</v>
      </c>
      <c r="Y1374" t="str">
        <f t="shared" si="87"/>
        <v>Non-Senior</v>
      </c>
    </row>
    <row r="1375" spans="1:25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7082</v>
      </c>
      <c r="J1375" t="s">
        <v>7084</v>
      </c>
      <c r="K1375" t="s">
        <v>46</v>
      </c>
      <c r="L1375" t="s">
        <v>7084</v>
      </c>
      <c r="M1375" t="s">
        <v>7084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84"/>
        <v>0-12 Months</v>
      </c>
      <c r="W1375">
        <f t="shared" si="85"/>
        <v>0</v>
      </c>
      <c r="X1375">
        <f t="shared" si="86"/>
        <v>0</v>
      </c>
      <c r="Y1375" t="str">
        <f t="shared" si="87"/>
        <v>Non-Senior</v>
      </c>
    </row>
    <row r="1376" spans="1:25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84"/>
        <v>37-48 Months</v>
      </c>
      <c r="W1376">
        <f t="shared" si="85"/>
        <v>0</v>
      </c>
      <c r="X1376">
        <f t="shared" si="86"/>
        <v>0</v>
      </c>
      <c r="Y1376" t="str">
        <f t="shared" si="87"/>
        <v>Non-Senior</v>
      </c>
    </row>
    <row r="1377" spans="1:25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7082</v>
      </c>
      <c r="J1377" t="s">
        <v>7084</v>
      </c>
      <c r="K1377" t="s">
        <v>46</v>
      </c>
      <c r="L1377" t="s">
        <v>7084</v>
      </c>
      <c r="M1377" t="s">
        <v>7084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84"/>
        <v>37-48 Months</v>
      </c>
      <c r="W1377">
        <f t="shared" si="85"/>
        <v>0</v>
      </c>
      <c r="X1377">
        <f t="shared" si="86"/>
        <v>0</v>
      </c>
      <c r="Y1377" t="str">
        <f t="shared" si="87"/>
        <v>Non-Senior</v>
      </c>
    </row>
    <row r="1378" spans="1:25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84"/>
        <v>0-12 Months</v>
      </c>
      <c r="W1378">
        <f t="shared" si="85"/>
        <v>1</v>
      </c>
      <c r="X1378">
        <f t="shared" si="86"/>
        <v>70</v>
      </c>
      <c r="Y1378" t="str">
        <f t="shared" si="87"/>
        <v>Non-Senior</v>
      </c>
    </row>
    <row r="1379" spans="1:25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84"/>
        <v>61-72 Months</v>
      </c>
      <c r="W1379">
        <f t="shared" si="85"/>
        <v>0</v>
      </c>
      <c r="X1379">
        <f t="shared" si="86"/>
        <v>0</v>
      </c>
      <c r="Y1379" t="str">
        <f t="shared" si="87"/>
        <v>Non-Senior</v>
      </c>
    </row>
    <row r="1380" spans="1:25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84"/>
        <v>49-60 Months</v>
      </c>
      <c r="W1380">
        <f t="shared" si="85"/>
        <v>0</v>
      </c>
      <c r="X1380">
        <f t="shared" si="86"/>
        <v>0</v>
      </c>
      <c r="Y1380" t="str">
        <f t="shared" si="87"/>
        <v>Non-Senior</v>
      </c>
    </row>
    <row r="1381" spans="1:25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84"/>
        <v>61-72 Months</v>
      </c>
      <c r="W1381">
        <f t="shared" si="85"/>
        <v>0</v>
      </c>
      <c r="X1381">
        <f t="shared" si="86"/>
        <v>0</v>
      </c>
      <c r="Y1381" t="str">
        <f t="shared" si="87"/>
        <v>Non-Senior</v>
      </c>
    </row>
    <row r="1382" spans="1:25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84"/>
        <v>61-72 Months</v>
      </c>
      <c r="W1382">
        <f t="shared" si="85"/>
        <v>0</v>
      </c>
      <c r="X1382">
        <f t="shared" si="86"/>
        <v>0</v>
      </c>
      <c r="Y1382" t="str">
        <f t="shared" si="87"/>
        <v>Non-Senior</v>
      </c>
    </row>
    <row r="1383" spans="1:25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84"/>
        <v>0-12 Months</v>
      </c>
      <c r="W1383">
        <f t="shared" si="85"/>
        <v>0</v>
      </c>
      <c r="X1383">
        <f t="shared" si="86"/>
        <v>0</v>
      </c>
      <c r="Y1383" t="str">
        <f t="shared" si="87"/>
        <v>Non-Senior</v>
      </c>
    </row>
    <row r="1384" spans="1:25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7082</v>
      </c>
      <c r="J1384" t="s">
        <v>7084</v>
      </c>
      <c r="K1384" t="s">
        <v>46</v>
      </c>
      <c r="L1384" t="s">
        <v>7084</v>
      </c>
      <c r="M1384" t="s">
        <v>7084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84"/>
        <v>37-48 Months</v>
      </c>
      <c r="W1384">
        <f t="shared" si="85"/>
        <v>0</v>
      </c>
      <c r="X1384">
        <f t="shared" si="86"/>
        <v>0</v>
      </c>
      <c r="Y1384" t="str">
        <f t="shared" si="87"/>
        <v>Non-Senior</v>
      </c>
    </row>
    <row r="1385" spans="1:25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84"/>
        <v>0-12 Months</v>
      </c>
      <c r="W1385">
        <f t="shared" si="85"/>
        <v>1</v>
      </c>
      <c r="X1385">
        <f t="shared" si="86"/>
        <v>49.95</v>
      </c>
      <c r="Y1385" t="str">
        <f t="shared" si="87"/>
        <v>Non-Senior</v>
      </c>
    </row>
    <row r="1386" spans="1:25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84"/>
        <v>13-24 Months</v>
      </c>
      <c r="W1386">
        <f t="shared" si="85"/>
        <v>1</v>
      </c>
      <c r="X1386">
        <f t="shared" si="86"/>
        <v>69.25</v>
      </c>
      <c r="Y1386" t="str">
        <f t="shared" si="87"/>
        <v>Non-Senior</v>
      </c>
    </row>
    <row r="1387" spans="1:25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84"/>
        <v>37-48 Months</v>
      </c>
      <c r="W1387">
        <f t="shared" si="85"/>
        <v>0</v>
      </c>
      <c r="X1387">
        <f t="shared" si="86"/>
        <v>0</v>
      </c>
      <c r="Y1387" t="str">
        <f t="shared" si="87"/>
        <v>Non-Senior</v>
      </c>
    </row>
    <row r="1388" spans="1:25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84"/>
        <v>61-72 Months</v>
      </c>
      <c r="W1388">
        <f t="shared" si="85"/>
        <v>0</v>
      </c>
      <c r="X1388">
        <f t="shared" si="86"/>
        <v>0</v>
      </c>
      <c r="Y1388" t="str">
        <f t="shared" si="87"/>
        <v>Non-Senior</v>
      </c>
    </row>
    <row r="1389" spans="1:25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7082</v>
      </c>
      <c r="J1389" t="s">
        <v>7084</v>
      </c>
      <c r="K1389" t="s">
        <v>46</v>
      </c>
      <c r="L1389" t="s">
        <v>7084</v>
      </c>
      <c r="M1389" t="s">
        <v>7084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84"/>
        <v>61-72 Months</v>
      </c>
      <c r="W1389">
        <f t="shared" si="85"/>
        <v>0</v>
      </c>
      <c r="X1389">
        <f t="shared" si="86"/>
        <v>0</v>
      </c>
      <c r="Y1389" t="str">
        <f t="shared" si="87"/>
        <v>Non-Senior</v>
      </c>
    </row>
    <row r="1390" spans="1:25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84"/>
        <v>0-12 Months</v>
      </c>
      <c r="W1390">
        <f t="shared" si="85"/>
        <v>0</v>
      </c>
      <c r="X1390">
        <f t="shared" si="86"/>
        <v>0</v>
      </c>
      <c r="Y1390" t="str">
        <f t="shared" si="87"/>
        <v>Non-Senior</v>
      </c>
    </row>
    <row r="1391" spans="1:25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84"/>
        <v>25-36 Months</v>
      </c>
      <c r="W1391">
        <f t="shared" si="85"/>
        <v>1</v>
      </c>
      <c r="X1391">
        <f t="shared" si="86"/>
        <v>94.25</v>
      </c>
      <c r="Y1391" t="str">
        <f t="shared" si="87"/>
        <v>Senior Citizen</v>
      </c>
    </row>
    <row r="1392" spans="1:25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84"/>
        <v>61-72 Months</v>
      </c>
      <c r="W1392">
        <f t="shared" si="85"/>
        <v>0</v>
      </c>
      <c r="X1392">
        <f t="shared" si="86"/>
        <v>0</v>
      </c>
      <c r="Y1392" t="str">
        <f t="shared" si="87"/>
        <v>Non-Senior</v>
      </c>
    </row>
    <row r="1393" spans="1:25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84"/>
        <v>25-36 Months</v>
      </c>
      <c r="W1393">
        <f t="shared" si="85"/>
        <v>0</v>
      </c>
      <c r="X1393">
        <f t="shared" si="86"/>
        <v>0</v>
      </c>
      <c r="Y1393" t="str">
        <f t="shared" si="87"/>
        <v>Non-Senior</v>
      </c>
    </row>
    <row r="1394" spans="1:25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7082</v>
      </c>
      <c r="J1394" t="s">
        <v>7084</v>
      </c>
      <c r="K1394" t="s">
        <v>46</v>
      </c>
      <c r="L1394" t="s">
        <v>7084</v>
      </c>
      <c r="M1394" t="s">
        <v>7084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84"/>
        <v>25-36 Months</v>
      </c>
      <c r="W1394">
        <f t="shared" si="85"/>
        <v>0</v>
      </c>
      <c r="X1394">
        <f t="shared" si="86"/>
        <v>0</v>
      </c>
      <c r="Y1394" t="str">
        <f t="shared" si="87"/>
        <v>Non-Senior</v>
      </c>
    </row>
    <row r="1395" spans="1:25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7082</v>
      </c>
      <c r="J1395" t="s">
        <v>7084</v>
      </c>
      <c r="K1395" t="s">
        <v>46</v>
      </c>
      <c r="L1395" t="s">
        <v>7084</v>
      </c>
      <c r="M1395" t="s">
        <v>7084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84"/>
        <v>0-12 Months</v>
      </c>
      <c r="W1395">
        <f t="shared" si="85"/>
        <v>0</v>
      </c>
      <c r="X1395">
        <f t="shared" si="86"/>
        <v>0</v>
      </c>
      <c r="Y1395" t="str">
        <f t="shared" si="87"/>
        <v>Non-Senior</v>
      </c>
    </row>
    <row r="1396" spans="1:25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84"/>
        <v>61-72 Months</v>
      </c>
      <c r="W1396">
        <f t="shared" si="85"/>
        <v>0</v>
      </c>
      <c r="X1396">
        <f t="shared" si="86"/>
        <v>0</v>
      </c>
      <c r="Y1396" t="str">
        <f t="shared" si="87"/>
        <v>Non-Senior</v>
      </c>
    </row>
    <row r="1397" spans="1:25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84"/>
        <v>37-48 Months</v>
      </c>
      <c r="W1397">
        <f t="shared" si="85"/>
        <v>1</v>
      </c>
      <c r="X1397">
        <f t="shared" si="86"/>
        <v>73</v>
      </c>
      <c r="Y1397" t="str">
        <f t="shared" si="87"/>
        <v>Non-Senior</v>
      </c>
    </row>
    <row r="1398" spans="1:25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84"/>
        <v>61-72 Months</v>
      </c>
      <c r="W1398">
        <f t="shared" si="85"/>
        <v>1</v>
      </c>
      <c r="X1398">
        <f t="shared" si="86"/>
        <v>100.05</v>
      </c>
      <c r="Y1398" t="str">
        <f t="shared" si="87"/>
        <v>Non-Senior</v>
      </c>
    </row>
    <row r="1399" spans="1:25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84"/>
        <v>0-12 Months</v>
      </c>
      <c r="W1399">
        <f t="shared" si="85"/>
        <v>0</v>
      </c>
      <c r="X1399">
        <f t="shared" si="86"/>
        <v>0</v>
      </c>
      <c r="Y1399" t="str">
        <f t="shared" si="87"/>
        <v>Non-Senior</v>
      </c>
    </row>
    <row r="1400" spans="1:25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84"/>
        <v>13-24 Months</v>
      </c>
      <c r="W1400">
        <f t="shared" si="85"/>
        <v>0</v>
      </c>
      <c r="X1400">
        <f t="shared" si="86"/>
        <v>0</v>
      </c>
      <c r="Y1400" t="str">
        <f t="shared" si="87"/>
        <v>Non-Senior</v>
      </c>
    </row>
    <row r="1401" spans="1:25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7082</v>
      </c>
      <c r="J1401" t="s">
        <v>7084</v>
      </c>
      <c r="K1401" t="s">
        <v>46</v>
      </c>
      <c r="L1401" t="s">
        <v>7084</v>
      </c>
      <c r="M1401" t="s">
        <v>7084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84"/>
        <v>13-24 Months</v>
      </c>
      <c r="W1401">
        <f t="shared" si="85"/>
        <v>0</v>
      </c>
      <c r="X1401">
        <f t="shared" si="86"/>
        <v>0</v>
      </c>
      <c r="Y1401" t="str">
        <f t="shared" si="87"/>
        <v>Non-Senior</v>
      </c>
    </row>
    <row r="1402" spans="1:25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7082</v>
      </c>
      <c r="J1402" t="s">
        <v>7084</v>
      </c>
      <c r="K1402" t="s">
        <v>46</v>
      </c>
      <c r="L1402" t="s">
        <v>7084</v>
      </c>
      <c r="M1402" t="s">
        <v>7084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84"/>
        <v>0-12 Months</v>
      </c>
      <c r="W1402">
        <f t="shared" si="85"/>
        <v>0</v>
      </c>
      <c r="X1402">
        <f t="shared" si="86"/>
        <v>0</v>
      </c>
      <c r="Y1402" t="str">
        <f t="shared" si="87"/>
        <v>Non-Senior</v>
      </c>
    </row>
    <row r="1403" spans="1:25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84"/>
        <v>0-12 Months</v>
      </c>
      <c r="W1403">
        <f t="shared" si="85"/>
        <v>1</v>
      </c>
      <c r="X1403">
        <f t="shared" si="86"/>
        <v>99.8</v>
      </c>
      <c r="Y1403" t="str">
        <f t="shared" si="87"/>
        <v>Senior Citizen</v>
      </c>
    </row>
    <row r="1404" spans="1:25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84"/>
        <v>13-24 Months</v>
      </c>
      <c r="W1404">
        <f t="shared" si="85"/>
        <v>1</v>
      </c>
      <c r="X1404">
        <f t="shared" si="86"/>
        <v>35</v>
      </c>
      <c r="Y1404" t="str">
        <f t="shared" si="87"/>
        <v>Non-Senior</v>
      </c>
    </row>
    <row r="1405" spans="1:25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84"/>
        <v>0-12 Months</v>
      </c>
      <c r="W1405">
        <f t="shared" si="85"/>
        <v>0</v>
      </c>
      <c r="X1405">
        <f t="shared" si="86"/>
        <v>0</v>
      </c>
      <c r="Y1405" t="str">
        <f t="shared" si="87"/>
        <v>Non-Senior</v>
      </c>
    </row>
    <row r="1406" spans="1:25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7082</v>
      </c>
      <c r="J1406" t="s">
        <v>7084</v>
      </c>
      <c r="K1406" t="s">
        <v>46</v>
      </c>
      <c r="L1406" t="s">
        <v>7084</v>
      </c>
      <c r="M1406" t="s">
        <v>7084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84"/>
        <v>25-36 Months</v>
      </c>
      <c r="W1406">
        <f t="shared" si="85"/>
        <v>0</v>
      </c>
      <c r="X1406">
        <f t="shared" si="86"/>
        <v>0</v>
      </c>
      <c r="Y1406" t="str">
        <f t="shared" si="87"/>
        <v>Non-Senior</v>
      </c>
    </row>
    <row r="1407" spans="1:25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84"/>
        <v>0-12 Months</v>
      </c>
      <c r="W1407">
        <f t="shared" si="85"/>
        <v>1</v>
      </c>
      <c r="X1407">
        <f t="shared" si="86"/>
        <v>76</v>
      </c>
      <c r="Y1407" t="str">
        <f t="shared" si="87"/>
        <v>Non-Senior</v>
      </c>
    </row>
    <row r="1408" spans="1:25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7082</v>
      </c>
      <c r="J1408" t="s">
        <v>7084</v>
      </c>
      <c r="K1408" t="s">
        <v>46</v>
      </c>
      <c r="L1408" t="s">
        <v>7084</v>
      </c>
      <c r="M1408" t="s">
        <v>7084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84"/>
        <v>61-72 Months</v>
      </c>
      <c r="W1408">
        <f t="shared" si="85"/>
        <v>0</v>
      </c>
      <c r="X1408">
        <f t="shared" si="86"/>
        <v>0</v>
      </c>
      <c r="Y1408" t="str">
        <f t="shared" si="87"/>
        <v>Non-Senior</v>
      </c>
    </row>
    <row r="1409" spans="1:25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84"/>
        <v>0-12 Months</v>
      </c>
      <c r="W1409">
        <f t="shared" si="85"/>
        <v>0</v>
      </c>
      <c r="X1409">
        <f t="shared" si="86"/>
        <v>0</v>
      </c>
      <c r="Y1409" t="str">
        <f t="shared" si="87"/>
        <v>Non-Senior</v>
      </c>
    </row>
    <row r="1410" spans="1:25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si="84"/>
        <v>61-72 Months</v>
      </c>
      <c r="W1410">
        <f t="shared" si="85"/>
        <v>0</v>
      </c>
      <c r="X1410">
        <f t="shared" si="86"/>
        <v>0</v>
      </c>
      <c r="Y1410" t="str">
        <f t="shared" si="87"/>
        <v>Non-Senior</v>
      </c>
    </row>
    <row r="1411" spans="1:25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ref="V1411:V1474" si="88">IF(F1411&lt;=12,"0-12 Months",IF(F1411&lt;=24,"13-24 Months",IF(F1411&lt;=36,"25-36 Months",IF(F1411&lt;=48,"37-48 Months",IF(F1411&lt;=60,"49-60 Months","61-72 Months")))))</f>
        <v>37-48 Months</v>
      </c>
      <c r="W1411">
        <f t="shared" ref="W1411:W1474" si="89">IF(U1411="Yes",1,0)</f>
        <v>0</v>
      </c>
      <c r="X1411">
        <f t="shared" ref="X1411:X1474" si="90">IF(U1411="Yes",S1411,0)</f>
        <v>0</v>
      </c>
      <c r="Y1411" t="str">
        <f t="shared" ref="Y1411:Y1474" si="91">IF(C1411=1,"Senior Citizen","Non-Senior")</f>
        <v>Non-Senior</v>
      </c>
    </row>
    <row r="1412" spans="1:25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88"/>
        <v>0-12 Months</v>
      </c>
      <c r="W1412">
        <f t="shared" si="89"/>
        <v>1</v>
      </c>
      <c r="X1412">
        <f t="shared" si="90"/>
        <v>93.85</v>
      </c>
      <c r="Y1412" t="str">
        <f t="shared" si="91"/>
        <v>Senior Citizen</v>
      </c>
    </row>
    <row r="1413" spans="1:25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88"/>
        <v>25-36 Months</v>
      </c>
      <c r="W1413">
        <f t="shared" si="89"/>
        <v>0</v>
      </c>
      <c r="X1413">
        <f t="shared" si="90"/>
        <v>0</v>
      </c>
      <c r="Y1413" t="str">
        <f t="shared" si="91"/>
        <v>Senior Citizen</v>
      </c>
    </row>
    <row r="1414" spans="1:25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88"/>
        <v>13-24 Months</v>
      </c>
      <c r="W1414">
        <f t="shared" si="89"/>
        <v>1</v>
      </c>
      <c r="X1414">
        <f t="shared" si="90"/>
        <v>84.3</v>
      </c>
      <c r="Y1414" t="str">
        <f t="shared" si="91"/>
        <v>Non-Senior</v>
      </c>
    </row>
    <row r="1415" spans="1:25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88"/>
        <v>61-72 Months</v>
      </c>
      <c r="W1415">
        <f t="shared" si="89"/>
        <v>0</v>
      </c>
      <c r="X1415">
        <f t="shared" si="90"/>
        <v>0</v>
      </c>
      <c r="Y1415" t="str">
        <f t="shared" si="91"/>
        <v>Non-Senior</v>
      </c>
    </row>
    <row r="1416" spans="1:25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88"/>
        <v>25-36 Months</v>
      </c>
      <c r="W1416">
        <f t="shared" si="89"/>
        <v>0</v>
      </c>
      <c r="X1416">
        <f t="shared" si="90"/>
        <v>0</v>
      </c>
      <c r="Y1416" t="str">
        <f t="shared" si="91"/>
        <v>Non-Senior</v>
      </c>
    </row>
    <row r="1417" spans="1:25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88"/>
        <v>61-72 Months</v>
      </c>
      <c r="W1417">
        <f t="shared" si="89"/>
        <v>0</v>
      </c>
      <c r="X1417">
        <f t="shared" si="90"/>
        <v>0</v>
      </c>
      <c r="Y1417" t="str">
        <f t="shared" si="91"/>
        <v>Non-Senior</v>
      </c>
    </row>
    <row r="1418" spans="1:25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88"/>
        <v>49-60 Months</v>
      </c>
      <c r="W1418">
        <f t="shared" si="89"/>
        <v>0</v>
      </c>
      <c r="X1418">
        <f t="shared" si="90"/>
        <v>0</v>
      </c>
      <c r="Y1418" t="str">
        <f t="shared" si="91"/>
        <v>Non-Senior</v>
      </c>
    </row>
    <row r="1419" spans="1:25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88"/>
        <v>13-24 Months</v>
      </c>
      <c r="W1419">
        <f t="shared" si="89"/>
        <v>0</v>
      </c>
      <c r="X1419">
        <f t="shared" si="90"/>
        <v>0</v>
      </c>
      <c r="Y1419" t="str">
        <f t="shared" si="91"/>
        <v>Senior Citizen</v>
      </c>
    </row>
    <row r="1420" spans="1:25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88"/>
        <v>61-72 Months</v>
      </c>
      <c r="W1420">
        <f t="shared" si="89"/>
        <v>0</v>
      </c>
      <c r="X1420">
        <f t="shared" si="90"/>
        <v>0</v>
      </c>
      <c r="Y1420" t="str">
        <f t="shared" si="91"/>
        <v>Non-Senior</v>
      </c>
    </row>
    <row r="1421" spans="1:25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7082</v>
      </c>
      <c r="J1421" t="s">
        <v>7084</v>
      </c>
      <c r="K1421" t="s">
        <v>46</v>
      </c>
      <c r="L1421" t="s">
        <v>7084</v>
      </c>
      <c r="M1421" t="s">
        <v>7084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88"/>
        <v>61-72 Months</v>
      </c>
      <c r="W1421">
        <f t="shared" si="89"/>
        <v>0</v>
      </c>
      <c r="X1421">
        <f t="shared" si="90"/>
        <v>0</v>
      </c>
      <c r="Y1421" t="str">
        <f t="shared" si="91"/>
        <v>Non-Senior</v>
      </c>
    </row>
    <row r="1422" spans="1:25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88"/>
        <v>49-60 Months</v>
      </c>
      <c r="W1422">
        <f t="shared" si="89"/>
        <v>0</v>
      </c>
      <c r="X1422">
        <f t="shared" si="90"/>
        <v>0</v>
      </c>
      <c r="Y1422" t="str">
        <f t="shared" si="91"/>
        <v>Non-Senior</v>
      </c>
    </row>
    <row r="1423" spans="1:25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88"/>
        <v>0-12 Months</v>
      </c>
      <c r="W1423">
        <f t="shared" si="89"/>
        <v>1</v>
      </c>
      <c r="X1423">
        <f t="shared" si="90"/>
        <v>84.4</v>
      </c>
      <c r="Y1423" t="str">
        <f t="shared" si="91"/>
        <v>Senior Citizen</v>
      </c>
    </row>
    <row r="1424" spans="1:25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88"/>
        <v>61-72 Months</v>
      </c>
      <c r="W1424">
        <f t="shared" si="89"/>
        <v>0</v>
      </c>
      <c r="X1424">
        <f t="shared" si="90"/>
        <v>0</v>
      </c>
      <c r="Y1424" t="str">
        <f t="shared" si="91"/>
        <v>Non-Senior</v>
      </c>
    </row>
    <row r="1425" spans="1:25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88"/>
        <v>13-24 Months</v>
      </c>
      <c r="W1425">
        <f t="shared" si="89"/>
        <v>1</v>
      </c>
      <c r="X1425">
        <f t="shared" si="90"/>
        <v>101.1</v>
      </c>
      <c r="Y1425" t="str">
        <f t="shared" si="91"/>
        <v>Non-Senior</v>
      </c>
    </row>
    <row r="1426" spans="1:25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7082</v>
      </c>
      <c r="J1426" t="s">
        <v>7084</v>
      </c>
      <c r="K1426" t="s">
        <v>46</v>
      </c>
      <c r="L1426" t="s">
        <v>7084</v>
      </c>
      <c r="M1426" t="s">
        <v>7084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88"/>
        <v>37-48 Months</v>
      </c>
      <c r="W1426">
        <f t="shared" si="89"/>
        <v>0</v>
      </c>
      <c r="X1426">
        <f t="shared" si="90"/>
        <v>0</v>
      </c>
      <c r="Y1426" t="str">
        <f t="shared" si="91"/>
        <v>Non-Senior</v>
      </c>
    </row>
    <row r="1427" spans="1:25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88"/>
        <v>0-12 Months</v>
      </c>
      <c r="W1427">
        <f t="shared" si="89"/>
        <v>0</v>
      </c>
      <c r="X1427">
        <f t="shared" si="90"/>
        <v>0</v>
      </c>
      <c r="Y1427" t="str">
        <f t="shared" si="91"/>
        <v>Non-Senior</v>
      </c>
    </row>
    <row r="1428" spans="1:25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88"/>
        <v>61-72 Months</v>
      </c>
      <c r="W1428">
        <f t="shared" si="89"/>
        <v>0</v>
      </c>
      <c r="X1428">
        <f t="shared" si="90"/>
        <v>0</v>
      </c>
      <c r="Y1428" t="str">
        <f t="shared" si="91"/>
        <v>Senior Citizen</v>
      </c>
    </row>
    <row r="1429" spans="1:25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88"/>
        <v>37-48 Months</v>
      </c>
      <c r="W1429">
        <f t="shared" si="89"/>
        <v>0</v>
      </c>
      <c r="X1429">
        <f t="shared" si="90"/>
        <v>0</v>
      </c>
      <c r="Y1429" t="str">
        <f t="shared" si="91"/>
        <v>Senior Citizen</v>
      </c>
    </row>
    <row r="1430" spans="1:25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88"/>
        <v>0-12 Months</v>
      </c>
      <c r="W1430">
        <f t="shared" si="89"/>
        <v>1</v>
      </c>
      <c r="X1430">
        <f t="shared" si="90"/>
        <v>50.45</v>
      </c>
      <c r="Y1430" t="str">
        <f t="shared" si="91"/>
        <v>Non-Senior</v>
      </c>
    </row>
    <row r="1431" spans="1:25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7082</v>
      </c>
      <c r="J1431" t="s">
        <v>7084</v>
      </c>
      <c r="K1431" t="s">
        <v>46</v>
      </c>
      <c r="L1431" t="s">
        <v>7084</v>
      </c>
      <c r="M1431" t="s">
        <v>7084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88"/>
        <v>37-48 Months</v>
      </c>
      <c r="W1431">
        <f t="shared" si="89"/>
        <v>0</v>
      </c>
      <c r="X1431">
        <f t="shared" si="90"/>
        <v>0</v>
      </c>
      <c r="Y1431" t="str">
        <f t="shared" si="91"/>
        <v>Non-Senior</v>
      </c>
    </row>
    <row r="1432" spans="1:25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7082</v>
      </c>
      <c r="J1432" t="s">
        <v>7084</v>
      </c>
      <c r="K1432" t="s">
        <v>46</v>
      </c>
      <c r="L1432" t="s">
        <v>7084</v>
      </c>
      <c r="M1432" t="s">
        <v>7084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88"/>
        <v>13-24 Months</v>
      </c>
      <c r="W1432">
        <f t="shared" si="89"/>
        <v>0</v>
      </c>
      <c r="X1432">
        <f t="shared" si="90"/>
        <v>0</v>
      </c>
      <c r="Y1432" t="str">
        <f t="shared" si="91"/>
        <v>Non-Senior</v>
      </c>
    </row>
    <row r="1433" spans="1:25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88"/>
        <v>37-48 Months</v>
      </c>
      <c r="W1433">
        <f t="shared" si="89"/>
        <v>0</v>
      </c>
      <c r="X1433">
        <f t="shared" si="90"/>
        <v>0</v>
      </c>
      <c r="Y1433" t="str">
        <f t="shared" si="91"/>
        <v>Non-Senior</v>
      </c>
    </row>
    <row r="1434" spans="1:25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7082</v>
      </c>
      <c r="J1434" t="s">
        <v>7084</v>
      </c>
      <c r="K1434" t="s">
        <v>46</v>
      </c>
      <c r="L1434" t="s">
        <v>7084</v>
      </c>
      <c r="M1434" t="s">
        <v>7084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88"/>
        <v>25-36 Months</v>
      </c>
      <c r="W1434">
        <f t="shared" si="89"/>
        <v>0</v>
      </c>
      <c r="X1434">
        <f t="shared" si="90"/>
        <v>0</v>
      </c>
      <c r="Y1434" t="str">
        <f t="shared" si="91"/>
        <v>Non-Senior</v>
      </c>
    </row>
    <row r="1435" spans="1:25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88"/>
        <v>0-12 Months</v>
      </c>
      <c r="W1435">
        <f t="shared" si="89"/>
        <v>0</v>
      </c>
      <c r="X1435">
        <f t="shared" si="90"/>
        <v>0</v>
      </c>
      <c r="Y1435" t="str">
        <f t="shared" si="91"/>
        <v>Non-Senior</v>
      </c>
    </row>
    <row r="1436" spans="1:25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88"/>
        <v>0-12 Months</v>
      </c>
      <c r="W1436">
        <f t="shared" si="89"/>
        <v>1</v>
      </c>
      <c r="X1436">
        <f t="shared" si="90"/>
        <v>99.95</v>
      </c>
      <c r="Y1436" t="str">
        <f t="shared" si="91"/>
        <v>Non-Senior</v>
      </c>
    </row>
    <row r="1437" spans="1:25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88"/>
        <v>61-72 Months</v>
      </c>
      <c r="W1437">
        <f t="shared" si="89"/>
        <v>0</v>
      </c>
      <c r="X1437">
        <f t="shared" si="90"/>
        <v>0</v>
      </c>
      <c r="Y1437" t="str">
        <f t="shared" si="91"/>
        <v>Senior Citizen</v>
      </c>
    </row>
    <row r="1438" spans="1:25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88"/>
        <v>0-12 Months</v>
      </c>
      <c r="W1438">
        <f t="shared" si="89"/>
        <v>1</v>
      </c>
      <c r="X1438">
        <f t="shared" si="90"/>
        <v>91.4</v>
      </c>
      <c r="Y1438" t="str">
        <f t="shared" si="91"/>
        <v>Non-Senior</v>
      </c>
    </row>
    <row r="1439" spans="1:25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88"/>
        <v>25-36 Months</v>
      </c>
      <c r="W1439">
        <f t="shared" si="89"/>
        <v>0</v>
      </c>
      <c r="X1439">
        <f t="shared" si="90"/>
        <v>0</v>
      </c>
      <c r="Y1439" t="str">
        <f t="shared" si="91"/>
        <v>Non-Senior</v>
      </c>
    </row>
    <row r="1440" spans="1:25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88"/>
        <v>37-48 Months</v>
      </c>
      <c r="W1440">
        <f t="shared" si="89"/>
        <v>0</v>
      </c>
      <c r="X1440">
        <f t="shared" si="90"/>
        <v>0</v>
      </c>
      <c r="Y1440" t="str">
        <f t="shared" si="91"/>
        <v>Non-Senior</v>
      </c>
    </row>
    <row r="1441" spans="1:25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88"/>
        <v>0-12 Months</v>
      </c>
      <c r="W1441">
        <f t="shared" si="89"/>
        <v>1</v>
      </c>
      <c r="X1441">
        <f t="shared" si="90"/>
        <v>75.55</v>
      </c>
      <c r="Y1441" t="str">
        <f t="shared" si="91"/>
        <v>Senior Citizen</v>
      </c>
    </row>
    <row r="1442" spans="1:25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7082</v>
      </c>
      <c r="J1442" t="s">
        <v>7084</v>
      </c>
      <c r="K1442" t="s">
        <v>46</v>
      </c>
      <c r="L1442" t="s">
        <v>7084</v>
      </c>
      <c r="M1442" t="s">
        <v>7084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88"/>
        <v>0-12 Months</v>
      </c>
      <c r="W1442">
        <f t="shared" si="89"/>
        <v>0</v>
      </c>
      <c r="X1442">
        <f t="shared" si="90"/>
        <v>0</v>
      </c>
      <c r="Y1442" t="str">
        <f t="shared" si="91"/>
        <v>Non-Senior</v>
      </c>
    </row>
    <row r="1443" spans="1:25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88"/>
        <v>49-60 Months</v>
      </c>
      <c r="W1443">
        <f t="shared" si="89"/>
        <v>0</v>
      </c>
      <c r="X1443">
        <f t="shared" si="90"/>
        <v>0</v>
      </c>
      <c r="Y1443" t="str">
        <f t="shared" si="91"/>
        <v>Senior Citizen</v>
      </c>
    </row>
    <row r="1444" spans="1:25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88"/>
        <v>49-60 Months</v>
      </c>
      <c r="W1444">
        <f t="shared" si="89"/>
        <v>0</v>
      </c>
      <c r="X1444">
        <f t="shared" si="90"/>
        <v>0</v>
      </c>
      <c r="Y1444" t="str">
        <f t="shared" si="91"/>
        <v>Non-Senior</v>
      </c>
    </row>
    <row r="1445" spans="1:25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88"/>
        <v>0-12 Months</v>
      </c>
      <c r="W1445">
        <f t="shared" si="89"/>
        <v>0</v>
      </c>
      <c r="X1445">
        <f t="shared" si="90"/>
        <v>0</v>
      </c>
      <c r="Y1445" t="str">
        <f t="shared" si="91"/>
        <v>Non-Senior</v>
      </c>
    </row>
    <row r="1446" spans="1:25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88"/>
        <v>37-48 Months</v>
      </c>
      <c r="W1446">
        <f t="shared" si="89"/>
        <v>0</v>
      </c>
      <c r="X1446">
        <f t="shared" si="90"/>
        <v>0</v>
      </c>
      <c r="Y1446" t="str">
        <f t="shared" si="91"/>
        <v>Non-Senior</v>
      </c>
    </row>
    <row r="1447" spans="1:25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88"/>
        <v>13-24 Months</v>
      </c>
      <c r="W1447">
        <f t="shared" si="89"/>
        <v>0</v>
      </c>
      <c r="X1447">
        <f t="shared" si="90"/>
        <v>0</v>
      </c>
      <c r="Y1447" t="str">
        <f t="shared" si="91"/>
        <v>Non-Senior</v>
      </c>
    </row>
    <row r="1448" spans="1:25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88"/>
        <v>0-12 Months</v>
      </c>
      <c r="W1448">
        <f t="shared" si="89"/>
        <v>0</v>
      </c>
      <c r="X1448">
        <f t="shared" si="90"/>
        <v>0</v>
      </c>
      <c r="Y1448" t="str">
        <f t="shared" si="91"/>
        <v>Non-Senior</v>
      </c>
    </row>
    <row r="1449" spans="1:25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88"/>
        <v>0-12 Months</v>
      </c>
      <c r="W1449">
        <f t="shared" si="89"/>
        <v>1</v>
      </c>
      <c r="X1449">
        <f t="shared" si="90"/>
        <v>80.8</v>
      </c>
      <c r="Y1449" t="str">
        <f t="shared" si="91"/>
        <v>Non-Senior</v>
      </c>
    </row>
    <row r="1450" spans="1:25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7082</v>
      </c>
      <c r="J1450" t="s">
        <v>7084</v>
      </c>
      <c r="K1450" t="s">
        <v>46</v>
      </c>
      <c r="L1450" t="s">
        <v>7084</v>
      </c>
      <c r="M1450" t="s">
        <v>7084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88"/>
        <v>13-24 Months</v>
      </c>
      <c r="W1450">
        <f t="shared" si="89"/>
        <v>0</v>
      </c>
      <c r="X1450">
        <f t="shared" si="90"/>
        <v>0</v>
      </c>
      <c r="Y1450" t="str">
        <f t="shared" si="91"/>
        <v>Non-Senior</v>
      </c>
    </row>
    <row r="1451" spans="1:25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7082</v>
      </c>
      <c r="J1451" t="s">
        <v>7084</v>
      </c>
      <c r="K1451" t="s">
        <v>46</v>
      </c>
      <c r="L1451" t="s">
        <v>7084</v>
      </c>
      <c r="M1451" t="s">
        <v>7084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88"/>
        <v>0-12 Months</v>
      </c>
      <c r="W1451">
        <f t="shared" si="89"/>
        <v>0</v>
      </c>
      <c r="X1451">
        <f t="shared" si="90"/>
        <v>0</v>
      </c>
      <c r="Y1451" t="str">
        <f t="shared" si="91"/>
        <v>Senior Citizen</v>
      </c>
    </row>
    <row r="1452" spans="1:25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7082</v>
      </c>
      <c r="J1452" t="s">
        <v>7084</v>
      </c>
      <c r="K1452" t="s">
        <v>46</v>
      </c>
      <c r="L1452" t="s">
        <v>7084</v>
      </c>
      <c r="M1452" t="s">
        <v>7084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88"/>
        <v>0-12 Months</v>
      </c>
      <c r="W1452">
        <f t="shared" si="89"/>
        <v>0</v>
      </c>
      <c r="X1452">
        <f t="shared" si="90"/>
        <v>0</v>
      </c>
      <c r="Y1452" t="str">
        <f t="shared" si="91"/>
        <v>Non-Senior</v>
      </c>
    </row>
    <row r="1453" spans="1:25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88"/>
        <v>13-24 Months</v>
      </c>
      <c r="W1453">
        <f t="shared" si="89"/>
        <v>0</v>
      </c>
      <c r="X1453">
        <f t="shared" si="90"/>
        <v>0</v>
      </c>
      <c r="Y1453" t="str">
        <f t="shared" si="91"/>
        <v>Non-Senior</v>
      </c>
    </row>
    <row r="1454" spans="1:25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88"/>
        <v>49-60 Months</v>
      </c>
      <c r="W1454">
        <f t="shared" si="89"/>
        <v>0</v>
      </c>
      <c r="X1454">
        <f t="shared" si="90"/>
        <v>0</v>
      </c>
      <c r="Y1454" t="str">
        <f t="shared" si="91"/>
        <v>Senior Citizen</v>
      </c>
    </row>
    <row r="1455" spans="1:25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88"/>
        <v>25-36 Months</v>
      </c>
      <c r="W1455">
        <f t="shared" si="89"/>
        <v>0</v>
      </c>
      <c r="X1455">
        <f t="shared" si="90"/>
        <v>0</v>
      </c>
      <c r="Y1455" t="str">
        <f t="shared" si="91"/>
        <v>Non-Senior</v>
      </c>
    </row>
    <row r="1456" spans="1:25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7082</v>
      </c>
      <c r="J1456" t="s">
        <v>7084</v>
      </c>
      <c r="K1456" t="s">
        <v>46</v>
      </c>
      <c r="L1456" t="s">
        <v>7084</v>
      </c>
      <c r="M1456" t="s">
        <v>7084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88"/>
        <v>25-36 Months</v>
      </c>
      <c r="W1456">
        <f t="shared" si="89"/>
        <v>0</v>
      </c>
      <c r="X1456">
        <f t="shared" si="90"/>
        <v>0</v>
      </c>
      <c r="Y1456" t="str">
        <f t="shared" si="91"/>
        <v>Non-Senior</v>
      </c>
    </row>
    <row r="1457" spans="1:25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88"/>
        <v>25-36 Months</v>
      </c>
      <c r="W1457">
        <f t="shared" si="89"/>
        <v>0</v>
      </c>
      <c r="X1457">
        <f t="shared" si="90"/>
        <v>0</v>
      </c>
      <c r="Y1457" t="str">
        <f t="shared" si="91"/>
        <v>Non-Senior</v>
      </c>
    </row>
    <row r="1458" spans="1:25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88"/>
        <v>13-24 Months</v>
      </c>
      <c r="W1458">
        <f t="shared" si="89"/>
        <v>1</v>
      </c>
      <c r="X1458">
        <f t="shared" si="90"/>
        <v>100</v>
      </c>
      <c r="Y1458" t="str">
        <f t="shared" si="91"/>
        <v>Non-Senior</v>
      </c>
    </row>
    <row r="1459" spans="1:25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88"/>
        <v>37-48 Months</v>
      </c>
      <c r="W1459">
        <f t="shared" si="89"/>
        <v>0</v>
      </c>
      <c r="X1459">
        <f t="shared" si="90"/>
        <v>0</v>
      </c>
      <c r="Y1459" t="str">
        <f t="shared" si="91"/>
        <v>Non-Senior</v>
      </c>
    </row>
    <row r="1460" spans="1:25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7082</v>
      </c>
      <c r="J1460" t="s">
        <v>7084</v>
      </c>
      <c r="K1460" t="s">
        <v>46</v>
      </c>
      <c r="L1460" t="s">
        <v>7084</v>
      </c>
      <c r="M1460" t="s">
        <v>7084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88"/>
        <v>0-12 Months</v>
      </c>
      <c r="W1460">
        <f t="shared" si="89"/>
        <v>1</v>
      </c>
      <c r="X1460">
        <f t="shared" si="90"/>
        <v>20.55</v>
      </c>
      <c r="Y1460" t="str">
        <f t="shared" si="91"/>
        <v>Non-Senior</v>
      </c>
    </row>
    <row r="1461" spans="1:25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88"/>
        <v>49-60 Months</v>
      </c>
      <c r="W1461">
        <f t="shared" si="89"/>
        <v>0</v>
      </c>
      <c r="X1461">
        <f t="shared" si="90"/>
        <v>0</v>
      </c>
      <c r="Y1461" t="str">
        <f t="shared" si="91"/>
        <v>Non-Senior</v>
      </c>
    </row>
    <row r="1462" spans="1:25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88"/>
        <v>0-12 Months</v>
      </c>
      <c r="W1462">
        <f t="shared" si="89"/>
        <v>1</v>
      </c>
      <c r="X1462">
        <f t="shared" si="90"/>
        <v>85.3</v>
      </c>
      <c r="Y1462" t="str">
        <f t="shared" si="91"/>
        <v>Non-Senior</v>
      </c>
    </row>
    <row r="1463" spans="1:25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88"/>
        <v>13-24 Months</v>
      </c>
      <c r="W1463">
        <f t="shared" si="89"/>
        <v>0</v>
      </c>
      <c r="X1463">
        <f t="shared" si="90"/>
        <v>0</v>
      </c>
      <c r="Y1463" t="str">
        <f t="shared" si="91"/>
        <v>Non-Senior</v>
      </c>
    </row>
    <row r="1464" spans="1:25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7082</v>
      </c>
      <c r="J1464" t="s">
        <v>7084</v>
      </c>
      <c r="K1464" t="s">
        <v>46</v>
      </c>
      <c r="L1464" t="s">
        <v>7084</v>
      </c>
      <c r="M1464" t="s">
        <v>7084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88"/>
        <v>25-36 Months</v>
      </c>
      <c r="W1464">
        <f t="shared" si="89"/>
        <v>0</v>
      </c>
      <c r="X1464">
        <f t="shared" si="90"/>
        <v>0</v>
      </c>
      <c r="Y1464" t="str">
        <f t="shared" si="91"/>
        <v>Non-Senior</v>
      </c>
    </row>
    <row r="1465" spans="1:25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88"/>
        <v>0-12 Months</v>
      </c>
      <c r="W1465">
        <f t="shared" si="89"/>
        <v>1</v>
      </c>
      <c r="X1465">
        <f t="shared" si="90"/>
        <v>70.400000000000006</v>
      </c>
      <c r="Y1465" t="str">
        <f t="shared" si="91"/>
        <v>Non-Senior</v>
      </c>
    </row>
    <row r="1466" spans="1:25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88"/>
        <v>0-12 Months</v>
      </c>
      <c r="W1466">
        <f t="shared" si="89"/>
        <v>0</v>
      </c>
      <c r="X1466">
        <f t="shared" si="90"/>
        <v>0</v>
      </c>
      <c r="Y1466" t="str">
        <f t="shared" si="91"/>
        <v>Non-Senior</v>
      </c>
    </row>
    <row r="1467" spans="1:25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88"/>
        <v>0-12 Months</v>
      </c>
      <c r="W1467">
        <f t="shared" si="89"/>
        <v>0</v>
      </c>
      <c r="X1467">
        <f t="shared" si="90"/>
        <v>0</v>
      </c>
      <c r="Y1467" t="str">
        <f t="shared" si="91"/>
        <v>Non-Senior</v>
      </c>
    </row>
    <row r="1468" spans="1:25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88"/>
        <v>0-12 Months</v>
      </c>
      <c r="W1468">
        <f t="shared" si="89"/>
        <v>0</v>
      </c>
      <c r="X1468">
        <f t="shared" si="90"/>
        <v>0</v>
      </c>
      <c r="Y1468" t="str">
        <f t="shared" si="91"/>
        <v>Non-Senior</v>
      </c>
    </row>
    <row r="1469" spans="1:25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88"/>
        <v>13-24 Months</v>
      </c>
      <c r="W1469">
        <f t="shared" si="89"/>
        <v>0</v>
      </c>
      <c r="X1469">
        <f t="shared" si="90"/>
        <v>0</v>
      </c>
      <c r="Y1469" t="str">
        <f t="shared" si="91"/>
        <v>Non-Senior</v>
      </c>
    </row>
    <row r="1470" spans="1:25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88"/>
        <v>61-72 Months</v>
      </c>
      <c r="W1470">
        <f t="shared" si="89"/>
        <v>0</v>
      </c>
      <c r="X1470">
        <f t="shared" si="90"/>
        <v>0</v>
      </c>
      <c r="Y1470" t="str">
        <f t="shared" si="91"/>
        <v>Non-Senior</v>
      </c>
    </row>
    <row r="1471" spans="1:25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88"/>
        <v>37-48 Months</v>
      </c>
      <c r="W1471">
        <f t="shared" si="89"/>
        <v>1</v>
      </c>
      <c r="X1471">
        <f t="shared" si="90"/>
        <v>98.8</v>
      </c>
      <c r="Y1471" t="str">
        <f t="shared" si="91"/>
        <v>Non-Senior</v>
      </c>
    </row>
    <row r="1472" spans="1:25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7082</v>
      </c>
      <c r="J1472" t="s">
        <v>7084</v>
      </c>
      <c r="K1472" t="s">
        <v>46</v>
      </c>
      <c r="L1472" t="s">
        <v>7084</v>
      </c>
      <c r="M1472" t="s">
        <v>7084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88"/>
        <v>0-12 Months</v>
      </c>
      <c r="W1472">
        <f t="shared" si="89"/>
        <v>0</v>
      </c>
      <c r="X1472">
        <f t="shared" si="90"/>
        <v>0</v>
      </c>
      <c r="Y1472" t="str">
        <f t="shared" si="91"/>
        <v>Non-Senior</v>
      </c>
    </row>
    <row r="1473" spans="1:25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88"/>
        <v>25-36 Months</v>
      </c>
      <c r="W1473">
        <f t="shared" si="89"/>
        <v>0</v>
      </c>
      <c r="X1473">
        <f t="shared" si="90"/>
        <v>0</v>
      </c>
      <c r="Y1473" t="str">
        <f t="shared" si="91"/>
        <v>Non-Senior</v>
      </c>
    </row>
    <row r="1474" spans="1:25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si="88"/>
        <v>13-24 Months</v>
      </c>
      <c r="W1474">
        <f t="shared" si="89"/>
        <v>1</v>
      </c>
      <c r="X1474">
        <f t="shared" si="90"/>
        <v>74.400000000000006</v>
      </c>
      <c r="Y1474" t="str">
        <f t="shared" si="91"/>
        <v>Non-Senior</v>
      </c>
    </row>
    <row r="1475" spans="1:25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ref="V1475:V1538" si="92">IF(F1475&lt;=12,"0-12 Months",IF(F1475&lt;=24,"13-24 Months",IF(F1475&lt;=36,"25-36 Months",IF(F1475&lt;=48,"37-48 Months",IF(F1475&lt;=60,"49-60 Months","61-72 Months")))))</f>
        <v>13-24 Months</v>
      </c>
      <c r="W1475">
        <f t="shared" ref="W1475:W1538" si="93">IF(U1475="Yes",1,0)</f>
        <v>1</v>
      </c>
      <c r="X1475">
        <f t="shared" ref="X1475:X1538" si="94">IF(U1475="Yes",S1475,0)</f>
        <v>98.75</v>
      </c>
      <c r="Y1475" t="str">
        <f t="shared" ref="Y1475:Y1538" si="95">IF(C1475=1,"Senior Citizen","Non-Senior")</f>
        <v>Non-Senior</v>
      </c>
    </row>
    <row r="1476" spans="1:25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92"/>
        <v>37-48 Months</v>
      </c>
      <c r="W1476">
        <f t="shared" si="93"/>
        <v>0</v>
      </c>
      <c r="X1476">
        <f t="shared" si="94"/>
        <v>0</v>
      </c>
      <c r="Y1476" t="str">
        <f t="shared" si="95"/>
        <v>Non-Senior</v>
      </c>
    </row>
    <row r="1477" spans="1:25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92"/>
        <v>61-72 Months</v>
      </c>
      <c r="W1477">
        <f t="shared" si="93"/>
        <v>0</v>
      </c>
      <c r="X1477">
        <f t="shared" si="94"/>
        <v>0</v>
      </c>
      <c r="Y1477" t="str">
        <f t="shared" si="95"/>
        <v>Senior Citizen</v>
      </c>
    </row>
    <row r="1478" spans="1:25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7082</v>
      </c>
      <c r="J1478" t="s">
        <v>7084</v>
      </c>
      <c r="K1478" t="s">
        <v>46</v>
      </c>
      <c r="L1478" t="s">
        <v>7084</v>
      </c>
      <c r="M1478" t="s">
        <v>7084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92"/>
        <v>0-12 Months</v>
      </c>
      <c r="W1478">
        <f t="shared" si="93"/>
        <v>0</v>
      </c>
      <c r="X1478">
        <f t="shared" si="94"/>
        <v>0</v>
      </c>
      <c r="Y1478" t="str">
        <f t="shared" si="95"/>
        <v>Non-Senior</v>
      </c>
    </row>
    <row r="1479" spans="1:25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92"/>
        <v>61-72 Months</v>
      </c>
      <c r="W1479">
        <f t="shared" si="93"/>
        <v>1</v>
      </c>
      <c r="X1479">
        <f t="shared" si="94"/>
        <v>106</v>
      </c>
      <c r="Y1479" t="str">
        <f t="shared" si="95"/>
        <v>Non-Senior</v>
      </c>
    </row>
    <row r="1480" spans="1:25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92"/>
        <v>37-48 Months</v>
      </c>
      <c r="W1480">
        <f t="shared" si="93"/>
        <v>1</v>
      </c>
      <c r="X1480">
        <f t="shared" si="94"/>
        <v>104.7</v>
      </c>
      <c r="Y1480" t="str">
        <f t="shared" si="95"/>
        <v>Non-Senior</v>
      </c>
    </row>
    <row r="1481" spans="1:25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92"/>
        <v>37-48 Months</v>
      </c>
      <c r="W1481">
        <f t="shared" si="93"/>
        <v>0</v>
      </c>
      <c r="X1481">
        <f t="shared" si="94"/>
        <v>0</v>
      </c>
      <c r="Y1481" t="str">
        <f t="shared" si="95"/>
        <v>Non-Senior</v>
      </c>
    </row>
    <row r="1482" spans="1:25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92"/>
        <v>37-48 Months</v>
      </c>
      <c r="W1482">
        <f t="shared" si="93"/>
        <v>0</v>
      </c>
      <c r="X1482">
        <f t="shared" si="94"/>
        <v>0</v>
      </c>
      <c r="Y1482" t="str">
        <f t="shared" si="95"/>
        <v>Non-Senior</v>
      </c>
    </row>
    <row r="1483" spans="1:25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92"/>
        <v>61-72 Months</v>
      </c>
      <c r="W1483">
        <f t="shared" si="93"/>
        <v>0</v>
      </c>
      <c r="X1483">
        <f t="shared" si="94"/>
        <v>0</v>
      </c>
      <c r="Y1483" t="str">
        <f t="shared" si="95"/>
        <v>Non-Senior</v>
      </c>
    </row>
    <row r="1484" spans="1:25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92"/>
        <v>13-24 Months</v>
      </c>
      <c r="W1484">
        <f t="shared" si="93"/>
        <v>0</v>
      </c>
      <c r="X1484">
        <f t="shared" si="94"/>
        <v>0</v>
      </c>
      <c r="Y1484" t="str">
        <f t="shared" si="95"/>
        <v>Senior Citizen</v>
      </c>
    </row>
    <row r="1485" spans="1:25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92"/>
        <v>49-60 Months</v>
      </c>
      <c r="W1485">
        <f t="shared" si="93"/>
        <v>0</v>
      </c>
      <c r="X1485">
        <f t="shared" si="94"/>
        <v>0</v>
      </c>
      <c r="Y1485" t="str">
        <f t="shared" si="95"/>
        <v>Non-Senior</v>
      </c>
    </row>
    <row r="1486" spans="1:25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92"/>
        <v>61-72 Months</v>
      </c>
      <c r="W1486">
        <f t="shared" si="93"/>
        <v>0</v>
      </c>
      <c r="X1486">
        <f t="shared" si="94"/>
        <v>0</v>
      </c>
      <c r="Y1486" t="str">
        <f t="shared" si="95"/>
        <v>Senior Citizen</v>
      </c>
    </row>
    <row r="1487" spans="1:25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92"/>
        <v>13-24 Months</v>
      </c>
      <c r="W1487">
        <f t="shared" si="93"/>
        <v>1</v>
      </c>
      <c r="X1487">
        <f t="shared" si="94"/>
        <v>96.7</v>
      </c>
      <c r="Y1487" t="str">
        <f t="shared" si="95"/>
        <v>Senior Citizen</v>
      </c>
    </row>
    <row r="1488" spans="1:25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92"/>
        <v>0-12 Months</v>
      </c>
      <c r="W1488">
        <f t="shared" si="93"/>
        <v>1</v>
      </c>
      <c r="X1488">
        <f t="shared" si="94"/>
        <v>55.05</v>
      </c>
      <c r="Y1488" t="str">
        <f t="shared" si="95"/>
        <v>Non-Senior</v>
      </c>
    </row>
    <row r="1489" spans="1:25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92"/>
        <v>49-60 Months</v>
      </c>
      <c r="W1489">
        <f t="shared" si="93"/>
        <v>0</v>
      </c>
      <c r="X1489">
        <f t="shared" si="94"/>
        <v>0</v>
      </c>
      <c r="Y1489" t="str">
        <f t="shared" si="95"/>
        <v>Non-Senior</v>
      </c>
    </row>
    <row r="1490" spans="1:25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92"/>
        <v>0-12 Months</v>
      </c>
      <c r="W1490">
        <f t="shared" si="93"/>
        <v>0</v>
      </c>
      <c r="X1490">
        <f t="shared" si="94"/>
        <v>0</v>
      </c>
      <c r="Y1490" t="str">
        <f t="shared" si="95"/>
        <v>Non-Senior</v>
      </c>
    </row>
    <row r="1491" spans="1:25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92"/>
        <v>13-24 Months</v>
      </c>
      <c r="W1491">
        <f t="shared" si="93"/>
        <v>0</v>
      </c>
      <c r="X1491">
        <f t="shared" si="94"/>
        <v>0</v>
      </c>
      <c r="Y1491" t="str">
        <f t="shared" si="95"/>
        <v>Non-Senior</v>
      </c>
    </row>
    <row r="1492" spans="1:25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92"/>
        <v>61-72 Months</v>
      </c>
      <c r="W1492">
        <f t="shared" si="93"/>
        <v>0</v>
      </c>
      <c r="X1492">
        <f t="shared" si="94"/>
        <v>0</v>
      </c>
      <c r="Y1492" t="str">
        <f t="shared" si="95"/>
        <v>Senior Citizen</v>
      </c>
    </row>
    <row r="1493" spans="1:25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7082</v>
      </c>
      <c r="J1493" t="s">
        <v>7084</v>
      </c>
      <c r="K1493" t="s">
        <v>46</v>
      </c>
      <c r="L1493" t="s">
        <v>7084</v>
      </c>
      <c r="M1493" t="s">
        <v>7084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92"/>
        <v>0-12 Months</v>
      </c>
      <c r="W1493">
        <f t="shared" si="93"/>
        <v>0</v>
      </c>
      <c r="X1493">
        <f t="shared" si="94"/>
        <v>0</v>
      </c>
      <c r="Y1493" t="str">
        <f t="shared" si="95"/>
        <v>Non-Senior</v>
      </c>
    </row>
    <row r="1494" spans="1:25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92"/>
        <v>13-24 Months</v>
      </c>
      <c r="W1494">
        <f t="shared" si="93"/>
        <v>1</v>
      </c>
      <c r="X1494">
        <f t="shared" si="94"/>
        <v>88.2</v>
      </c>
      <c r="Y1494" t="str">
        <f t="shared" si="95"/>
        <v>Senior Citizen</v>
      </c>
    </row>
    <row r="1495" spans="1:25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92"/>
        <v>0-12 Months</v>
      </c>
      <c r="W1495">
        <f t="shared" si="93"/>
        <v>0</v>
      </c>
      <c r="X1495">
        <f t="shared" si="94"/>
        <v>0</v>
      </c>
      <c r="Y1495" t="str">
        <f t="shared" si="95"/>
        <v>Non-Senior</v>
      </c>
    </row>
    <row r="1496" spans="1:25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7082</v>
      </c>
      <c r="J1496" t="s">
        <v>7084</v>
      </c>
      <c r="K1496" t="s">
        <v>46</v>
      </c>
      <c r="L1496" t="s">
        <v>7084</v>
      </c>
      <c r="M1496" t="s">
        <v>7084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92"/>
        <v>0-12 Months</v>
      </c>
      <c r="W1496">
        <f t="shared" si="93"/>
        <v>1</v>
      </c>
      <c r="X1496">
        <f t="shared" si="94"/>
        <v>19.75</v>
      </c>
      <c r="Y1496" t="str">
        <f t="shared" si="95"/>
        <v>Non-Senior</v>
      </c>
    </row>
    <row r="1497" spans="1:25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92"/>
        <v>49-60 Months</v>
      </c>
      <c r="W1497">
        <f t="shared" si="93"/>
        <v>0</v>
      </c>
      <c r="X1497">
        <f t="shared" si="94"/>
        <v>0</v>
      </c>
      <c r="Y1497" t="str">
        <f t="shared" si="95"/>
        <v>Non-Senior</v>
      </c>
    </row>
    <row r="1498" spans="1:25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7082</v>
      </c>
      <c r="J1498" t="s">
        <v>7084</v>
      </c>
      <c r="K1498" t="s">
        <v>46</v>
      </c>
      <c r="L1498" t="s">
        <v>7084</v>
      </c>
      <c r="M1498" t="s">
        <v>7084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92"/>
        <v>0-12 Months</v>
      </c>
      <c r="W1498">
        <f t="shared" si="93"/>
        <v>0</v>
      </c>
      <c r="X1498">
        <f t="shared" si="94"/>
        <v>0</v>
      </c>
      <c r="Y1498" t="str">
        <f t="shared" si="95"/>
        <v>Non-Senior</v>
      </c>
    </row>
    <row r="1499" spans="1:25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92"/>
        <v>49-60 Months</v>
      </c>
      <c r="W1499">
        <f t="shared" si="93"/>
        <v>0</v>
      </c>
      <c r="X1499">
        <f t="shared" si="94"/>
        <v>0</v>
      </c>
      <c r="Y1499" t="str">
        <f t="shared" si="95"/>
        <v>Non-Senior</v>
      </c>
    </row>
    <row r="1500" spans="1:25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92"/>
        <v>13-24 Months</v>
      </c>
      <c r="W1500">
        <f t="shared" si="93"/>
        <v>1</v>
      </c>
      <c r="X1500">
        <f t="shared" si="94"/>
        <v>75.650000000000006</v>
      </c>
      <c r="Y1500" t="str">
        <f t="shared" si="95"/>
        <v>Senior Citizen</v>
      </c>
    </row>
    <row r="1501" spans="1:25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92"/>
        <v>61-72 Months</v>
      </c>
      <c r="W1501">
        <f t="shared" si="93"/>
        <v>0</v>
      </c>
      <c r="X1501">
        <f t="shared" si="94"/>
        <v>0</v>
      </c>
      <c r="Y1501" t="str">
        <f t="shared" si="95"/>
        <v>Senior Citizen</v>
      </c>
    </row>
    <row r="1502" spans="1:25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92"/>
        <v>37-48 Months</v>
      </c>
      <c r="W1502">
        <f t="shared" si="93"/>
        <v>0</v>
      </c>
      <c r="X1502">
        <f t="shared" si="94"/>
        <v>0</v>
      </c>
      <c r="Y1502" t="str">
        <f t="shared" si="95"/>
        <v>Non-Senior</v>
      </c>
    </row>
    <row r="1503" spans="1:25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7082</v>
      </c>
      <c r="J1503" t="s">
        <v>7084</v>
      </c>
      <c r="K1503" t="s">
        <v>46</v>
      </c>
      <c r="L1503" t="s">
        <v>7084</v>
      </c>
      <c r="M1503" t="s">
        <v>7084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92"/>
        <v>13-24 Months</v>
      </c>
      <c r="W1503">
        <f t="shared" si="93"/>
        <v>0</v>
      </c>
      <c r="X1503">
        <f t="shared" si="94"/>
        <v>0</v>
      </c>
      <c r="Y1503" t="str">
        <f t="shared" si="95"/>
        <v>Non-Senior</v>
      </c>
    </row>
    <row r="1504" spans="1:25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92"/>
        <v>49-60 Months</v>
      </c>
      <c r="W1504">
        <f t="shared" si="93"/>
        <v>0</v>
      </c>
      <c r="X1504">
        <f t="shared" si="94"/>
        <v>0</v>
      </c>
      <c r="Y1504" t="str">
        <f t="shared" si="95"/>
        <v>Non-Senior</v>
      </c>
    </row>
    <row r="1505" spans="1:25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92"/>
        <v>37-48 Months</v>
      </c>
      <c r="W1505">
        <f t="shared" si="93"/>
        <v>0</v>
      </c>
      <c r="X1505">
        <f t="shared" si="94"/>
        <v>0</v>
      </c>
      <c r="Y1505" t="str">
        <f t="shared" si="95"/>
        <v>Senior Citizen</v>
      </c>
    </row>
    <row r="1506" spans="1:25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92"/>
        <v>13-24 Months</v>
      </c>
      <c r="W1506">
        <f t="shared" si="93"/>
        <v>0</v>
      </c>
      <c r="X1506">
        <f t="shared" si="94"/>
        <v>0</v>
      </c>
      <c r="Y1506" t="str">
        <f t="shared" si="95"/>
        <v>Non-Senior</v>
      </c>
    </row>
    <row r="1507" spans="1:25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92"/>
        <v>0-12 Months</v>
      </c>
      <c r="W1507">
        <f t="shared" si="93"/>
        <v>1</v>
      </c>
      <c r="X1507">
        <f t="shared" si="94"/>
        <v>74.7</v>
      </c>
      <c r="Y1507" t="str">
        <f t="shared" si="95"/>
        <v>Senior Citizen</v>
      </c>
    </row>
    <row r="1508" spans="1:25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92"/>
        <v>61-72 Months</v>
      </c>
      <c r="W1508">
        <f t="shared" si="93"/>
        <v>0</v>
      </c>
      <c r="X1508">
        <f t="shared" si="94"/>
        <v>0</v>
      </c>
      <c r="Y1508" t="str">
        <f t="shared" si="95"/>
        <v>Non-Senior</v>
      </c>
    </row>
    <row r="1509" spans="1:25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7082</v>
      </c>
      <c r="J1509" t="s">
        <v>7084</v>
      </c>
      <c r="K1509" t="s">
        <v>46</v>
      </c>
      <c r="L1509" t="s">
        <v>7084</v>
      </c>
      <c r="M1509" t="s">
        <v>7084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92"/>
        <v>49-60 Months</v>
      </c>
      <c r="W1509">
        <f t="shared" si="93"/>
        <v>0</v>
      </c>
      <c r="X1509">
        <f t="shared" si="94"/>
        <v>0</v>
      </c>
      <c r="Y1509" t="str">
        <f t="shared" si="95"/>
        <v>Non-Senior</v>
      </c>
    </row>
    <row r="1510" spans="1:25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92"/>
        <v>13-24 Months</v>
      </c>
      <c r="W1510">
        <f t="shared" si="93"/>
        <v>0</v>
      </c>
      <c r="X1510">
        <f t="shared" si="94"/>
        <v>0</v>
      </c>
      <c r="Y1510" t="str">
        <f t="shared" si="95"/>
        <v>Senior Citizen</v>
      </c>
    </row>
    <row r="1511" spans="1:25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92"/>
        <v>13-24 Months</v>
      </c>
      <c r="W1511">
        <f t="shared" si="93"/>
        <v>1</v>
      </c>
      <c r="X1511">
        <f t="shared" si="94"/>
        <v>76.650000000000006</v>
      </c>
      <c r="Y1511" t="str">
        <f t="shared" si="95"/>
        <v>Non-Senior</v>
      </c>
    </row>
    <row r="1512" spans="1:25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92"/>
        <v>61-72 Months</v>
      </c>
      <c r="W1512">
        <f t="shared" si="93"/>
        <v>0</v>
      </c>
      <c r="X1512">
        <f t="shared" si="94"/>
        <v>0</v>
      </c>
      <c r="Y1512" t="str">
        <f t="shared" si="95"/>
        <v>Non-Senior</v>
      </c>
    </row>
    <row r="1513" spans="1:25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7082</v>
      </c>
      <c r="J1513" t="s">
        <v>7084</v>
      </c>
      <c r="K1513" t="s">
        <v>46</v>
      </c>
      <c r="L1513" t="s">
        <v>7084</v>
      </c>
      <c r="M1513" t="s">
        <v>7084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92"/>
        <v>61-72 Months</v>
      </c>
      <c r="W1513">
        <f t="shared" si="93"/>
        <v>0</v>
      </c>
      <c r="X1513">
        <f t="shared" si="94"/>
        <v>0</v>
      </c>
      <c r="Y1513" t="str">
        <f t="shared" si="95"/>
        <v>Non-Senior</v>
      </c>
    </row>
    <row r="1514" spans="1:25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92"/>
        <v>13-24 Months</v>
      </c>
      <c r="W1514">
        <f t="shared" si="93"/>
        <v>0</v>
      </c>
      <c r="X1514">
        <f t="shared" si="94"/>
        <v>0</v>
      </c>
      <c r="Y1514" t="str">
        <f t="shared" si="95"/>
        <v>Non-Senior</v>
      </c>
    </row>
    <row r="1515" spans="1:25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92"/>
        <v>0-12 Months</v>
      </c>
      <c r="W1515">
        <f t="shared" si="93"/>
        <v>1</v>
      </c>
      <c r="X1515">
        <f t="shared" si="94"/>
        <v>25.8</v>
      </c>
      <c r="Y1515" t="str">
        <f t="shared" si="95"/>
        <v>Senior Citizen</v>
      </c>
    </row>
    <row r="1516" spans="1:25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7082</v>
      </c>
      <c r="J1516" t="s">
        <v>7084</v>
      </c>
      <c r="K1516" t="s">
        <v>46</v>
      </c>
      <c r="L1516" t="s">
        <v>7084</v>
      </c>
      <c r="M1516" t="s">
        <v>7084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92"/>
        <v>61-72 Months</v>
      </c>
      <c r="W1516">
        <f t="shared" si="93"/>
        <v>0</v>
      </c>
      <c r="X1516">
        <f t="shared" si="94"/>
        <v>0</v>
      </c>
      <c r="Y1516" t="str">
        <f t="shared" si="95"/>
        <v>Non-Senior</v>
      </c>
    </row>
    <row r="1517" spans="1:25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92"/>
        <v>37-48 Months</v>
      </c>
      <c r="W1517">
        <f t="shared" si="93"/>
        <v>0</v>
      </c>
      <c r="X1517">
        <f t="shared" si="94"/>
        <v>0</v>
      </c>
      <c r="Y1517" t="str">
        <f t="shared" si="95"/>
        <v>Non-Senior</v>
      </c>
    </row>
    <row r="1518" spans="1:25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92"/>
        <v>13-24 Months</v>
      </c>
      <c r="W1518">
        <f t="shared" si="93"/>
        <v>0</v>
      </c>
      <c r="X1518">
        <f t="shared" si="94"/>
        <v>0</v>
      </c>
      <c r="Y1518" t="str">
        <f t="shared" si="95"/>
        <v>Non-Senior</v>
      </c>
    </row>
    <row r="1519" spans="1:25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92"/>
        <v>49-60 Months</v>
      </c>
      <c r="W1519">
        <f t="shared" si="93"/>
        <v>0</v>
      </c>
      <c r="X1519">
        <f t="shared" si="94"/>
        <v>0</v>
      </c>
      <c r="Y1519" t="str">
        <f t="shared" si="95"/>
        <v>Non-Senior</v>
      </c>
    </row>
    <row r="1520" spans="1:25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7082</v>
      </c>
      <c r="J1520" t="s">
        <v>7084</v>
      </c>
      <c r="K1520" t="s">
        <v>46</v>
      </c>
      <c r="L1520" t="s">
        <v>7084</v>
      </c>
      <c r="M1520" t="s">
        <v>7084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92"/>
        <v>0-12 Months</v>
      </c>
      <c r="W1520">
        <f t="shared" si="93"/>
        <v>0</v>
      </c>
      <c r="X1520">
        <f t="shared" si="94"/>
        <v>0</v>
      </c>
      <c r="Y1520" t="str">
        <f t="shared" si="95"/>
        <v>Non-Senior</v>
      </c>
    </row>
    <row r="1521" spans="1:25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92"/>
        <v>0-12 Months</v>
      </c>
      <c r="W1521">
        <f t="shared" si="93"/>
        <v>1</v>
      </c>
      <c r="X1521">
        <f t="shared" si="94"/>
        <v>42.6</v>
      </c>
      <c r="Y1521" t="str">
        <f t="shared" si="95"/>
        <v>Non-Senior</v>
      </c>
    </row>
    <row r="1522" spans="1:25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7082</v>
      </c>
      <c r="J1522" t="s">
        <v>7084</v>
      </c>
      <c r="K1522" t="s">
        <v>46</v>
      </c>
      <c r="L1522" t="s">
        <v>7084</v>
      </c>
      <c r="M1522" t="s">
        <v>7084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92"/>
        <v>0-12 Months</v>
      </c>
      <c r="W1522">
        <f t="shared" si="93"/>
        <v>0</v>
      </c>
      <c r="X1522">
        <f t="shared" si="94"/>
        <v>0</v>
      </c>
      <c r="Y1522" t="str">
        <f t="shared" si="95"/>
        <v>Non-Senior</v>
      </c>
    </row>
    <row r="1523" spans="1:25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92"/>
        <v>37-48 Months</v>
      </c>
      <c r="W1523">
        <f t="shared" si="93"/>
        <v>0</v>
      </c>
      <c r="X1523">
        <f t="shared" si="94"/>
        <v>0</v>
      </c>
      <c r="Y1523" t="str">
        <f t="shared" si="95"/>
        <v>Non-Senior</v>
      </c>
    </row>
    <row r="1524" spans="1:25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92"/>
        <v>25-36 Months</v>
      </c>
      <c r="W1524">
        <f t="shared" si="93"/>
        <v>1</v>
      </c>
      <c r="X1524">
        <f t="shared" si="94"/>
        <v>68.849999999999994</v>
      </c>
      <c r="Y1524" t="str">
        <f t="shared" si="95"/>
        <v>Non-Senior</v>
      </c>
    </row>
    <row r="1525" spans="1:25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92"/>
        <v>0-12 Months</v>
      </c>
      <c r="W1525">
        <f t="shared" si="93"/>
        <v>0</v>
      </c>
      <c r="X1525">
        <f t="shared" si="94"/>
        <v>0</v>
      </c>
      <c r="Y1525" t="str">
        <f t="shared" si="95"/>
        <v>Non-Senior</v>
      </c>
    </row>
    <row r="1526" spans="1:25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92"/>
        <v>61-72 Months</v>
      </c>
      <c r="W1526">
        <f t="shared" si="93"/>
        <v>0</v>
      </c>
      <c r="X1526">
        <f t="shared" si="94"/>
        <v>0</v>
      </c>
      <c r="Y1526" t="str">
        <f t="shared" si="95"/>
        <v>Non-Senior</v>
      </c>
    </row>
    <row r="1527" spans="1:25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7082</v>
      </c>
      <c r="J1527" t="s">
        <v>7084</v>
      </c>
      <c r="K1527" t="s">
        <v>46</v>
      </c>
      <c r="L1527" t="s">
        <v>7084</v>
      </c>
      <c r="M1527" t="s">
        <v>7084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92"/>
        <v>0-12 Months</v>
      </c>
      <c r="W1527">
        <f t="shared" si="93"/>
        <v>0</v>
      </c>
      <c r="X1527">
        <f t="shared" si="94"/>
        <v>0</v>
      </c>
      <c r="Y1527" t="str">
        <f t="shared" si="95"/>
        <v>Non-Senior</v>
      </c>
    </row>
    <row r="1528" spans="1:25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92"/>
        <v>0-12 Months</v>
      </c>
      <c r="W1528">
        <f t="shared" si="93"/>
        <v>0</v>
      </c>
      <c r="X1528">
        <f t="shared" si="94"/>
        <v>0</v>
      </c>
      <c r="Y1528" t="str">
        <f t="shared" si="95"/>
        <v>Non-Senior</v>
      </c>
    </row>
    <row r="1529" spans="1:25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7082</v>
      </c>
      <c r="J1529" t="s">
        <v>7084</v>
      </c>
      <c r="K1529" t="s">
        <v>46</v>
      </c>
      <c r="L1529" t="s">
        <v>7084</v>
      </c>
      <c r="M1529" t="s">
        <v>7084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92"/>
        <v>61-72 Months</v>
      </c>
      <c r="W1529">
        <f t="shared" si="93"/>
        <v>0</v>
      </c>
      <c r="X1529">
        <f t="shared" si="94"/>
        <v>0</v>
      </c>
      <c r="Y1529" t="str">
        <f t="shared" si="95"/>
        <v>Non-Senior</v>
      </c>
    </row>
    <row r="1530" spans="1:25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92"/>
        <v>13-24 Months</v>
      </c>
      <c r="W1530">
        <f t="shared" si="93"/>
        <v>0</v>
      </c>
      <c r="X1530">
        <f t="shared" si="94"/>
        <v>0</v>
      </c>
      <c r="Y1530" t="str">
        <f t="shared" si="95"/>
        <v>Non-Senior</v>
      </c>
    </row>
    <row r="1531" spans="1:25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7082</v>
      </c>
      <c r="J1531" t="s">
        <v>7084</v>
      </c>
      <c r="K1531" t="s">
        <v>46</v>
      </c>
      <c r="L1531" t="s">
        <v>7084</v>
      </c>
      <c r="M1531" t="s">
        <v>7084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92"/>
        <v>49-60 Months</v>
      </c>
      <c r="W1531">
        <f t="shared" si="93"/>
        <v>0</v>
      </c>
      <c r="X1531">
        <f t="shared" si="94"/>
        <v>0</v>
      </c>
      <c r="Y1531" t="str">
        <f t="shared" si="95"/>
        <v>Non-Senior</v>
      </c>
    </row>
    <row r="1532" spans="1:25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92"/>
        <v>0-12 Months</v>
      </c>
      <c r="W1532">
        <f t="shared" si="93"/>
        <v>1</v>
      </c>
      <c r="X1532">
        <f t="shared" si="94"/>
        <v>90</v>
      </c>
      <c r="Y1532" t="str">
        <f t="shared" si="95"/>
        <v>Non-Senior</v>
      </c>
    </row>
    <row r="1533" spans="1:25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7082</v>
      </c>
      <c r="J1533" t="s">
        <v>7084</v>
      </c>
      <c r="K1533" t="s">
        <v>46</v>
      </c>
      <c r="L1533" t="s">
        <v>7084</v>
      </c>
      <c r="M1533" t="s">
        <v>7084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92"/>
        <v>25-36 Months</v>
      </c>
      <c r="W1533">
        <f t="shared" si="93"/>
        <v>0</v>
      </c>
      <c r="X1533">
        <f t="shared" si="94"/>
        <v>0</v>
      </c>
      <c r="Y1533" t="str">
        <f t="shared" si="95"/>
        <v>Non-Senior</v>
      </c>
    </row>
    <row r="1534" spans="1:25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7082</v>
      </c>
      <c r="J1534" t="s">
        <v>7084</v>
      </c>
      <c r="K1534" t="s">
        <v>46</v>
      </c>
      <c r="L1534" t="s">
        <v>7084</v>
      </c>
      <c r="M1534" t="s">
        <v>7084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92"/>
        <v>13-24 Months</v>
      </c>
      <c r="W1534">
        <f t="shared" si="93"/>
        <v>0</v>
      </c>
      <c r="X1534">
        <f t="shared" si="94"/>
        <v>0</v>
      </c>
      <c r="Y1534" t="str">
        <f t="shared" si="95"/>
        <v>Non-Senior</v>
      </c>
    </row>
    <row r="1535" spans="1:25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92"/>
        <v>13-24 Months</v>
      </c>
      <c r="W1535">
        <f t="shared" si="93"/>
        <v>1</v>
      </c>
      <c r="X1535">
        <f t="shared" si="94"/>
        <v>75.349999999999994</v>
      </c>
      <c r="Y1535" t="str">
        <f t="shared" si="95"/>
        <v>Non-Senior</v>
      </c>
    </row>
    <row r="1536" spans="1:25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7082</v>
      </c>
      <c r="J1536" t="s">
        <v>7084</v>
      </c>
      <c r="K1536" t="s">
        <v>46</v>
      </c>
      <c r="L1536" t="s">
        <v>7084</v>
      </c>
      <c r="M1536" t="s">
        <v>7084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92"/>
        <v>61-72 Months</v>
      </c>
      <c r="W1536">
        <f t="shared" si="93"/>
        <v>0</v>
      </c>
      <c r="X1536">
        <f t="shared" si="94"/>
        <v>0</v>
      </c>
      <c r="Y1536" t="str">
        <f t="shared" si="95"/>
        <v>Non-Senior</v>
      </c>
    </row>
    <row r="1537" spans="1:25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92"/>
        <v>0-12 Months</v>
      </c>
      <c r="W1537">
        <f t="shared" si="93"/>
        <v>0</v>
      </c>
      <c r="X1537">
        <f t="shared" si="94"/>
        <v>0</v>
      </c>
      <c r="Y1537" t="str">
        <f t="shared" si="95"/>
        <v>Senior Citizen</v>
      </c>
    </row>
    <row r="1538" spans="1:25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si="92"/>
        <v>61-72 Months</v>
      </c>
      <c r="W1538">
        <f t="shared" si="93"/>
        <v>0</v>
      </c>
      <c r="X1538">
        <f t="shared" si="94"/>
        <v>0</v>
      </c>
      <c r="Y1538" t="str">
        <f t="shared" si="95"/>
        <v>Non-Senior</v>
      </c>
    </row>
    <row r="1539" spans="1:25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ref="V1539:V1602" si="96">IF(F1539&lt;=12,"0-12 Months",IF(F1539&lt;=24,"13-24 Months",IF(F1539&lt;=36,"25-36 Months",IF(F1539&lt;=48,"37-48 Months",IF(F1539&lt;=60,"49-60 Months","61-72 Months")))))</f>
        <v>61-72 Months</v>
      </c>
      <c r="W1539">
        <f t="shared" ref="W1539:W1602" si="97">IF(U1539="Yes",1,0)</f>
        <v>0</v>
      </c>
      <c r="X1539">
        <f t="shared" ref="X1539:X1602" si="98">IF(U1539="Yes",S1539,0)</f>
        <v>0</v>
      </c>
      <c r="Y1539" t="str">
        <f t="shared" ref="Y1539:Y1602" si="99">IF(C1539=1,"Senior Citizen","Non-Senior")</f>
        <v>Non-Senior</v>
      </c>
    </row>
    <row r="1540" spans="1:25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96"/>
        <v>0-12 Months</v>
      </c>
      <c r="W1540">
        <f t="shared" si="97"/>
        <v>1</v>
      </c>
      <c r="X1540">
        <f t="shared" si="98"/>
        <v>100.85</v>
      </c>
      <c r="Y1540" t="str">
        <f t="shared" si="99"/>
        <v>Non-Senior</v>
      </c>
    </row>
    <row r="1541" spans="1:25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96"/>
        <v>0-12 Months</v>
      </c>
      <c r="W1541">
        <f t="shared" si="97"/>
        <v>0</v>
      </c>
      <c r="X1541">
        <f t="shared" si="98"/>
        <v>0</v>
      </c>
      <c r="Y1541" t="str">
        <f t="shared" si="99"/>
        <v>Non-Senior</v>
      </c>
    </row>
    <row r="1542" spans="1:25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96"/>
        <v>61-72 Months</v>
      </c>
      <c r="W1542">
        <f t="shared" si="97"/>
        <v>0</v>
      </c>
      <c r="X1542">
        <f t="shared" si="98"/>
        <v>0</v>
      </c>
      <c r="Y1542" t="str">
        <f t="shared" si="99"/>
        <v>Non-Senior</v>
      </c>
    </row>
    <row r="1543" spans="1:25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7082</v>
      </c>
      <c r="J1543" t="s">
        <v>7084</v>
      </c>
      <c r="K1543" t="s">
        <v>46</v>
      </c>
      <c r="L1543" t="s">
        <v>7084</v>
      </c>
      <c r="M1543" t="s">
        <v>7084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96"/>
        <v>61-72 Months</v>
      </c>
      <c r="W1543">
        <f t="shared" si="97"/>
        <v>0</v>
      </c>
      <c r="X1543">
        <f t="shared" si="98"/>
        <v>0</v>
      </c>
      <c r="Y1543" t="str">
        <f t="shared" si="99"/>
        <v>Non-Senior</v>
      </c>
    </row>
    <row r="1544" spans="1:25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7082</v>
      </c>
      <c r="J1544" t="s">
        <v>7084</v>
      </c>
      <c r="K1544" t="s">
        <v>46</v>
      </c>
      <c r="L1544" t="s">
        <v>7084</v>
      </c>
      <c r="M1544" t="s">
        <v>7084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96"/>
        <v>37-48 Months</v>
      </c>
      <c r="W1544">
        <f t="shared" si="97"/>
        <v>0</v>
      </c>
      <c r="X1544">
        <f t="shared" si="98"/>
        <v>0</v>
      </c>
      <c r="Y1544" t="str">
        <f t="shared" si="99"/>
        <v>Non-Senior</v>
      </c>
    </row>
    <row r="1545" spans="1:25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96"/>
        <v>0-12 Months</v>
      </c>
      <c r="W1545">
        <f t="shared" si="97"/>
        <v>1</v>
      </c>
      <c r="X1545">
        <f t="shared" si="98"/>
        <v>69.95</v>
      </c>
      <c r="Y1545" t="str">
        <f t="shared" si="99"/>
        <v>Non-Senior</v>
      </c>
    </row>
    <row r="1546" spans="1:25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96"/>
        <v>25-36 Months</v>
      </c>
      <c r="W1546">
        <f t="shared" si="97"/>
        <v>0</v>
      </c>
      <c r="X1546">
        <f t="shared" si="98"/>
        <v>0</v>
      </c>
      <c r="Y1546" t="str">
        <f t="shared" si="99"/>
        <v>Non-Senior</v>
      </c>
    </row>
    <row r="1547" spans="1:25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96"/>
        <v>61-72 Months</v>
      </c>
      <c r="W1547">
        <f t="shared" si="97"/>
        <v>0</v>
      </c>
      <c r="X1547">
        <f t="shared" si="98"/>
        <v>0</v>
      </c>
      <c r="Y1547" t="str">
        <f t="shared" si="99"/>
        <v>Non-Senior</v>
      </c>
    </row>
    <row r="1548" spans="1:25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7082</v>
      </c>
      <c r="J1548" t="s">
        <v>7084</v>
      </c>
      <c r="K1548" t="s">
        <v>46</v>
      </c>
      <c r="L1548" t="s">
        <v>7084</v>
      </c>
      <c r="M1548" t="s">
        <v>7084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96"/>
        <v>49-60 Months</v>
      </c>
      <c r="W1548">
        <f t="shared" si="97"/>
        <v>0</v>
      </c>
      <c r="X1548">
        <f t="shared" si="98"/>
        <v>0</v>
      </c>
      <c r="Y1548" t="str">
        <f t="shared" si="99"/>
        <v>Non-Senior</v>
      </c>
    </row>
    <row r="1549" spans="1:25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96"/>
        <v>61-72 Months</v>
      </c>
      <c r="W1549">
        <f t="shared" si="97"/>
        <v>1</v>
      </c>
      <c r="X1549">
        <f t="shared" si="98"/>
        <v>107.5</v>
      </c>
      <c r="Y1549" t="str">
        <f t="shared" si="99"/>
        <v>Non-Senior</v>
      </c>
    </row>
    <row r="1550" spans="1:25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96"/>
        <v>25-36 Months</v>
      </c>
      <c r="W1550">
        <f t="shared" si="97"/>
        <v>0</v>
      </c>
      <c r="X1550">
        <f t="shared" si="98"/>
        <v>0</v>
      </c>
      <c r="Y1550" t="str">
        <f t="shared" si="99"/>
        <v>Non-Senior</v>
      </c>
    </row>
    <row r="1551" spans="1:25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96"/>
        <v>0-12 Months</v>
      </c>
      <c r="W1551">
        <f t="shared" si="97"/>
        <v>1</v>
      </c>
      <c r="X1551">
        <f t="shared" si="98"/>
        <v>45.85</v>
      </c>
      <c r="Y1551" t="str">
        <f t="shared" si="99"/>
        <v>Non-Senior</v>
      </c>
    </row>
    <row r="1552" spans="1:25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96"/>
        <v>0-12 Months</v>
      </c>
      <c r="W1552">
        <f t="shared" si="97"/>
        <v>0</v>
      </c>
      <c r="X1552">
        <f t="shared" si="98"/>
        <v>0</v>
      </c>
      <c r="Y1552" t="str">
        <f t="shared" si="99"/>
        <v>Senior Citizen</v>
      </c>
    </row>
    <row r="1553" spans="1:25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7082</v>
      </c>
      <c r="J1553" t="s">
        <v>7084</v>
      </c>
      <c r="K1553" t="s">
        <v>46</v>
      </c>
      <c r="L1553" t="s">
        <v>7084</v>
      </c>
      <c r="M1553" t="s">
        <v>7084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96"/>
        <v>13-24 Months</v>
      </c>
      <c r="W1553">
        <f t="shared" si="97"/>
        <v>0</v>
      </c>
      <c r="X1553">
        <f t="shared" si="98"/>
        <v>0</v>
      </c>
      <c r="Y1553" t="str">
        <f t="shared" si="99"/>
        <v>Non-Senior</v>
      </c>
    </row>
    <row r="1554" spans="1:25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96"/>
        <v>25-36 Months</v>
      </c>
      <c r="W1554">
        <f t="shared" si="97"/>
        <v>0</v>
      </c>
      <c r="X1554">
        <f t="shared" si="98"/>
        <v>0</v>
      </c>
      <c r="Y1554" t="str">
        <f t="shared" si="99"/>
        <v>Non-Senior</v>
      </c>
    </row>
    <row r="1555" spans="1:25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96"/>
        <v>37-48 Months</v>
      </c>
      <c r="W1555">
        <f t="shared" si="97"/>
        <v>0</v>
      </c>
      <c r="X1555">
        <f t="shared" si="98"/>
        <v>0</v>
      </c>
      <c r="Y1555" t="str">
        <f t="shared" si="99"/>
        <v>Non-Senior</v>
      </c>
    </row>
    <row r="1556" spans="1:25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7082</v>
      </c>
      <c r="J1556" t="s">
        <v>7084</v>
      </c>
      <c r="K1556" t="s">
        <v>46</v>
      </c>
      <c r="L1556" t="s">
        <v>7084</v>
      </c>
      <c r="M1556" t="s">
        <v>7084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96"/>
        <v>25-36 Months</v>
      </c>
      <c r="W1556">
        <f t="shared" si="97"/>
        <v>0</v>
      </c>
      <c r="X1556">
        <f t="shared" si="98"/>
        <v>0</v>
      </c>
      <c r="Y1556" t="str">
        <f t="shared" si="99"/>
        <v>Non-Senior</v>
      </c>
    </row>
    <row r="1557" spans="1:25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96"/>
        <v>49-60 Months</v>
      </c>
      <c r="W1557">
        <f t="shared" si="97"/>
        <v>1</v>
      </c>
      <c r="X1557">
        <f t="shared" si="98"/>
        <v>106.1</v>
      </c>
      <c r="Y1557" t="str">
        <f t="shared" si="99"/>
        <v>Non-Senior</v>
      </c>
    </row>
    <row r="1558" spans="1:25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96"/>
        <v>0-12 Months</v>
      </c>
      <c r="W1558">
        <f t="shared" si="97"/>
        <v>1</v>
      </c>
      <c r="X1558">
        <f t="shared" si="98"/>
        <v>91.7</v>
      </c>
      <c r="Y1558" t="str">
        <f t="shared" si="99"/>
        <v>Non-Senior</v>
      </c>
    </row>
    <row r="1559" spans="1:25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96"/>
        <v>0-12 Months</v>
      </c>
      <c r="W1559">
        <f t="shared" si="97"/>
        <v>0</v>
      </c>
      <c r="X1559">
        <f t="shared" si="98"/>
        <v>0</v>
      </c>
      <c r="Y1559" t="str">
        <f t="shared" si="99"/>
        <v>Non-Senior</v>
      </c>
    </row>
    <row r="1560" spans="1:25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96"/>
        <v>13-24 Months</v>
      </c>
      <c r="W1560">
        <f t="shared" si="97"/>
        <v>1</v>
      </c>
      <c r="X1560">
        <f t="shared" si="98"/>
        <v>95.6</v>
      </c>
      <c r="Y1560" t="str">
        <f t="shared" si="99"/>
        <v>Non-Senior</v>
      </c>
    </row>
    <row r="1561" spans="1:25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7082</v>
      </c>
      <c r="J1561" t="s">
        <v>7084</v>
      </c>
      <c r="K1561" t="s">
        <v>46</v>
      </c>
      <c r="L1561" t="s">
        <v>7084</v>
      </c>
      <c r="M1561" t="s">
        <v>7084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96"/>
        <v>0-12 Months</v>
      </c>
      <c r="W1561">
        <f t="shared" si="97"/>
        <v>0</v>
      </c>
      <c r="X1561">
        <f t="shared" si="98"/>
        <v>0</v>
      </c>
      <c r="Y1561" t="str">
        <f t="shared" si="99"/>
        <v>Non-Senior</v>
      </c>
    </row>
    <row r="1562" spans="1:25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96"/>
        <v>37-48 Months</v>
      </c>
      <c r="W1562">
        <f t="shared" si="97"/>
        <v>0</v>
      </c>
      <c r="X1562">
        <f t="shared" si="98"/>
        <v>0</v>
      </c>
      <c r="Y1562" t="str">
        <f t="shared" si="99"/>
        <v>Non-Senior</v>
      </c>
    </row>
    <row r="1563" spans="1:25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96"/>
        <v>0-12 Months</v>
      </c>
      <c r="W1563">
        <f t="shared" si="97"/>
        <v>1</v>
      </c>
      <c r="X1563">
        <f t="shared" si="98"/>
        <v>74.95</v>
      </c>
      <c r="Y1563" t="str">
        <f t="shared" si="99"/>
        <v>Non-Senior</v>
      </c>
    </row>
    <row r="1564" spans="1:25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96"/>
        <v>0-12 Months</v>
      </c>
      <c r="W1564">
        <f t="shared" si="97"/>
        <v>0</v>
      </c>
      <c r="X1564">
        <f t="shared" si="98"/>
        <v>0</v>
      </c>
      <c r="Y1564" t="str">
        <f t="shared" si="99"/>
        <v>Non-Senior</v>
      </c>
    </row>
    <row r="1565" spans="1:25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96"/>
        <v>0-12 Months</v>
      </c>
      <c r="W1565">
        <f t="shared" si="97"/>
        <v>0</v>
      </c>
      <c r="X1565">
        <f t="shared" si="98"/>
        <v>0</v>
      </c>
      <c r="Y1565" t="str">
        <f t="shared" si="99"/>
        <v>Senior Citizen</v>
      </c>
    </row>
    <row r="1566" spans="1:25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96"/>
        <v>0-12 Months</v>
      </c>
      <c r="W1566">
        <f t="shared" si="97"/>
        <v>1</v>
      </c>
      <c r="X1566">
        <f t="shared" si="98"/>
        <v>95.35</v>
      </c>
      <c r="Y1566" t="str">
        <f t="shared" si="99"/>
        <v>Senior Citizen</v>
      </c>
    </row>
    <row r="1567" spans="1:25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96"/>
        <v>49-60 Months</v>
      </c>
      <c r="W1567">
        <f t="shared" si="97"/>
        <v>0</v>
      </c>
      <c r="X1567">
        <f t="shared" si="98"/>
        <v>0</v>
      </c>
      <c r="Y1567" t="str">
        <f t="shared" si="99"/>
        <v>Non-Senior</v>
      </c>
    </row>
    <row r="1568" spans="1:25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96"/>
        <v>61-72 Months</v>
      </c>
      <c r="W1568">
        <f t="shared" si="97"/>
        <v>0</v>
      </c>
      <c r="X1568">
        <f t="shared" si="98"/>
        <v>0</v>
      </c>
      <c r="Y1568" t="str">
        <f t="shared" si="99"/>
        <v>Non-Senior</v>
      </c>
    </row>
    <row r="1569" spans="1:25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96"/>
        <v>0-12 Months</v>
      </c>
      <c r="W1569">
        <f t="shared" si="97"/>
        <v>0</v>
      </c>
      <c r="X1569">
        <f t="shared" si="98"/>
        <v>0</v>
      </c>
      <c r="Y1569" t="str">
        <f t="shared" si="99"/>
        <v>Non-Senior</v>
      </c>
    </row>
    <row r="1570" spans="1:25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96"/>
        <v>0-12 Months</v>
      </c>
      <c r="W1570">
        <f t="shared" si="97"/>
        <v>0</v>
      </c>
      <c r="X1570">
        <f t="shared" si="98"/>
        <v>0</v>
      </c>
      <c r="Y1570" t="str">
        <f t="shared" si="99"/>
        <v>Senior Citizen</v>
      </c>
    </row>
    <row r="1571" spans="1:25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96"/>
        <v>13-24 Months</v>
      </c>
      <c r="W1571">
        <f t="shared" si="97"/>
        <v>0</v>
      </c>
      <c r="X1571">
        <f t="shared" si="98"/>
        <v>0</v>
      </c>
      <c r="Y1571" t="str">
        <f t="shared" si="99"/>
        <v>Non-Senior</v>
      </c>
    </row>
    <row r="1572" spans="1:25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7082</v>
      </c>
      <c r="J1572" t="s">
        <v>7084</v>
      </c>
      <c r="K1572" t="s">
        <v>46</v>
      </c>
      <c r="L1572" t="s">
        <v>7084</v>
      </c>
      <c r="M1572" t="s">
        <v>7084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96"/>
        <v>13-24 Months</v>
      </c>
      <c r="W1572">
        <f t="shared" si="97"/>
        <v>0</v>
      </c>
      <c r="X1572">
        <f t="shared" si="98"/>
        <v>0</v>
      </c>
      <c r="Y1572" t="str">
        <f t="shared" si="99"/>
        <v>Non-Senior</v>
      </c>
    </row>
    <row r="1573" spans="1:25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7082</v>
      </c>
      <c r="J1573" t="s">
        <v>7084</v>
      </c>
      <c r="K1573" t="s">
        <v>46</v>
      </c>
      <c r="L1573" t="s">
        <v>7084</v>
      </c>
      <c r="M1573" t="s">
        <v>7084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96"/>
        <v>0-12 Months</v>
      </c>
      <c r="W1573">
        <f t="shared" si="97"/>
        <v>0</v>
      </c>
      <c r="X1573">
        <f t="shared" si="98"/>
        <v>0</v>
      </c>
      <c r="Y1573" t="str">
        <f t="shared" si="99"/>
        <v>Non-Senior</v>
      </c>
    </row>
    <row r="1574" spans="1:25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96"/>
        <v>0-12 Months</v>
      </c>
      <c r="W1574">
        <f t="shared" si="97"/>
        <v>1</v>
      </c>
      <c r="X1574">
        <f t="shared" si="98"/>
        <v>45</v>
      </c>
      <c r="Y1574" t="str">
        <f t="shared" si="99"/>
        <v>Senior Citizen</v>
      </c>
    </row>
    <row r="1575" spans="1:25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96"/>
        <v>37-48 Months</v>
      </c>
      <c r="W1575">
        <f t="shared" si="97"/>
        <v>0</v>
      </c>
      <c r="X1575">
        <f t="shared" si="98"/>
        <v>0</v>
      </c>
      <c r="Y1575" t="str">
        <f t="shared" si="99"/>
        <v>Non-Senior</v>
      </c>
    </row>
    <row r="1576" spans="1:25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7082</v>
      </c>
      <c r="J1576" t="s">
        <v>7084</v>
      </c>
      <c r="K1576" t="s">
        <v>46</v>
      </c>
      <c r="L1576" t="s">
        <v>7084</v>
      </c>
      <c r="M1576" t="s">
        <v>7084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96"/>
        <v>13-24 Months</v>
      </c>
      <c r="W1576">
        <f t="shared" si="97"/>
        <v>0</v>
      </c>
      <c r="X1576">
        <f t="shared" si="98"/>
        <v>0</v>
      </c>
      <c r="Y1576" t="str">
        <f t="shared" si="99"/>
        <v>Non-Senior</v>
      </c>
    </row>
    <row r="1577" spans="1:25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96"/>
        <v>61-72 Months</v>
      </c>
      <c r="W1577">
        <f t="shared" si="97"/>
        <v>1</v>
      </c>
      <c r="X1577">
        <f t="shared" si="98"/>
        <v>99.5</v>
      </c>
      <c r="Y1577" t="str">
        <f t="shared" si="99"/>
        <v>Non-Senior</v>
      </c>
    </row>
    <row r="1578" spans="1:25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96"/>
        <v>61-72 Months</v>
      </c>
      <c r="W1578">
        <f t="shared" si="97"/>
        <v>0</v>
      </c>
      <c r="X1578">
        <f t="shared" si="98"/>
        <v>0</v>
      </c>
      <c r="Y1578" t="str">
        <f t="shared" si="99"/>
        <v>Senior Citizen</v>
      </c>
    </row>
    <row r="1579" spans="1:25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96"/>
        <v>13-24 Months</v>
      </c>
      <c r="W1579">
        <f t="shared" si="97"/>
        <v>1</v>
      </c>
      <c r="X1579">
        <f t="shared" si="98"/>
        <v>98.6</v>
      </c>
      <c r="Y1579" t="str">
        <f t="shared" si="99"/>
        <v>Non-Senior</v>
      </c>
    </row>
    <row r="1580" spans="1:25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96"/>
        <v>0-12 Months</v>
      </c>
      <c r="W1580">
        <f t="shared" si="97"/>
        <v>1</v>
      </c>
      <c r="X1580">
        <f t="shared" si="98"/>
        <v>59.5</v>
      </c>
      <c r="Y1580" t="str">
        <f t="shared" si="99"/>
        <v>Non-Senior</v>
      </c>
    </row>
    <row r="1581" spans="1:25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96"/>
        <v>0-12 Months</v>
      </c>
      <c r="W1581">
        <f t="shared" si="97"/>
        <v>1</v>
      </c>
      <c r="X1581">
        <f t="shared" si="98"/>
        <v>80.45</v>
      </c>
      <c r="Y1581" t="str">
        <f t="shared" si="99"/>
        <v>Senior Citizen</v>
      </c>
    </row>
    <row r="1582" spans="1:25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96"/>
        <v>13-24 Months</v>
      </c>
      <c r="W1582">
        <f t="shared" si="97"/>
        <v>0</v>
      </c>
      <c r="X1582">
        <f t="shared" si="98"/>
        <v>0</v>
      </c>
      <c r="Y1582" t="str">
        <f t="shared" si="99"/>
        <v>Senior Citizen</v>
      </c>
    </row>
    <row r="1583" spans="1:25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96"/>
        <v>13-24 Months</v>
      </c>
      <c r="W1583">
        <f t="shared" si="97"/>
        <v>0</v>
      </c>
      <c r="X1583">
        <f t="shared" si="98"/>
        <v>0</v>
      </c>
      <c r="Y1583" t="str">
        <f t="shared" si="99"/>
        <v>Non-Senior</v>
      </c>
    </row>
    <row r="1584" spans="1:25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96"/>
        <v>49-60 Months</v>
      </c>
      <c r="W1584">
        <f t="shared" si="97"/>
        <v>0</v>
      </c>
      <c r="X1584">
        <f t="shared" si="98"/>
        <v>0</v>
      </c>
      <c r="Y1584" t="str">
        <f t="shared" si="99"/>
        <v>Non-Senior</v>
      </c>
    </row>
    <row r="1585" spans="1:25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96"/>
        <v>0-12 Months</v>
      </c>
      <c r="W1585">
        <f t="shared" si="97"/>
        <v>0</v>
      </c>
      <c r="X1585">
        <f t="shared" si="98"/>
        <v>0</v>
      </c>
      <c r="Y1585" t="str">
        <f t="shared" si="99"/>
        <v>Non-Senior</v>
      </c>
    </row>
    <row r="1586" spans="1:25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96"/>
        <v>61-72 Months</v>
      </c>
      <c r="W1586">
        <f t="shared" si="97"/>
        <v>0</v>
      </c>
      <c r="X1586">
        <f t="shared" si="98"/>
        <v>0</v>
      </c>
      <c r="Y1586" t="str">
        <f t="shared" si="99"/>
        <v>Senior Citizen</v>
      </c>
    </row>
    <row r="1587" spans="1:25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96"/>
        <v>37-48 Months</v>
      </c>
      <c r="W1587">
        <f t="shared" si="97"/>
        <v>0</v>
      </c>
      <c r="X1587">
        <f t="shared" si="98"/>
        <v>0</v>
      </c>
      <c r="Y1587" t="str">
        <f t="shared" si="99"/>
        <v>Non-Senior</v>
      </c>
    </row>
    <row r="1588" spans="1:25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96"/>
        <v>61-72 Months</v>
      </c>
      <c r="W1588">
        <f t="shared" si="97"/>
        <v>0</v>
      </c>
      <c r="X1588">
        <f t="shared" si="98"/>
        <v>0</v>
      </c>
      <c r="Y1588" t="str">
        <f t="shared" si="99"/>
        <v>Non-Senior</v>
      </c>
    </row>
    <row r="1589" spans="1:25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7082</v>
      </c>
      <c r="J1589" t="s">
        <v>7084</v>
      </c>
      <c r="K1589" t="s">
        <v>46</v>
      </c>
      <c r="L1589" t="s">
        <v>7084</v>
      </c>
      <c r="M1589" t="s">
        <v>7084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96"/>
        <v>37-48 Months</v>
      </c>
      <c r="W1589">
        <f t="shared" si="97"/>
        <v>0</v>
      </c>
      <c r="X1589">
        <f t="shared" si="98"/>
        <v>0</v>
      </c>
      <c r="Y1589" t="str">
        <f t="shared" si="99"/>
        <v>Non-Senior</v>
      </c>
    </row>
    <row r="1590" spans="1:25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96"/>
        <v>49-60 Months</v>
      </c>
      <c r="W1590">
        <f t="shared" si="97"/>
        <v>0</v>
      </c>
      <c r="X1590">
        <f t="shared" si="98"/>
        <v>0</v>
      </c>
      <c r="Y1590" t="str">
        <f t="shared" si="99"/>
        <v>Senior Citizen</v>
      </c>
    </row>
    <row r="1591" spans="1:25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96"/>
        <v>0-12 Months</v>
      </c>
      <c r="W1591">
        <f t="shared" si="97"/>
        <v>0</v>
      </c>
      <c r="X1591">
        <f t="shared" si="98"/>
        <v>0</v>
      </c>
      <c r="Y1591" t="str">
        <f t="shared" si="99"/>
        <v>Senior Citizen</v>
      </c>
    </row>
    <row r="1592" spans="1:25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7082</v>
      </c>
      <c r="J1592" t="s">
        <v>7084</v>
      </c>
      <c r="K1592" t="s">
        <v>46</v>
      </c>
      <c r="L1592" t="s">
        <v>7084</v>
      </c>
      <c r="M1592" t="s">
        <v>7084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96"/>
        <v>61-72 Months</v>
      </c>
      <c r="W1592">
        <f t="shared" si="97"/>
        <v>0</v>
      </c>
      <c r="X1592">
        <f t="shared" si="98"/>
        <v>0</v>
      </c>
      <c r="Y1592" t="str">
        <f t="shared" si="99"/>
        <v>Non-Senior</v>
      </c>
    </row>
    <row r="1593" spans="1:25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7082</v>
      </c>
      <c r="J1593" t="s">
        <v>7084</v>
      </c>
      <c r="K1593" t="s">
        <v>46</v>
      </c>
      <c r="L1593" t="s">
        <v>7084</v>
      </c>
      <c r="M1593" t="s">
        <v>7084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96"/>
        <v>13-24 Months</v>
      </c>
      <c r="W1593">
        <f t="shared" si="97"/>
        <v>0</v>
      </c>
      <c r="X1593">
        <f t="shared" si="98"/>
        <v>0</v>
      </c>
      <c r="Y1593" t="str">
        <f t="shared" si="99"/>
        <v>Non-Senior</v>
      </c>
    </row>
    <row r="1594" spans="1:25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96"/>
        <v>37-48 Months</v>
      </c>
      <c r="W1594">
        <f t="shared" si="97"/>
        <v>1</v>
      </c>
      <c r="X1594">
        <f t="shared" si="98"/>
        <v>77.95</v>
      </c>
      <c r="Y1594" t="str">
        <f t="shared" si="99"/>
        <v>Non-Senior</v>
      </c>
    </row>
    <row r="1595" spans="1:25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7082</v>
      </c>
      <c r="J1595" t="s">
        <v>7084</v>
      </c>
      <c r="K1595" t="s">
        <v>46</v>
      </c>
      <c r="L1595" t="s">
        <v>7084</v>
      </c>
      <c r="M1595" t="s">
        <v>7084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96"/>
        <v>0-12 Months</v>
      </c>
      <c r="W1595">
        <f t="shared" si="97"/>
        <v>0</v>
      </c>
      <c r="X1595">
        <f t="shared" si="98"/>
        <v>0</v>
      </c>
      <c r="Y1595" t="str">
        <f t="shared" si="99"/>
        <v>Non-Senior</v>
      </c>
    </row>
    <row r="1596" spans="1:25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7082</v>
      </c>
      <c r="J1596" t="s">
        <v>7084</v>
      </c>
      <c r="K1596" t="s">
        <v>46</v>
      </c>
      <c r="L1596" t="s">
        <v>7084</v>
      </c>
      <c r="M1596" t="s">
        <v>7084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96"/>
        <v>61-72 Months</v>
      </c>
      <c r="W1596">
        <f t="shared" si="97"/>
        <v>0</v>
      </c>
      <c r="X1596">
        <f t="shared" si="98"/>
        <v>0</v>
      </c>
      <c r="Y1596" t="str">
        <f t="shared" si="99"/>
        <v>Non-Senior</v>
      </c>
    </row>
    <row r="1597" spans="1:25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96"/>
        <v>0-12 Months</v>
      </c>
      <c r="W1597">
        <f t="shared" si="97"/>
        <v>1</v>
      </c>
      <c r="X1597">
        <f t="shared" si="98"/>
        <v>74.7</v>
      </c>
      <c r="Y1597" t="str">
        <f t="shared" si="99"/>
        <v>Senior Citizen</v>
      </c>
    </row>
    <row r="1598" spans="1:25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96"/>
        <v>0-12 Months</v>
      </c>
      <c r="W1598">
        <f t="shared" si="97"/>
        <v>0</v>
      </c>
      <c r="X1598">
        <f t="shared" si="98"/>
        <v>0</v>
      </c>
      <c r="Y1598" t="str">
        <f t="shared" si="99"/>
        <v>Non-Senior</v>
      </c>
    </row>
    <row r="1599" spans="1:25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96"/>
        <v>37-48 Months</v>
      </c>
      <c r="W1599">
        <f t="shared" si="97"/>
        <v>0</v>
      </c>
      <c r="X1599">
        <f t="shared" si="98"/>
        <v>0</v>
      </c>
      <c r="Y1599" t="str">
        <f t="shared" si="99"/>
        <v>Non-Senior</v>
      </c>
    </row>
    <row r="1600" spans="1:25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7082</v>
      </c>
      <c r="J1600" t="s">
        <v>7084</v>
      </c>
      <c r="K1600" t="s">
        <v>46</v>
      </c>
      <c r="L1600" t="s">
        <v>7084</v>
      </c>
      <c r="M1600" t="s">
        <v>7084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96"/>
        <v>25-36 Months</v>
      </c>
      <c r="W1600">
        <f t="shared" si="97"/>
        <v>0</v>
      </c>
      <c r="X1600">
        <f t="shared" si="98"/>
        <v>0</v>
      </c>
      <c r="Y1600" t="str">
        <f t="shared" si="99"/>
        <v>Non-Senior</v>
      </c>
    </row>
    <row r="1601" spans="1:25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96"/>
        <v>61-72 Months</v>
      </c>
      <c r="W1601">
        <f t="shared" si="97"/>
        <v>0</v>
      </c>
      <c r="X1601">
        <f t="shared" si="98"/>
        <v>0</v>
      </c>
      <c r="Y1601" t="str">
        <f t="shared" si="99"/>
        <v>Non-Senior</v>
      </c>
    </row>
    <row r="1602" spans="1:25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si="96"/>
        <v>0-12 Months</v>
      </c>
      <c r="W1602">
        <f t="shared" si="97"/>
        <v>1</v>
      </c>
      <c r="X1602">
        <f t="shared" si="98"/>
        <v>88.8</v>
      </c>
      <c r="Y1602" t="str">
        <f t="shared" si="99"/>
        <v>Senior Citizen</v>
      </c>
    </row>
    <row r="1603" spans="1:25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ref="V1603:V1666" si="100">IF(F1603&lt;=12,"0-12 Months",IF(F1603&lt;=24,"13-24 Months",IF(F1603&lt;=36,"25-36 Months",IF(F1603&lt;=48,"37-48 Months",IF(F1603&lt;=60,"49-60 Months","61-72 Months")))))</f>
        <v>37-48 Months</v>
      </c>
      <c r="W1603">
        <f t="shared" ref="W1603:W1666" si="101">IF(U1603="Yes",1,0)</f>
        <v>0</v>
      </c>
      <c r="X1603">
        <f t="shared" ref="X1603:X1666" si="102">IF(U1603="Yes",S1603,0)</f>
        <v>0</v>
      </c>
      <c r="Y1603" t="str">
        <f t="shared" ref="Y1603:Y1666" si="103">IF(C1603=1,"Senior Citizen","Non-Senior")</f>
        <v>Non-Senior</v>
      </c>
    </row>
    <row r="1604" spans="1:25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100"/>
        <v>25-36 Months</v>
      </c>
      <c r="W1604">
        <f t="shared" si="101"/>
        <v>1</v>
      </c>
      <c r="X1604">
        <f t="shared" si="102"/>
        <v>90.25</v>
      </c>
      <c r="Y1604" t="str">
        <f t="shared" si="103"/>
        <v>Non-Senior</v>
      </c>
    </row>
    <row r="1605" spans="1:25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100"/>
        <v>13-24 Months</v>
      </c>
      <c r="W1605">
        <f t="shared" si="101"/>
        <v>1</v>
      </c>
      <c r="X1605">
        <f t="shared" si="102"/>
        <v>64.650000000000006</v>
      </c>
      <c r="Y1605" t="str">
        <f t="shared" si="103"/>
        <v>Non-Senior</v>
      </c>
    </row>
    <row r="1606" spans="1:25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100"/>
        <v>61-72 Months</v>
      </c>
      <c r="W1606">
        <f t="shared" si="101"/>
        <v>0</v>
      </c>
      <c r="X1606">
        <f t="shared" si="102"/>
        <v>0</v>
      </c>
      <c r="Y1606" t="str">
        <f t="shared" si="103"/>
        <v>Non-Senior</v>
      </c>
    </row>
    <row r="1607" spans="1:25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7082</v>
      </c>
      <c r="J1607" t="s">
        <v>7084</v>
      </c>
      <c r="K1607" t="s">
        <v>46</v>
      </c>
      <c r="L1607" t="s">
        <v>7084</v>
      </c>
      <c r="M1607" t="s">
        <v>7084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100"/>
        <v>61-72 Months</v>
      </c>
      <c r="W1607">
        <f t="shared" si="101"/>
        <v>0</v>
      </c>
      <c r="X1607">
        <f t="shared" si="102"/>
        <v>0</v>
      </c>
      <c r="Y1607" t="str">
        <f t="shared" si="103"/>
        <v>Non-Senior</v>
      </c>
    </row>
    <row r="1608" spans="1:25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100"/>
        <v>61-72 Months</v>
      </c>
      <c r="W1608">
        <f t="shared" si="101"/>
        <v>0</v>
      </c>
      <c r="X1608">
        <f t="shared" si="102"/>
        <v>0</v>
      </c>
      <c r="Y1608" t="str">
        <f t="shared" si="103"/>
        <v>Senior Citizen</v>
      </c>
    </row>
    <row r="1609" spans="1:25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100"/>
        <v>13-24 Months</v>
      </c>
      <c r="W1609">
        <f t="shared" si="101"/>
        <v>1</v>
      </c>
      <c r="X1609">
        <f t="shared" si="102"/>
        <v>89.05</v>
      </c>
      <c r="Y1609" t="str">
        <f t="shared" si="103"/>
        <v>Senior Citizen</v>
      </c>
    </row>
    <row r="1610" spans="1:25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7082</v>
      </c>
      <c r="J1610" t="s">
        <v>7084</v>
      </c>
      <c r="K1610" t="s">
        <v>46</v>
      </c>
      <c r="L1610" t="s">
        <v>7084</v>
      </c>
      <c r="M1610" t="s">
        <v>7084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100"/>
        <v>13-24 Months</v>
      </c>
      <c r="W1610">
        <f t="shared" si="101"/>
        <v>0</v>
      </c>
      <c r="X1610">
        <f t="shared" si="102"/>
        <v>0</v>
      </c>
      <c r="Y1610" t="str">
        <f t="shared" si="103"/>
        <v>Non-Senior</v>
      </c>
    </row>
    <row r="1611" spans="1:25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100"/>
        <v>49-60 Months</v>
      </c>
      <c r="W1611">
        <f t="shared" si="101"/>
        <v>0</v>
      </c>
      <c r="X1611">
        <f t="shared" si="102"/>
        <v>0</v>
      </c>
      <c r="Y1611" t="str">
        <f t="shared" si="103"/>
        <v>Non-Senior</v>
      </c>
    </row>
    <row r="1612" spans="1:25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100"/>
        <v>49-60 Months</v>
      </c>
      <c r="W1612">
        <f t="shared" si="101"/>
        <v>0</v>
      </c>
      <c r="X1612">
        <f t="shared" si="102"/>
        <v>0</v>
      </c>
      <c r="Y1612" t="str">
        <f t="shared" si="103"/>
        <v>Non-Senior</v>
      </c>
    </row>
    <row r="1613" spans="1:25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100"/>
        <v>61-72 Months</v>
      </c>
      <c r="W1613">
        <f t="shared" si="101"/>
        <v>0</v>
      </c>
      <c r="X1613">
        <f t="shared" si="102"/>
        <v>0</v>
      </c>
      <c r="Y1613" t="str">
        <f t="shared" si="103"/>
        <v>Non-Senior</v>
      </c>
    </row>
    <row r="1614" spans="1:25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100"/>
        <v>61-72 Months</v>
      </c>
      <c r="W1614">
        <f t="shared" si="101"/>
        <v>1</v>
      </c>
      <c r="X1614">
        <f t="shared" si="102"/>
        <v>87.4</v>
      </c>
      <c r="Y1614" t="str">
        <f t="shared" si="103"/>
        <v>Non-Senior</v>
      </c>
    </row>
    <row r="1615" spans="1:25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7082</v>
      </c>
      <c r="J1615" t="s">
        <v>7084</v>
      </c>
      <c r="K1615" t="s">
        <v>46</v>
      </c>
      <c r="L1615" t="s">
        <v>7084</v>
      </c>
      <c r="M1615" t="s">
        <v>7084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100"/>
        <v>25-36 Months</v>
      </c>
      <c r="W1615">
        <f t="shared" si="101"/>
        <v>0</v>
      </c>
      <c r="X1615">
        <f t="shared" si="102"/>
        <v>0</v>
      </c>
      <c r="Y1615" t="str">
        <f t="shared" si="103"/>
        <v>Non-Senior</v>
      </c>
    </row>
    <row r="1616" spans="1:25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100"/>
        <v>61-72 Months</v>
      </c>
      <c r="W1616">
        <f t="shared" si="101"/>
        <v>0</v>
      </c>
      <c r="X1616">
        <f t="shared" si="102"/>
        <v>0</v>
      </c>
      <c r="Y1616" t="str">
        <f t="shared" si="103"/>
        <v>Non-Senior</v>
      </c>
    </row>
    <row r="1617" spans="1:25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7082</v>
      </c>
      <c r="J1617" t="s">
        <v>7084</v>
      </c>
      <c r="K1617" t="s">
        <v>46</v>
      </c>
      <c r="L1617" t="s">
        <v>7084</v>
      </c>
      <c r="M1617" t="s">
        <v>7084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100"/>
        <v>49-60 Months</v>
      </c>
      <c r="W1617">
        <f t="shared" si="101"/>
        <v>0</v>
      </c>
      <c r="X1617">
        <f t="shared" si="102"/>
        <v>0</v>
      </c>
      <c r="Y1617" t="str">
        <f t="shared" si="103"/>
        <v>Non-Senior</v>
      </c>
    </row>
    <row r="1618" spans="1:25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7082</v>
      </c>
      <c r="J1618" t="s">
        <v>7084</v>
      </c>
      <c r="K1618" t="s">
        <v>46</v>
      </c>
      <c r="L1618" t="s">
        <v>7084</v>
      </c>
      <c r="M1618" t="s">
        <v>7084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100"/>
        <v>49-60 Months</v>
      </c>
      <c r="W1618">
        <f t="shared" si="101"/>
        <v>0</v>
      </c>
      <c r="X1618">
        <f t="shared" si="102"/>
        <v>0</v>
      </c>
      <c r="Y1618" t="str">
        <f t="shared" si="103"/>
        <v>Non-Senior</v>
      </c>
    </row>
    <row r="1619" spans="1:25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100"/>
        <v>25-36 Months</v>
      </c>
      <c r="W1619">
        <f t="shared" si="101"/>
        <v>0</v>
      </c>
      <c r="X1619">
        <f t="shared" si="102"/>
        <v>0</v>
      </c>
      <c r="Y1619" t="str">
        <f t="shared" si="103"/>
        <v>Non-Senior</v>
      </c>
    </row>
    <row r="1620" spans="1:25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100"/>
        <v>13-24 Months</v>
      </c>
      <c r="W1620">
        <f t="shared" si="101"/>
        <v>1</v>
      </c>
      <c r="X1620">
        <f t="shared" si="102"/>
        <v>94.75</v>
      </c>
      <c r="Y1620" t="str">
        <f t="shared" si="103"/>
        <v>Senior Citizen</v>
      </c>
    </row>
    <row r="1621" spans="1:25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100"/>
        <v>61-72 Months</v>
      </c>
      <c r="W1621">
        <f t="shared" si="101"/>
        <v>0</v>
      </c>
      <c r="X1621">
        <f t="shared" si="102"/>
        <v>0</v>
      </c>
      <c r="Y1621" t="str">
        <f t="shared" si="103"/>
        <v>Non-Senior</v>
      </c>
    </row>
    <row r="1622" spans="1:25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100"/>
        <v>0-12 Months</v>
      </c>
      <c r="W1622">
        <f t="shared" si="101"/>
        <v>0</v>
      </c>
      <c r="X1622">
        <f t="shared" si="102"/>
        <v>0</v>
      </c>
      <c r="Y1622" t="str">
        <f t="shared" si="103"/>
        <v>Non-Senior</v>
      </c>
    </row>
    <row r="1623" spans="1:25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100"/>
        <v>25-36 Months</v>
      </c>
      <c r="W1623">
        <f t="shared" si="101"/>
        <v>1</v>
      </c>
      <c r="X1623">
        <f t="shared" si="102"/>
        <v>86.45</v>
      </c>
      <c r="Y1623" t="str">
        <f t="shared" si="103"/>
        <v>Non-Senior</v>
      </c>
    </row>
    <row r="1624" spans="1:25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100"/>
        <v>37-48 Months</v>
      </c>
      <c r="W1624">
        <f t="shared" si="101"/>
        <v>0</v>
      </c>
      <c r="X1624">
        <f t="shared" si="102"/>
        <v>0</v>
      </c>
      <c r="Y1624" t="str">
        <f t="shared" si="103"/>
        <v>Non-Senior</v>
      </c>
    </row>
    <row r="1625" spans="1:25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100"/>
        <v>49-60 Months</v>
      </c>
      <c r="W1625">
        <f t="shared" si="101"/>
        <v>0</v>
      </c>
      <c r="X1625">
        <f t="shared" si="102"/>
        <v>0</v>
      </c>
      <c r="Y1625" t="str">
        <f t="shared" si="103"/>
        <v>Non-Senior</v>
      </c>
    </row>
    <row r="1626" spans="1:25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100"/>
        <v>49-60 Months</v>
      </c>
      <c r="W1626">
        <f t="shared" si="101"/>
        <v>1</v>
      </c>
      <c r="X1626">
        <f t="shared" si="102"/>
        <v>98.25</v>
      </c>
      <c r="Y1626" t="str">
        <f t="shared" si="103"/>
        <v>Non-Senior</v>
      </c>
    </row>
    <row r="1627" spans="1:25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100"/>
        <v>0-12 Months</v>
      </c>
      <c r="W1627">
        <f t="shared" si="101"/>
        <v>1</v>
      </c>
      <c r="X1627">
        <f t="shared" si="102"/>
        <v>75.75</v>
      </c>
      <c r="Y1627" t="str">
        <f t="shared" si="103"/>
        <v>Non-Senior</v>
      </c>
    </row>
    <row r="1628" spans="1:25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100"/>
        <v>13-24 Months</v>
      </c>
      <c r="W1628">
        <f t="shared" si="101"/>
        <v>0</v>
      </c>
      <c r="X1628">
        <f t="shared" si="102"/>
        <v>0</v>
      </c>
      <c r="Y1628" t="str">
        <f t="shared" si="103"/>
        <v>Non-Senior</v>
      </c>
    </row>
    <row r="1629" spans="1:25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100"/>
        <v>0-12 Months</v>
      </c>
      <c r="W1629">
        <f t="shared" si="101"/>
        <v>0</v>
      </c>
      <c r="X1629">
        <f t="shared" si="102"/>
        <v>0</v>
      </c>
      <c r="Y1629" t="str">
        <f t="shared" si="103"/>
        <v>Non-Senior</v>
      </c>
    </row>
    <row r="1630" spans="1:25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100"/>
        <v>25-36 Months</v>
      </c>
      <c r="W1630">
        <f t="shared" si="101"/>
        <v>0</v>
      </c>
      <c r="X1630">
        <f t="shared" si="102"/>
        <v>0</v>
      </c>
      <c r="Y1630" t="str">
        <f t="shared" si="103"/>
        <v>Senior Citizen</v>
      </c>
    </row>
    <row r="1631" spans="1:25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100"/>
        <v>61-72 Months</v>
      </c>
      <c r="W1631">
        <f t="shared" si="101"/>
        <v>0</v>
      </c>
      <c r="X1631">
        <f t="shared" si="102"/>
        <v>0</v>
      </c>
      <c r="Y1631" t="str">
        <f t="shared" si="103"/>
        <v>Non-Senior</v>
      </c>
    </row>
    <row r="1632" spans="1:25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100"/>
        <v>37-48 Months</v>
      </c>
      <c r="W1632">
        <f t="shared" si="101"/>
        <v>0</v>
      </c>
      <c r="X1632">
        <f t="shared" si="102"/>
        <v>0</v>
      </c>
      <c r="Y1632" t="str">
        <f t="shared" si="103"/>
        <v>Senior Citizen</v>
      </c>
    </row>
    <row r="1633" spans="1:25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100"/>
        <v>13-24 Months</v>
      </c>
      <c r="W1633">
        <f t="shared" si="101"/>
        <v>1</v>
      </c>
      <c r="X1633">
        <f t="shared" si="102"/>
        <v>85.35</v>
      </c>
      <c r="Y1633" t="str">
        <f t="shared" si="103"/>
        <v>Senior Citizen</v>
      </c>
    </row>
    <row r="1634" spans="1:25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100"/>
        <v>37-48 Months</v>
      </c>
      <c r="W1634">
        <f t="shared" si="101"/>
        <v>1</v>
      </c>
      <c r="X1634">
        <f t="shared" si="102"/>
        <v>106.1</v>
      </c>
      <c r="Y1634" t="str">
        <f t="shared" si="103"/>
        <v>Non-Senior</v>
      </c>
    </row>
    <row r="1635" spans="1:25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100"/>
        <v>0-12 Months</v>
      </c>
      <c r="W1635">
        <f t="shared" si="101"/>
        <v>0</v>
      </c>
      <c r="X1635">
        <f t="shared" si="102"/>
        <v>0</v>
      </c>
      <c r="Y1635" t="str">
        <f t="shared" si="103"/>
        <v>Non-Senior</v>
      </c>
    </row>
    <row r="1636" spans="1:25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100"/>
        <v>61-72 Months</v>
      </c>
      <c r="W1636">
        <f t="shared" si="101"/>
        <v>0</v>
      </c>
      <c r="X1636">
        <f t="shared" si="102"/>
        <v>0</v>
      </c>
      <c r="Y1636" t="str">
        <f t="shared" si="103"/>
        <v>Non-Senior</v>
      </c>
    </row>
    <row r="1637" spans="1:25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100"/>
        <v>0-12 Months</v>
      </c>
      <c r="W1637">
        <f t="shared" si="101"/>
        <v>0</v>
      </c>
      <c r="X1637">
        <f t="shared" si="102"/>
        <v>0</v>
      </c>
      <c r="Y1637" t="str">
        <f t="shared" si="103"/>
        <v>Non-Senior</v>
      </c>
    </row>
    <row r="1638" spans="1:25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7082</v>
      </c>
      <c r="J1638" t="s">
        <v>7084</v>
      </c>
      <c r="K1638" t="s">
        <v>46</v>
      </c>
      <c r="L1638" t="s">
        <v>7084</v>
      </c>
      <c r="M1638" t="s">
        <v>7084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100"/>
        <v>37-48 Months</v>
      </c>
      <c r="W1638">
        <f t="shared" si="101"/>
        <v>0</v>
      </c>
      <c r="X1638">
        <f t="shared" si="102"/>
        <v>0</v>
      </c>
      <c r="Y1638" t="str">
        <f t="shared" si="103"/>
        <v>Non-Senior</v>
      </c>
    </row>
    <row r="1639" spans="1:25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100"/>
        <v>61-72 Months</v>
      </c>
      <c r="W1639">
        <f t="shared" si="101"/>
        <v>0</v>
      </c>
      <c r="X1639">
        <f t="shared" si="102"/>
        <v>0</v>
      </c>
      <c r="Y1639" t="str">
        <f t="shared" si="103"/>
        <v>Non-Senior</v>
      </c>
    </row>
    <row r="1640" spans="1:25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100"/>
        <v>61-72 Months</v>
      </c>
      <c r="W1640">
        <f t="shared" si="101"/>
        <v>0</v>
      </c>
      <c r="X1640">
        <f t="shared" si="102"/>
        <v>0</v>
      </c>
      <c r="Y1640" t="str">
        <f t="shared" si="103"/>
        <v>Non-Senior</v>
      </c>
    </row>
    <row r="1641" spans="1:25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100"/>
        <v>13-24 Months</v>
      </c>
      <c r="W1641">
        <f t="shared" si="101"/>
        <v>1</v>
      </c>
      <c r="X1641">
        <f t="shared" si="102"/>
        <v>45.05</v>
      </c>
      <c r="Y1641" t="str">
        <f t="shared" si="103"/>
        <v>Senior Citizen</v>
      </c>
    </row>
    <row r="1642" spans="1:25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7082</v>
      </c>
      <c r="J1642" t="s">
        <v>7084</v>
      </c>
      <c r="K1642" t="s">
        <v>46</v>
      </c>
      <c r="L1642" t="s">
        <v>7084</v>
      </c>
      <c r="M1642" t="s">
        <v>7084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100"/>
        <v>0-12 Months</v>
      </c>
      <c r="W1642">
        <f t="shared" si="101"/>
        <v>0</v>
      </c>
      <c r="X1642">
        <f t="shared" si="102"/>
        <v>0</v>
      </c>
      <c r="Y1642" t="str">
        <f t="shared" si="103"/>
        <v>Non-Senior</v>
      </c>
    </row>
    <row r="1643" spans="1:25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100"/>
        <v>61-72 Months</v>
      </c>
      <c r="W1643">
        <f t="shared" si="101"/>
        <v>0</v>
      </c>
      <c r="X1643">
        <f t="shared" si="102"/>
        <v>0</v>
      </c>
      <c r="Y1643" t="str">
        <f t="shared" si="103"/>
        <v>Non-Senior</v>
      </c>
    </row>
    <row r="1644" spans="1:25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7082</v>
      </c>
      <c r="J1644" t="s">
        <v>7084</v>
      </c>
      <c r="K1644" t="s">
        <v>46</v>
      </c>
      <c r="L1644" t="s">
        <v>7084</v>
      </c>
      <c r="M1644" t="s">
        <v>7084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100"/>
        <v>25-36 Months</v>
      </c>
      <c r="W1644">
        <f t="shared" si="101"/>
        <v>0</v>
      </c>
      <c r="X1644">
        <f t="shared" si="102"/>
        <v>0</v>
      </c>
      <c r="Y1644" t="str">
        <f t="shared" si="103"/>
        <v>Non-Senior</v>
      </c>
    </row>
    <row r="1645" spans="1:25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100"/>
        <v>37-48 Months</v>
      </c>
      <c r="W1645">
        <f t="shared" si="101"/>
        <v>0</v>
      </c>
      <c r="X1645">
        <f t="shared" si="102"/>
        <v>0</v>
      </c>
      <c r="Y1645" t="str">
        <f t="shared" si="103"/>
        <v>Non-Senior</v>
      </c>
    </row>
    <row r="1646" spans="1:25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100"/>
        <v>25-36 Months</v>
      </c>
      <c r="W1646">
        <f t="shared" si="101"/>
        <v>1</v>
      </c>
      <c r="X1646">
        <f t="shared" si="102"/>
        <v>109.8</v>
      </c>
      <c r="Y1646" t="str">
        <f t="shared" si="103"/>
        <v>Non-Senior</v>
      </c>
    </row>
    <row r="1647" spans="1:25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100"/>
        <v>37-48 Months</v>
      </c>
      <c r="W1647">
        <f t="shared" si="101"/>
        <v>1</v>
      </c>
      <c r="X1647">
        <f t="shared" si="102"/>
        <v>84.65</v>
      </c>
      <c r="Y1647" t="str">
        <f t="shared" si="103"/>
        <v>Senior Citizen</v>
      </c>
    </row>
    <row r="1648" spans="1:25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100"/>
        <v>49-60 Months</v>
      </c>
      <c r="W1648">
        <f t="shared" si="101"/>
        <v>0</v>
      </c>
      <c r="X1648">
        <f t="shared" si="102"/>
        <v>0</v>
      </c>
      <c r="Y1648" t="str">
        <f t="shared" si="103"/>
        <v>Non-Senior</v>
      </c>
    </row>
    <row r="1649" spans="1:25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100"/>
        <v>0-12 Months</v>
      </c>
      <c r="W1649">
        <f t="shared" si="101"/>
        <v>1</v>
      </c>
      <c r="X1649">
        <f t="shared" si="102"/>
        <v>79.5</v>
      </c>
      <c r="Y1649" t="str">
        <f t="shared" si="103"/>
        <v>Non-Senior</v>
      </c>
    </row>
    <row r="1650" spans="1:25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100"/>
        <v>49-60 Months</v>
      </c>
      <c r="W1650">
        <f t="shared" si="101"/>
        <v>0</v>
      </c>
      <c r="X1650">
        <f t="shared" si="102"/>
        <v>0</v>
      </c>
      <c r="Y1650" t="str">
        <f t="shared" si="103"/>
        <v>Senior Citizen</v>
      </c>
    </row>
    <row r="1651" spans="1:25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100"/>
        <v>25-36 Months</v>
      </c>
      <c r="W1651">
        <f t="shared" si="101"/>
        <v>0</v>
      </c>
      <c r="X1651">
        <f t="shared" si="102"/>
        <v>0</v>
      </c>
      <c r="Y1651" t="str">
        <f t="shared" si="103"/>
        <v>Non-Senior</v>
      </c>
    </row>
    <row r="1652" spans="1:25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100"/>
        <v>0-12 Months</v>
      </c>
      <c r="W1652">
        <f t="shared" si="101"/>
        <v>1</v>
      </c>
      <c r="X1652">
        <f t="shared" si="102"/>
        <v>85.8</v>
      </c>
      <c r="Y1652" t="str">
        <f t="shared" si="103"/>
        <v>Non-Senior</v>
      </c>
    </row>
    <row r="1653" spans="1:25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100"/>
        <v>0-12 Months</v>
      </c>
      <c r="W1653">
        <f t="shared" si="101"/>
        <v>1</v>
      </c>
      <c r="X1653">
        <f t="shared" si="102"/>
        <v>79.099999999999994</v>
      </c>
      <c r="Y1653" t="str">
        <f t="shared" si="103"/>
        <v>Senior Citizen</v>
      </c>
    </row>
    <row r="1654" spans="1:25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100"/>
        <v>13-24 Months</v>
      </c>
      <c r="W1654">
        <f t="shared" si="101"/>
        <v>0</v>
      </c>
      <c r="X1654">
        <f t="shared" si="102"/>
        <v>0</v>
      </c>
      <c r="Y1654" t="str">
        <f t="shared" si="103"/>
        <v>Non-Senior</v>
      </c>
    </row>
    <row r="1655" spans="1:25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7082</v>
      </c>
      <c r="J1655" t="s">
        <v>7084</v>
      </c>
      <c r="K1655" t="s">
        <v>46</v>
      </c>
      <c r="L1655" t="s">
        <v>7084</v>
      </c>
      <c r="M1655" t="s">
        <v>7084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100"/>
        <v>49-60 Months</v>
      </c>
      <c r="W1655">
        <f t="shared" si="101"/>
        <v>0</v>
      </c>
      <c r="X1655">
        <f t="shared" si="102"/>
        <v>0</v>
      </c>
      <c r="Y1655" t="str">
        <f t="shared" si="103"/>
        <v>Non-Senior</v>
      </c>
    </row>
    <row r="1656" spans="1:25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7082</v>
      </c>
      <c r="J1656" t="s">
        <v>7084</v>
      </c>
      <c r="K1656" t="s">
        <v>46</v>
      </c>
      <c r="L1656" t="s">
        <v>7084</v>
      </c>
      <c r="M1656" t="s">
        <v>7084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100"/>
        <v>0-12 Months</v>
      </c>
      <c r="W1656">
        <f t="shared" si="101"/>
        <v>0</v>
      </c>
      <c r="X1656">
        <f t="shared" si="102"/>
        <v>0</v>
      </c>
      <c r="Y1656" t="str">
        <f t="shared" si="103"/>
        <v>Non-Senior</v>
      </c>
    </row>
    <row r="1657" spans="1:25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100"/>
        <v>0-12 Months</v>
      </c>
      <c r="W1657">
        <f t="shared" si="101"/>
        <v>1</v>
      </c>
      <c r="X1657">
        <f t="shared" si="102"/>
        <v>44.3</v>
      </c>
      <c r="Y1657" t="str">
        <f t="shared" si="103"/>
        <v>Non-Senior</v>
      </c>
    </row>
    <row r="1658" spans="1:25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100"/>
        <v>49-60 Months</v>
      </c>
      <c r="W1658">
        <f t="shared" si="101"/>
        <v>0</v>
      </c>
      <c r="X1658">
        <f t="shared" si="102"/>
        <v>0</v>
      </c>
      <c r="Y1658" t="str">
        <f t="shared" si="103"/>
        <v>Non-Senior</v>
      </c>
    </row>
    <row r="1659" spans="1:25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7082</v>
      </c>
      <c r="J1659" t="s">
        <v>7084</v>
      </c>
      <c r="K1659" t="s">
        <v>46</v>
      </c>
      <c r="L1659" t="s">
        <v>7084</v>
      </c>
      <c r="M1659" t="s">
        <v>7084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100"/>
        <v>25-36 Months</v>
      </c>
      <c r="W1659">
        <f t="shared" si="101"/>
        <v>0</v>
      </c>
      <c r="X1659">
        <f t="shared" si="102"/>
        <v>0</v>
      </c>
      <c r="Y1659" t="str">
        <f t="shared" si="103"/>
        <v>Non-Senior</v>
      </c>
    </row>
    <row r="1660" spans="1:25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100"/>
        <v>49-60 Months</v>
      </c>
      <c r="W1660">
        <f t="shared" si="101"/>
        <v>1</v>
      </c>
      <c r="X1660">
        <f t="shared" si="102"/>
        <v>105.95</v>
      </c>
      <c r="Y1660" t="str">
        <f t="shared" si="103"/>
        <v>Non-Senior</v>
      </c>
    </row>
    <row r="1661" spans="1:25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100"/>
        <v>61-72 Months</v>
      </c>
      <c r="W1661">
        <f t="shared" si="101"/>
        <v>0</v>
      </c>
      <c r="X1661">
        <f t="shared" si="102"/>
        <v>0</v>
      </c>
      <c r="Y1661" t="str">
        <f t="shared" si="103"/>
        <v>Non-Senior</v>
      </c>
    </row>
    <row r="1662" spans="1:25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7082</v>
      </c>
      <c r="J1662" t="s">
        <v>7084</v>
      </c>
      <c r="K1662" t="s">
        <v>46</v>
      </c>
      <c r="L1662" t="s">
        <v>7084</v>
      </c>
      <c r="M1662" t="s">
        <v>7084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100"/>
        <v>37-48 Months</v>
      </c>
      <c r="W1662">
        <f t="shared" si="101"/>
        <v>0</v>
      </c>
      <c r="X1662">
        <f t="shared" si="102"/>
        <v>0</v>
      </c>
      <c r="Y1662" t="str">
        <f t="shared" si="103"/>
        <v>Non-Senior</v>
      </c>
    </row>
    <row r="1663" spans="1:25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100"/>
        <v>61-72 Months</v>
      </c>
      <c r="W1663">
        <f t="shared" si="101"/>
        <v>0</v>
      </c>
      <c r="X1663">
        <f t="shared" si="102"/>
        <v>0</v>
      </c>
      <c r="Y1663" t="str">
        <f t="shared" si="103"/>
        <v>Senior Citizen</v>
      </c>
    </row>
    <row r="1664" spans="1:25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100"/>
        <v>0-12 Months</v>
      </c>
      <c r="W1664">
        <f t="shared" si="101"/>
        <v>1</v>
      </c>
      <c r="X1664">
        <f t="shared" si="102"/>
        <v>69.75</v>
      </c>
      <c r="Y1664" t="str">
        <f t="shared" si="103"/>
        <v>Non-Senior</v>
      </c>
    </row>
    <row r="1665" spans="1:25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100"/>
        <v>49-60 Months</v>
      </c>
      <c r="W1665">
        <f t="shared" si="101"/>
        <v>1</v>
      </c>
      <c r="X1665">
        <f t="shared" si="102"/>
        <v>94.65</v>
      </c>
      <c r="Y1665" t="str">
        <f t="shared" si="103"/>
        <v>Non-Senior</v>
      </c>
    </row>
    <row r="1666" spans="1:25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si="100"/>
        <v>37-48 Months</v>
      </c>
      <c r="W1666">
        <f t="shared" si="101"/>
        <v>1</v>
      </c>
      <c r="X1666">
        <f t="shared" si="102"/>
        <v>96.05</v>
      </c>
      <c r="Y1666" t="str">
        <f t="shared" si="103"/>
        <v>Non-Senior</v>
      </c>
    </row>
    <row r="1667" spans="1:25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ref="V1667:V1730" si="104">IF(F1667&lt;=12,"0-12 Months",IF(F1667&lt;=24,"13-24 Months",IF(F1667&lt;=36,"25-36 Months",IF(F1667&lt;=48,"37-48 Months",IF(F1667&lt;=60,"49-60 Months","61-72 Months")))))</f>
        <v>0-12 Months</v>
      </c>
      <c r="W1667">
        <f t="shared" ref="W1667:W1730" si="105">IF(U1667="Yes",1,0)</f>
        <v>0</v>
      </c>
      <c r="X1667">
        <f t="shared" ref="X1667:X1730" si="106">IF(U1667="Yes",S1667,0)</f>
        <v>0</v>
      </c>
      <c r="Y1667" t="str">
        <f t="shared" ref="Y1667:Y1730" si="107">IF(C1667=1,"Senior Citizen","Non-Senior")</f>
        <v>Non-Senior</v>
      </c>
    </row>
    <row r="1668" spans="1:25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7082</v>
      </c>
      <c r="J1668" t="s">
        <v>7084</v>
      </c>
      <c r="K1668" t="s">
        <v>46</v>
      </c>
      <c r="L1668" t="s">
        <v>7084</v>
      </c>
      <c r="M1668" t="s">
        <v>7084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104"/>
        <v>0-12 Months</v>
      </c>
      <c r="W1668">
        <f t="shared" si="105"/>
        <v>0</v>
      </c>
      <c r="X1668">
        <f t="shared" si="106"/>
        <v>0</v>
      </c>
      <c r="Y1668" t="str">
        <f t="shared" si="107"/>
        <v>Non-Senior</v>
      </c>
    </row>
    <row r="1669" spans="1:25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7082</v>
      </c>
      <c r="J1669" t="s">
        <v>7084</v>
      </c>
      <c r="K1669" t="s">
        <v>46</v>
      </c>
      <c r="L1669" t="s">
        <v>7084</v>
      </c>
      <c r="M1669" t="s">
        <v>7084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104"/>
        <v>13-24 Months</v>
      </c>
      <c r="W1669">
        <f t="shared" si="105"/>
        <v>0</v>
      </c>
      <c r="X1669">
        <f t="shared" si="106"/>
        <v>0</v>
      </c>
      <c r="Y1669" t="str">
        <f t="shared" si="107"/>
        <v>Non-Senior</v>
      </c>
    </row>
    <row r="1670" spans="1:25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104"/>
        <v>37-48 Months</v>
      </c>
      <c r="W1670">
        <f t="shared" si="105"/>
        <v>0</v>
      </c>
      <c r="X1670">
        <f t="shared" si="106"/>
        <v>0</v>
      </c>
      <c r="Y1670" t="str">
        <f t="shared" si="107"/>
        <v>Non-Senior</v>
      </c>
    </row>
    <row r="1671" spans="1:25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104"/>
        <v>0-12 Months</v>
      </c>
      <c r="W1671">
        <f t="shared" si="105"/>
        <v>0</v>
      </c>
      <c r="X1671">
        <f t="shared" si="106"/>
        <v>0</v>
      </c>
      <c r="Y1671" t="str">
        <f t="shared" si="107"/>
        <v>Non-Senior</v>
      </c>
    </row>
    <row r="1672" spans="1:25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104"/>
        <v>0-12 Months</v>
      </c>
      <c r="W1672">
        <f t="shared" si="105"/>
        <v>1</v>
      </c>
      <c r="X1672">
        <f t="shared" si="106"/>
        <v>50.15</v>
      </c>
      <c r="Y1672" t="str">
        <f t="shared" si="107"/>
        <v>Senior Citizen</v>
      </c>
    </row>
    <row r="1673" spans="1:25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104"/>
        <v>61-72 Months</v>
      </c>
      <c r="W1673">
        <f t="shared" si="105"/>
        <v>0</v>
      </c>
      <c r="X1673">
        <f t="shared" si="106"/>
        <v>0</v>
      </c>
      <c r="Y1673" t="str">
        <f t="shared" si="107"/>
        <v>Non-Senior</v>
      </c>
    </row>
    <row r="1674" spans="1:25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104"/>
        <v>61-72 Months</v>
      </c>
      <c r="W1674">
        <f t="shared" si="105"/>
        <v>0</v>
      </c>
      <c r="X1674">
        <f t="shared" si="106"/>
        <v>0</v>
      </c>
      <c r="Y1674" t="str">
        <f t="shared" si="107"/>
        <v>Non-Senior</v>
      </c>
    </row>
    <row r="1675" spans="1:25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104"/>
        <v>37-48 Months</v>
      </c>
      <c r="W1675">
        <f t="shared" si="105"/>
        <v>1</v>
      </c>
      <c r="X1675">
        <f t="shared" si="106"/>
        <v>113.6</v>
      </c>
      <c r="Y1675" t="str">
        <f t="shared" si="107"/>
        <v>Non-Senior</v>
      </c>
    </row>
    <row r="1676" spans="1:25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7082</v>
      </c>
      <c r="J1676" t="s">
        <v>7084</v>
      </c>
      <c r="K1676" t="s">
        <v>46</v>
      </c>
      <c r="L1676" t="s">
        <v>7084</v>
      </c>
      <c r="M1676" t="s">
        <v>7084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104"/>
        <v>13-24 Months</v>
      </c>
      <c r="W1676">
        <f t="shared" si="105"/>
        <v>0</v>
      </c>
      <c r="X1676">
        <f t="shared" si="106"/>
        <v>0</v>
      </c>
      <c r="Y1676" t="str">
        <f t="shared" si="107"/>
        <v>Non-Senior</v>
      </c>
    </row>
    <row r="1677" spans="1:25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104"/>
        <v>25-36 Months</v>
      </c>
      <c r="W1677">
        <f t="shared" si="105"/>
        <v>1</v>
      </c>
      <c r="X1677">
        <f t="shared" si="106"/>
        <v>78.900000000000006</v>
      </c>
      <c r="Y1677" t="str">
        <f t="shared" si="107"/>
        <v>Non-Senior</v>
      </c>
    </row>
    <row r="1678" spans="1:25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104"/>
        <v>0-12 Months</v>
      </c>
      <c r="W1678">
        <f t="shared" si="105"/>
        <v>0</v>
      </c>
      <c r="X1678">
        <f t="shared" si="106"/>
        <v>0</v>
      </c>
      <c r="Y1678" t="str">
        <f t="shared" si="107"/>
        <v>Non-Senior</v>
      </c>
    </row>
    <row r="1679" spans="1:25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7082</v>
      </c>
      <c r="J1679" t="s">
        <v>7084</v>
      </c>
      <c r="K1679" t="s">
        <v>46</v>
      </c>
      <c r="L1679" t="s">
        <v>7084</v>
      </c>
      <c r="M1679" t="s">
        <v>7084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104"/>
        <v>0-12 Months</v>
      </c>
      <c r="W1679">
        <f t="shared" si="105"/>
        <v>0</v>
      </c>
      <c r="X1679">
        <f t="shared" si="106"/>
        <v>0</v>
      </c>
      <c r="Y1679" t="str">
        <f t="shared" si="107"/>
        <v>Non-Senior</v>
      </c>
    </row>
    <row r="1680" spans="1:25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104"/>
        <v>61-72 Months</v>
      </c>
      <c r="W1680">
        <f t="shared" si="105"/>
        <v>0</v>
      </c>
      <c r="X1680">
        <f t="shared" si="106"/>
        <v>0</v>
      </c>
      <c r="Y1680" t="str">
        <f t="shared" si="107"/>
        <v>Senior Citizen</v>
      </c>
    </row>
    <row r="1681" spans="1:25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104"/>
        <v>0-12 Months</v>
      </c>
      <c r="W1681">
        <f t="shared" si="105"/>
        <v>0</v>
      </c>
      <c r="X1681">
        <f t="shared" si="106"/>
        <v>0</v>
      </c>
      <c r="Y1681" t="str">
        <f t="shared" si="107"/>
        <v>Senior Citizen</v>
      </c>
    </row>
    <row r="1682" spans="1:25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7082</v>
      </c>
      <c r="J1682" t="s">
        <v>7084</v>
      </c>
      <c r="K1682" t="s">
        <v>46</v>
      </c>
      <c r="L1682" t="s">
        <v>7084</v>
      </c>
      <c r="M1682" t="s">
        <v>7084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104"/>
        <v>49-60 Months</v>
      </c>
      <c r="W1682">
        <f t="shared" si="105"/>
        <v>0</v>
      </c>
      <c r="X1682">
        <f t="shared" si="106"/>
        <v>0</v>
      </c>
      <c r="Y1682" t="str">
        <f t="shared" si="107"/>
        <v>Non-Senior</v>
      </c>
    </row>
    <row r="1683" spans="1:25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7082</v>
      </c>
      <c r="J1683" t="s">
        <v>7084</v>
      </c>
      <c r="K1683" t="s">
        <v>46</v>
      </c>
      <c r="L1683" t="s">
        <v>7084</v>
      </c>
      <c r="M1683" t="s">
        <v>7084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104"/>
        <v>61-72 Months</v>
      </c>
      <c r="W1683">
        <f t="shared" si="105"/>
        <v>0</v>
      </c>
      <c r="X1683">
        <f t="shared" si="106"/>
        <v>0</v>
      </c>
      <c r="Y1683" t="str">
        <f t="shared" si="107"/>
        <v>Non-Senior</v>
      </c>
    </row>
    <row r="1684" spans="1:25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104"/>
        <v>61-72 Months</v>
      </c>
      <c r="W1684">
        <f t="shared" si="105"/>
        <v>0</v>
      </c>
      <c r="X1684">
        <f t="shared" si="106"/>
        <v>0</v>
      </c>
      <c r="Y1684" t="str">
        <f t="shared" si="107"/>
        <v>Non-Senior</v>
      </c>
    </row>
    <row r="1685" spans="1:25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7082</v>
      </c>
      <c r="J1685" t="s">
        <v>7084</v>
      </c>
      <c r="K1685" t="s">
        <v>46</v>
      </c>
      <c r="L1685" t="s">
        <v>7084</v>
      </c>
      <c r="M1685" t="s">
        <v>7084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104"/>
        <v>13-24 Months</v>
      </c>
      <c r="W1685">
        <f t="shared" si="105"/>
        <v>0</v>
      </c>
      <c r="X1685">
        <f t="shared" si="106"/>
        <v>0</v>
      </c>
      <c r="Y1685" t="str">
        <f t="shared" si="107"/>
        <v>Non-Senior</v>
      </c>
    </row>
    <row r="1686" spans="1:25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104"/>
        <v>25-36 Months</v>
      </c>
      <c r="W1686">
        <f t="shared" si="105"/>
        <v>0</v>
      </c>
      <c r="X1686">
        <f t="shared" si="106"/>
        <v>0</v>
      </c>
      <c r="Y1686" t="str">
        <f t="shared" si="107"/>
        <v>Non-Senior</v>
      </c>
    </row>
    <row r="1687" spans="1:25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104"/>
        <v>25-36 Months</v>
      </c>
      <c r="W1687">
        <f t="shared" si="105"/>
        <v>0</v>
      </c>
      <c r="X1687">
        <f t="shared" si="106"/>
        <v>0</v>
      </c>
      <c r="Y1687" t="str">
        <f t="shared" si="107"/>
        <v>Senior Citizen</v>
      </c>
    </row>
    <row r="1688" spans="1:25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104"/>
        <v>25-36 Months</v>
      </c>
      <c r="W1688">
        <f t="shared" si="105"/>
        <v>1</v>
      </c>
      <c r="X1688">
        <f t="shared" si="106"/>
        <v>60.05</v>
      </c>
      <c r="Y1688" t="str">
        <f t="shared" si="107"/>
        <v>Non-Senior</v>
      </c>
    </row>
    <row r="1689" spans="1:25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7082</v>
      </c>
      <c r="J1689" t="s">
        <v>7084</v>
      </c>
      <c r="K1689" t="s">
        <v>46</v>
      </c>
      <c r="L1689" t="s">
        <v>7084</v>
      </c>
      <c r="M1689" t="s">
        <v>7084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104"/>
        <v>0-12 Months</v>
      </c>
      <c r="W1689">
        <f t="shared" si="105"/>
        <v>0</v>
      </c>
      <c r="X1689">
        <f t="shared" si="106"/>
        <v>0</v>
      </c>
      <c r="Y1689" t="str">
        <f t="shared" si="107"/>
        <v>Non-Senior</v>
      </c>
    </row>
    <row r="1690" spans="1:25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7082</v>
      </c>
      <c r="J1690" t="s">
        <v>7084</v>
      </c>
      <c r="K1690" t="s">
        <v>46</v>
      </c>
      <c r="L1690" t="s">
        <v>7084</v>
      </c>
      <c r="M1690" t="s">
        <v>7084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104"/>
        <v>37-48 Months</v>
      </c>
      <c r="W1690">
        <f t="shared" si="105"/>
        <v>0</v>
      </c>
      <c r="X1690">
        <f t="shared" si="106"/>
        <v>0</v>
      </c>
      <c r="Y1690" t="str">
        <f t="shared" si="107"/>
        <v>Non-Senior</v>
      </c>
    </row>
    <row r="1691" spans="1:25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104"/>
        <v>0-12 Months</v>
      </c>
      <c r="W1691">
        <f t="shared" si="105"/>
        <v>0</v>
      </c>
      <c r="X1691">
        <f t="shared" si="106"/>
        <v>0</v>
      </c>
      <c r="Y1691" t="str">
        <f t="shared" si="107"/>
        <v>Non-Senior</v>
      </c>
    </row>
    <row r="1692" spans="1:25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104"/>
        <v>61-72 Months</v>
      </c>
      <c r="W1692">
        <f t="shared" si="105"/>
        <v>0</v>
      </c>
      <c r="X1692">
        <f t="shared" si="106"/>
        <v>0</v>
      </c>
      <c r="Y1692" t="str">
        <f t="shared" si="107"/>
        <v>Non-Senior</v>
      </c>
    </row>
    <row r="1693" spans="1:25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7082</v>
      </c>
      <c r="J1693" t="s">
        <v>7084</v>
      </c>
      <c r="K1693" t="s">
        <v>46</v>
      </c>
      <c r="L1693" t="s">
        <v>7084</v>
      </c>
      <c r="M1693" t="s">
        <v>7084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104"/>
        <v>49-60 Months</v>
      </c>
      <c r="W1693">
        <f t="shared" si="105"/>
        <v>0</v>
      </c>
      <c r="X1693">
        <f t="shared" si="106"/>
        <v>0</v>
      </c>
      <c r="Y1693" t="str">
        <f t="shared" si="107"/>
        <v>Non-Senior</v>
      </c>
    </row>
    <row r="1694" spans="1:25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104"/>
        <v>37-48 Months</v>
      </c>
      <c r="W1694">
        <f t="shared" si="105"/>
        <v>0</v>
      </c>
      <c r="X1694">
        <f t="shared" si="106"/>
        <v>0</v>
      </c>
      <c r="Y1694" t="str">
        <f t="shared" si="107"/>
        <v>Non-Senior</v>
      </c>
    </row>
    <row r="1695" spans="1:25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104"/>
        <v>61-72 Months</v>
      </c>
      <c r="W1695">
        <f t="shared" si="105"/>
        <v>0</v>
      </c>
      <c r="X1695">
        <f t="shared" si="106"/>
        <v>0</v>
      </c>
      <c r="Y1695" t="str">
        <f t="shared" si="107"/>
        <v>Non-Senior</v>
      </c>
    </row>
    <row r="1696" spans="1:25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104"/>
        <v>0-12 Months</v>
      </c>
      <c r="W1696">
        <f t="shared" si="105"/>
        <v>1</v>
      </c>
      <c r="X1696">
        <f t="shared" si="106"/>
        <v>34.700000000000003</v>
      </c>
      <c r="Y1696" t="str">
        <f t="shared" si="107"/>
        <v>Non-Senior</v>
      </c>
    </row>
    <row r="1697" spans="1:25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104"/>
        <v>49-60 Months</v>
      </c>
      <c r="W1697">
        <f t="shared" si="105"/>
        <v>0</v>
      </c>
      <c r="X1697">
        <f t="shared" si="106"/>
        <v>0</v>
      </c>
      <c r="Y1697" t="str">
        <f t="shared" si="107"/>
        <v>Non-Senior</v>
      </c>
    </row>
    <row r="1698" spans="1:25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104"/>
        <v>0-12 Months</v>
      </c>
      <c r="W1698">
        <f t="shared" si="105"/>
        <v>1</v>
      </c>
      <c r="X1698">
        <f t="shared" si="106"/>
        <v>85.3</v>
      </c>
      <c r="Y1698" t="str">
        <f t="shared" si="107"/>
        <v>Non-Senior</v>
      </c>
    </row>
    <row r="1699" spans="1:25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104"/>
        <v>61-72 Months</v>
      </c>
      <c r="W1699">
        <f t="shared" si="105"/>
        <v>0</v>
      </c>
      <c r="X1699">
        <f t="shared" si="106"/>
        <v>0</v>
      </c>
      <c r="Y1699" t="str">
        <f t="shared" si="107"/>
        <v>Non-Senior</v>
      </c>
    </row>
    <row r="1700" spans="1:25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104"/>
        <v>61-72 Months</v>
      </c>
      <c r="W1700">
        <f t="shared" si="105"/>
        <v>0</v>
      </c>
      <c r="X1700">
        <f t="shared" si="106"/>
        <v>0</v>
      </c>
      <c r="Y1700" t="str">
        <f t="shared" si="107"/>
        <v>Non-Senior</v>
      </c>
    </row>
    <row r="1701" spans="1:25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7082</v>
      </c>
      <c r="J1701" t="s">
        <v>7084</v>
      </c>
      <c r="K1701" t="s">
        <v>46</v>
      </c>
      <c r="L1701" t="s">
        <v>7084</v>
      </c>
      <c r="M1701" t="s">
        <v>7084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104"/>
        <v>37-48 Months</v>
      </c>
      <c r="W1701">
        <f t="shared" si="105"/>
        <v>0</v>
      </c>
      <c r="X1701">
        <f t="shared" si="106"/>
        <v>0</v>
      </c>
      <c r="Y1701" t="str">
        <f t="shared" si="107"/>
        <v>Non-Senior</v>
      </c>
    </row>
    <row r="1702" spans="1:25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7082</v>
      </c>
      <c r="J1702" t="s">
        <v>7084</v>
      </c>
      <c r="K1702" t="s">
        <v>46</v>
      </c>
      <c r="L1702" t="s">
        <v>7084</v>
      </c>
      <c r="M1702" t="s">
        <v>7084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104"/>
        <v>37-48 Months</v>
      </c>
      <c r="W1702">
        <f t="shared" si="105"/>
        <v>0</v>
      </c>
      <c r="X1702">
        <f t="shared" si="106"/>
        <v>0</v>
      </c>
      <c r="Y1702" t="str">
        <f t="shared" si="107"/>
        <v>Non-Senior</v>
      </c>
    </row>
    <row r="1703" spans="1:25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104"/>
        <v>61-72 Months</v>
      </c>
      <c r="W1703">
        <f t="shared" si="105"/>
        <v>1</v>
      </c>
      <c r="X1703">
        <f t="shared" si="106"/>
        <v>102.45</v>
      </c>
      <c r="Y1703" t="str">
        <f t="shared" si="107"/>
        <v>Non-Senior</v>
      </c>
    </row>
    <row r="1704" spans="1:25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104"/>
        <v>13-24 Months</v>
      </c>
      <c r="W1704">
        <f t="shared" si="105"/>
        <v>1</v>
      </c>
      <c r="X1704">
        <f t="shared" si="106"/>
        <v>104.4</v>
      </c>
      <c r="Y1704" t="str">
        <f t="shared" si="107"/>
        <v>Non-Senior</v>
      </c>
    </row>
    <row r="1705" spans="1:25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104"/>
        <v>0-12 Months</v>
      </c>
      <c r="W1705">
        <f t="shared" si="105"/>
        <v>0</v>
      </c>
      <c r="X1705">
        <f t="shared" si="106"/>
        <v>0</v>
      </c>
      <c r="Y1705" t="str">
        <f t="shared" si="107"/>
        <v>Non-Senior</v>
      </c>
    </row>
    <row r="1706" spans="1:25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104"/>
        <v>0-12 Months</v>
      </c>
      <c r="W1706">
        <f t="shared" si="105"/>
        <v>1</v>
      </c>
      <c r="X1706">
        <f t="shared" si="106"/>
        <v>99.75</v>
      </c>
      <c r="Y1706" t="str">
        <f t="shared" si="107"/>
        <v>Non-Senior</v>
      </c>
    </row>
    <row r="1707" spans="1:25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104"/>
        <v>49-60 Months</v>
      </c>
      <c r="W1707">
        <f t="shared" si="105"/>
        <v>0</v>
      </c>
      <c r="X1707">
        <f t="shared" si="106"/>
        <v>0</v>
      </c>
      <c r="Y1707" t="str">
        <f t="shared" si="107"/>
        <v>Senior Citizen</v>
      </c>
    </row>
    <row r="1708" spans="1:25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104"/>
        <v>61-72 Months</v>
      </c>
      <c r="W1708">
        <f t="shared" si="105"/>
        <v>0</v>
      </c>
      <c r="X1708">
        <f t="shared" si="106"/>
        <v>0</v>
      </c>
      <c r="Y1708" t="str">
        <f t="shared" si="107"/>
        <v>Non-Senior</v>
      </c>
    </row>
    <row r="1709" spans="1:25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104"/>
        <v>0-12 Months</v>
      </c>
      <c r="W1709">
        <f t="shared" si="105"/>
        <v>0</v>
      </c>
      <c r="X1709">
        <f t="shared" si="106"/>
        <v>0</v>
      </c>
      <c r="Y1709" t="str">
        <f t="shared" si="107"/>
        <v>Senior Citizen</v>
      </c>
    </row>
    <row r="1710" spans="1:25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104"/>
        <v>0-12 Months</v>
      </c>
      <c r="W1710">
        <f t="shared" si="105"/>
        <v>1</v>
      </c>
      <c r="X1710">
        <f t="shared" si="106"/>
        <v>74.400000000000006</v>
      </c>
      <c r="Y1710" t="str">
        <f t="shared" si="107"/>
        <v>Non-Senior</v>
      </c>
    </row>
    <row r="1711" spans="1:25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104"/>
        <v>25-36 Months</v>
      </c>
      <c r="W1711">
        <f t="shared" si="105"/>
        <v>0</v>
      </c>
      <c r="X1711">
        <f t="shared" si="106"/>
        <v>0</v>
      </c>
      <c r="Y1711" t="str">
        <f t="shared" si="107"/>
        <v>Senior Citizen</v>
      </c>
    </row>
    <row r="1712" spans="1:25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104"/>
        <v>0-12 Months</v>
      </c>
      <c r="W1712">
        <f t="shared" si="105"/>
        <v>0</v>
      </c>
      <c r="X1712">
        <f t="shared" si="106"/>
        <v>0</v>
      </c>
      <c r="Y1712" t="str">
        <f t="shared" si="107"/>
        <v>Non-Senior</v>
      </c>
    </row>
    <row r="1713" spans="1:25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7082</v>
      </c>
      <c r="J1713" t="s">
        <v>7084</v>
      </c>
      <c r="K1713" t="s">
        <v>46</v>
      </c>
      <c r="L1713" t="s">
        <v>7084</v>
      </c>
      <c r="M1713" t="s">
        <v>7084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104"/>
        <v>61-72 Months</v>
      </c>
      <c r="W1713">
        <f t="shared" si="105"/>
        <v>0</v>
      </c>
      <c r="X1713">
        <f t="shared" si="106"/>
        <v>0</v>
      </c>
      <c r="Y1713" t="str">
        <f t="shared" si="107"/>
        <v>Non-Senior</v>
      </c>
    </row>
    <row r="1714" spans="1:25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104"/>
        <v>25-36 Months</v>
      </c>
      <c r="W1714">
        <f t="shared" si="105"/>
        <v>0</v>
      </c>
      <c r="X1714">
        <f t="shared" si="106"/>
        <v>0</v>
      </c>
      <c r="Y1714" t="str">
        <f t="shared" si="107"/>
        <v>Non-Senior</v>
      </c>
    </row>
    <row r="1715" spans="1:25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104"/>
        <v>49-60 Months</v>
      </c>
      <c r="W1715">
        <f t="shared" si="105"/>
        <v>0</v>
      </c>
      <c r="X1715">
        <f t="shared" si="106"/>
        <v>0</v>
      </c>
      <c r="Y1715" t="str">
        <f t="shared" si="107"/>
        <v>Non-Senior</v>
      </c>
    </row>
    <row r="1716" spans="1:25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104"/>
        <v>61-72 Months</v>
      </c>
      <c r="W1716">
        <f t="shared" si="105"/>
        <v>0</v>
      </c>
      <c r="X1716">
        <f t="shared" si="106"/>
        <v>0</v>
      </c>
      <c r="Y1716" t="str">
        <f t="shared" si="107"/>
        <v>Non-Senior</v>
      </c>
    </row>
    <row r="1717" spans="1:25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7082</v>
      </c>
      <c r="J1717" t="s">
        <v>7084</v>
      </c>
      <c r="K1717" t="s">
        <v>46</v>
      </c>
      <c r="L1717" t="s">
        <v>7084</v>
      </c>
      <c r="M1717" t="s">
        <v>7084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104"/>
        <v>37-48 Months</v>
      </c>
      <c r="W1717">
        <f t="shared" si="105"/>
        <v>0</v>
      </c>
      <c r="X1717">
        <f t="shared" si="106"/>
        <v>0</v>
      </c>
      <c r="Y1717" t="str">
        <f t="shared" si="107"/>
        <v>Non-Senior</v>
      </c>
    </row>
    <row r="1718" spans="1:25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104"/>
        <v>0-12 Months</v>
      </c>
      <c r="W1718">
        <f t="shared" si="105"/>
        <v>0</v>
      </c>
      <c r="X1718">
        <f t="shared" si="106"/>
        <v>0</v>
      </c>
      <c r="Y1718" t="str">
        <f t="shared" si="107"/>
        <v>Non-Senior</v>
      </c>
    </row>
    <row r="1719" spans="1:25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7082</v>
      </c>
      <c r="J1719" t="s">
        <v>7084</v>
      </c>
      <c r="K1719" t="s">
        <v>46</v>
      </c>
      <c r="L1719" t="s">
        <v>7084</v>
      </c>
      <c r="M1719" t="s">
        <v>7084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104"/>
        <v>61-72 Months</v>
      </c>
      <c r="W1719">
        <f t="shared" si="105"/>
        <v>0</v>
      </c>
      <c r="X1719">
        <f t="shared" si="106"/>
        <v>0</v>
      </c>
      <c r="Y1719" t="str">
        <f t="shared" si="107"/>
        <v>Non-Senior</v>
      </c>
    </row>
    <row r="1720" spans="1:25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7082</v>
      </c>
      <c r="J1720" t="s">
        <v>7084</v>
      </c>
      <c r="K1720" t="s">
        <v>46</v>
      </c>
      <c r="L1720" t="s">
        <v>7084</v>
      </c>
      <c r="M1720" t="s">
        <v>7084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104"/>
        <v>13-24 Months</v>
      </c>
      <c r="W1720">
        <f t="shared" si="105"/>
        <v>0</v>
      </c>
      <c r="X1720">
        <f t="shared" si="106"/>
        <v>0</v>
      </c>
      <c r="Y1720" t="str">
        <f t="shared" si="107"/>
        <v>Non-Senior</v>
      </c>
    </row>
    <row r="1721" spans="1:25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104"/>
        <v>0-12 Months</v>
      </c>
      <c r="W1721">
        <f t="shared" si="105"/>
        <v>0</v>
      </c>
      <c r="X1721">
        <f t="shared" si="106"/>
        <v>0</v>
      </c>
      <c r="Y1721" t="str">
        <f t="shared" si="107"/>
        <v>Non-Senior</v>
      </c>
    </row>
    <row r="1722" spans="1:25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104"/>
        <v>0-12 Months</v>
      </c>
      <c r="W1722">
        <f t="shared" si="105"/>
        <v>0</v>
      </c>
      <c r="X1722">
        <f t="shared" si="106"/>
        <v>0</v>
      </c>
      <c r="Y1722" t="str">
        <f t="shared" si="107"/>
        <v>Senior Citizen</v>
      </c>
    </row>
    <row r="1723" spans="1:25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104"/>
        <v>0-12 Months</v>
      </c>
      <c r="W1723">
        <f t="shared" si="105"/>
        <v>1</v>
      </c>
      <c r="X1723">
        <f t="shared" si="106"/>
        <v>74.25</v>
      </c>
      <c r="Y1723" t="str">
        <f t="shared" si="107"/>
        <v>Non-Senior</v>
      </c>
    </row>
    <row r="1724" spans="1:25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104"/>
        <v>49-60 Months</v>
      </c>
      <c r="W1724">
        <f t="shared" si="105"/>
        <v>0</v>
      </c>
      <c r="X1724">
        <f t="shared" si="106"/>
        <v>0</v>
      </c>
      <c r="Y1724" t="str">
        <f t="shared" si="107"/>
        <v>Non-Senior</v>
      </c>
    </row>
    <row r="1725" spans="1:25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7082</v>
      </c>
      <c r="J1725" t="s">
        <v>7084</v>
      </c>
      <c r="K1725" t="s">
        <v>46</v>
      </c>
      <c r="L1725" t="s">
        <v>7084</v>
      </c>
      <c r="M1725" t="s">
        <v>7084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104"/>
        <v>0-12 Months</v>
      </c>
      <c r="W1725">
        <f t="shared" si="105"/>
        <v>0</v>
      </c>
      <c r="X1725">
        <f t="shared" si="106"/>
        <v>0</v>
      </c>
      <c r="Y1725" t="str">
        <f t="shared" si="107"/>
        <v>Non-Senior</v>
      </c>
    </row>
    <row r="1726" spans="1:25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104"/>
        <v>0-12 Months</v>
      </c>
      <c r="W1726">
        <f t="shared" si="105"/>
        <v>0</v>
      </c>
      <c r="X1726">
        <f t="shared" si="106"/>
        <v>0</v>
      </c>
      <c r="Y1726" t="str">
        <f t="shared" si="107"/>
        <v>Non-Senior</v>
      </c>
    </row>
    <row r="1727" spans="1:25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104"/>
        <v>13-24 Months</v>
      </c>
      <c r="W1727">
        <f t="shared" si="105"/>
        <v>0</v>
      </c>
      <c r="X1727">
        <f t="shared" si="106"/>
        <v>0</v>
      </c>
      <c r="Y1727" t="str">
        <f t="shared" si="107"/>
        <v>Senior Citizen</v>
      </c>
    </row>
    <row r="1728" spans="1:25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104"/>
        <v>25-36 Months</v>
      </c>
      <c r="W1728">
        <f t="shared" si="105"/>
        <v>0</v>
      </c>
      <c r="X1728">
        <f t="shared" si="106"/>
        <v>0</v>
      </c>
      <c r="Y1728" t="str">
        <f t="shared" si="107"/>
        <v>Non-Senior</v>
      </c>
    </row>
    <row r="1729" spans="1:25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104"/>
        <v>25-36 Months</v>
      </c>
      <c r="W1729">
        <f t="shared" si="105"/>
        <v>0</v>
      </c>
      <c r="X1729">
        <f t="shared" si="106"/>
        <v>0</v>
      </c>
      <c r="Y1729" t="str">
        <f t="shared" si="107"/>
        <v>Non-Senior</v>
      </c>
    </row>
    <row r="1730" spans="1:25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si="104"/>
        <v>37-48 Months</v>
      </c>
      <c r="W1730">
        <f t="shared" si="105"/>
        <v>0</v>
      </c>
      <c r="X1730">
        <f t="shared" si="106"/>
        <v>0</v>
      </c>
      <c r="Y1730" t="str">
        <f t="shared" si="107"/>
        <v>Non-Senior</v>
      </c>
    </row>
    <row r="1731" spans="1:25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ref="V1731:V1794" si="108">IF(F1731&lt;=12,"0-12 Months",IF(F1731&lt;=24,"13-24 Months",IF(F1731&lt;=36,"25-36 Months",IF(F1731&lt;=48,"37-48 Months",IF(F1731&lt;=60,"49-60 Months","61-72 Months")))))</f>
        <v>61-72 Months</v>
      </c>
      <c r="W1731">
        <f t="shared" ref="W1731:W1794" si="109">IF(U1731="Yes",1,0)</f>
        <v>0</v>
      </c>
      <c r="X1731">
        <f t="shared" ref="X1731:X1794" si="110">IF(U1731="Yes",S1731,0)</f>
        <v>0</v>
      </c>
      <c r="Y1731" t="str">
        <f t="shared" ref="Y1731:Y1794" si="111">IF(C1731=1,"Senior Citizen","Non-Senior")</f>
        <v>Non-Senior</v>
      </c>
    </row>
    <row r="1732" spans="1:25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108"/>
        <v>0-12 Months</v>
      </c>
      <c r="W1732">
        <f t="shared" si="109"/>
        <v>1</v>
      </c>
      <c r="X1732">
        <f t="shared" si="110"/>
        <v>59.85</v>
      </c>
      <c r="Y1732" t="str">
        <f t="shared" si="111"/>
        <v>Non-Senior</v>
      </c>
    </row>
    <row r="1733" spans="1:25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108"/>
        <v>0-12 Months</v>
      </c>
      <c r="W1733">
        <f t="shared" si="109"/>
        <v>1</v>
      </c>
      <c r="X1733">
        <f t="shared" si="110"/>
        <v>69.599999999999994</v>
      </c>
      <c r="Y1733" t="str">
        <f t="shared" si="111"/>
        <v>Senior Citizen</v>
      </c>
    </row>
    <row r="1734" spans="1:25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108"/>
        <v>61-72 Months</v>
      </c>
      <c r="W1734">
        <f t="shared" si="109"/>
        <v>0</v>
      </c>
      <c r="X1734">
        <f t="shared" si="110"/>
        <v>0</v>
      </c>
      <c r="Y1734" t="str">
        <f t="shared" si="111"/>
        <v>Senior Citizen</v>
      </c>
    </row>
    <row r="1735" spans="1:25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7082</v>
      </c>
      <c r="J1735" t="s">
        <v>7084</v>
      </c>
      <c r="K1735" t="s">
        <v>46</v>
      </c>
      <c r="L1735" t="s">
        <v>7084</v>
      </c>
      <c r="M1735" t="s">
        <v>7084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108"/>
        <v>0-12 Months</v>
      </c>
      <c r="W1735">
        <f t="shared" si="109"/>
        <v>0</v>
      </c>
      <c r="X1735">
        <f t="shared" si="110"/>
        <v>0</v>
      </c>
      <c r="Y1735" t="str">
        <f t="shared" si="111"/>
        <v>Non-Senior</v>
      </c>
    </row>
    <row r="1736" spans="1:25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108"/>
        <v>0-12 Months</v>
      </c>
      <c r="W1736">
        <f t="shared" si="109"/>
        <v>1</v>
      </c>
      <c r="X1736">
        <f t="shared" si="110"/>
        <v>45.4</v>
      </c>
      <c r="Y1736" t="str">
        <f t="shared" si="111"/>
        <v>Non-Senior</v>
      </c>
    </row>
    <row r="1737" spans="1:25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108"/>
        <v>61-72 Months</v>
      </c>
      <c r="W1737">
        <f t="shared" si="109"/>
        <v>0</v>
      </c>
      <c r="X1737">
        <f t="shared" si="110"/>
        <v>0</v>
      </c>
      <c r="Y1737" t="str">
        <f t="shared" si="111"/>
        <v>Non-Senior</v>
      </c>
    </row>
    <row r="1738" spans="1:25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7082</v>
      </c>
      <c r="J1738" t="s">
        <v>7084</v>
      </c>
      <c r="K1738" t="s">
        <v>46</v>
      </c>
      <c r="L1738" t="s">
        <v>7084</v>
      </c>
      <c r="M1738" t="s">
        <v>7084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108"/>
        <v>0-12 Months</v>
      </c>
      <c r="W1738">
        <f t="shared" si="109"/>
        <v>1</v>
      </c>
      <c r="X1738">
        <f t="shared" si="110"/>
        <v>19.5</v>
      </c>
      <c r="Y1738" t="str">
        <f t="shared" si="111"/>
        <v>Non-Senior</v>
      </c>
    </row>
    <row r="1739" spans="1:25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108"/>
        <v>0-12 Months</v>
      </c>
      <c r="W1739">
        <f t="shared" si="109"/>
        <v>0</v>
      </c>
      <c r="X1739">
        <f t="shared" si="110"/>
        <v>0</v>
      </c>
      <c r="Y1739" t="str">
        <f t="shared" si="111"/>
        <v>Non-Senior</v>
      </c>
    </row>
    <row r="1740" spans="1:25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108"/>
        <v>61-72 Months</v>
      </c>
      <c r="W1740">
        <f t="shared" si="109"/>
        <v>0</v>
      </c>
      <c r="X1740">
        <f t="shared" si="110"/>
        <v>0</v>
      </c>
      <c r="Y1740" t="str">
        <f t="shared" si="111"/>
        <v>Non-Senior</v>
      </c>
    </row>
    <row r="1741" spans="1:25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108"/>
        <v>0-12 Months</v>
      </c>
      <c r="W1741">
        <f t="shared" si="109"/>
        <v>1</v>
      </c>
      <c r="X1741">
        <f t="shared" si="110"/>
        <v>69.900000000000006</v>
      </c>
      <c r="Y1741" t="str">
        <f t="shared" si="111"/>
        <v>Non-Senior</v>
      </c>
    </row>
    <row r="1742" spans="1:25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7082</v>
      </c>
      <c r="J1742" t="s">
        <v>7084</v>
      </c>
      <c r="K1742" t="s">
        <v>46</v>
      </c>
      <c r="L1742" t="s">
        <v>7084</v>
      </c>
      <c r="M1742" t="s">
        <v>7084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108"/>
        <v>37-48 Months</v>
      </c>
      <c r="W1742">
        <f t="shared" si="109"/>
        <v>0</v>
      </c>
      <c r="X1742">
        <f t="shared" si="110"/>
        <v>0</v>
      </c>
      <c r="Y1742" t="str">
        <f t="shared" si="111"/>
        <v>Non-Senior</v>
      </c>
    </row>
    <row r="1743" spans="1:25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108"/>
        <v>13-24 Months</v>
      </c>
      <c r="W1743">
        <f t="shared" si="109"/>
        <v>0</v>
      </c>
      <c r="X1743">
        <f t="shared" si="110"/>
        <v>0</v>
      </c>
      <c r="Y1743" t="str">
        <f t="shared" si="111"/>
        <v>Non-Senior</v>
      </c>
    </row>
    <row r="1744" spans="1:25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108"/>
        <v>0-12 Months</v>
      </c>
      <c r="W1744">
        <f t="shared" si="109"/>
        <v>1</v>
      </c>
      <c r="X1744">
        <f t="shared" si="110"/>
        <v>87.15</v>
      </c>
      <c r="Y1744" t="str">
        <f t="shared" si="111"/>
        <v>Non-Senior</v>
      </c>
    </row>
    <row r="1745" spans="1:25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7082</v>
      </c>
      <c r="J1745" t="s">
        <v>7084</v>
      </c>
      <c r="K1745" t="s">
        <v>46</v>
      </c>
      <c r="L1745" t="s">
        <v>7084</v>
      </c>
      <c r="M1745" t="s">
        <v>7084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108"/>
        <v>61-72 Months</v>
      </c>
      <c r="W1745">
        <f t="shared" si="109"/>
        <v>0</v>
      </c>
      <c r="X1745">
        <f t="shared" si="110"/>
        <v>0</v>
      </c>
      <c r="Y1745" t="str">
        <f t="shared" si="111"/>
        <v>Non-Senior</v>
      </c>
    </row>
    <row r="1746" spans="1:25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108"/>
        <v>37-48 Months</v>
      </c>
      <c r="W1746">
        <f t="shared" si="109"/>
        <v>0</v>
      </c>
      <c r="X1746">
        <f t="shared" si="110"/>
        <v>0</v>
      </c>
      <c r="Y1746" t="str">
        <f t="shared" si="111"/>
        <v>Non-Senior</v>
      </c>
    </row>
    <row r="1747" spans="1:25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7082</v>
      </c>
      <c r="J1747" t="s">
        <v>7084</v>
      </c>
      <c r="K1747" t="s">
        <v>46</v>
      </c>
      <c r="L1747" t="s">
        <v>7084</v>
      </c>
      <c r="M1747" t="s">
        <v>7084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108"/>
        <v>49-60 Months</v>
      </c>
      <c r="W1747">
        <f t="shared" si="109"/>
        <v>0</v>
      </c>
      <c r="X1747">
        <f t="shared" si="110"/>
        <v>0</v>
      </c>
      <c r="Y1747" t="str">
        <f t="shared" si="111"/>
        <v>Non-Senior</v>
      </c>
    </row>
    <row r="1748" spans="1:25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108"/>
        <v>61-72 Months</v>
      </c>
      <c r="W1748">
        <f t="shared" si="109"/>
        <v>0</v>
      </c>
      <c r="X1748">
        <f t="shared" si="110"/>
        <v>0</v>
      </c>
      <c r="Y1748" t="str">
        <f t="shared" si="111"/>
        <v>Non-Senior</v>
      </c>
    </row>
    <row r="1749" spans="1:25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108"/>
        <v>0-12 Months</v>
      </c>
      <c r="W1749">
        <f t="shared" si="109"/>
        <v>1</v>
      </c>
      <c r="X1749">
        <f t="shared" si="110"/>
        <v>84.75</v>
      </c>
      <c r="Y1749" t="str">
        <f t="shared" si="111"/>
        <v>Non-Senior</v>
      </c>
    </row>
    <row r="1750" spans="1:25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7082</v>
      </c>
      <c r="J1750" t="s">
        <v>7084</v>
      </c>
      <c r="K1750" t="s">
        <v>46</v>
      </c>
      <c r="L1750" t="s">
        <v>7084</v>
      </c>
      <c r="M1750" t="s">
        <v>7084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108"/>
        <v>49-60 Months</v>
      </c>
      <c r="W1750">
        <f t="shared" si="109"/>
        <v>0</v>
      </c>
      <c r="X1750">
        <f t="shared" si="110"/>
        <v>0</v>
      </c>
      <c r="Y1750" t="str">
        <f t="shared" si="111"/>
        <v>Non-Senior</v>
      </c>
    </row>
    <row r="1751" spans="1:25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108"/>
        <v>49-60 Months</v>
      </c>
      <c r="W1751">
        <f t="shared" si="109"/>
        <v>0</v>
      </c>
      <c r="X1751">
        <f t="shared" si="110"/>
        <v>0</v>
      </c>
      <c r="Y1751" t="str">
        <f t="shared" si="111"/>
        <v>Senior Citizen</v>
      </c>
    </row>
    <row r="1752" spans="1:25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108"/>
        <v>49-60 Months</v>
      </c>
      <c r="W1752">
        <f t="shared" si="109"/>
        <v>0</v>
      </c>
      <c r="X1752">
        <f t="shared" si="110"/>
        <v>0</v>
      </c>
      <c r="Y1752" t="str">
        <f t="shared" si="111"/>
        <v>Non-Senior</v>
      </c>
    </row>
    <row r="1753" spans="1:25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108"/>
        <v>13-24 Months</v>
      </c>
      <c r="W1753">
        <f t="shared" si="109"/>
        <v>1</v>
      </c>
      <c r="X1753">
        <f t="shared" si="110"/>
        <v>89.95</v>
      </c>
      <c r="Y1753" t="str">
        <f t="shared" si="111"/>
        <v>Non-Senior</v>
      </c>
    </row>
    <row r="1754" spans="1:25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108"/>
        <v>25-36 Months</v>
      </c>
      <c r="W1754">
        <f t="shared" si="109"/>
        <v>0</v>
      </c>
      <c r="X1754">
        <f t="shared" si="110"/>
        <v>0</v>
      </c>
      <c r="Y1754" t="str">
        <f t="shared" si="111"/>
        <v>Non-Senior</v>
      </c>
    </row>
    <row r="1755" spans="1:25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108"/>
        <v>61-72 Months</v>
      </c>
      <c r="W1755">
        <f t="shared" si="109"/>
        <v>0</v>
      </c>
      <c r="X1755">
        <f t="shared" si="110"/>
        <v>0</v>
      </c>
      <c r="Y1755" t="str">
        <f t="shared" si="111"/>
        <v>Senior Citizen</v>
      </c>
    </row>
    <row r="1756" spans="1:25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108"/>
        <v>61-72 Months</v>
      </c>
      <c r="W1756">
        <f t="shared" si="109"/>
        <v>0</v>
      </c>
      <c r="X1756">
        <f t="shared" si="110"/>
        <v>0</v>
      </c>
      <c r="Y1756" t="str">
        <f t="shared" si="111"/>
        <v>Non-Senior</v>
      </c>
    </row>
    <row r="1757" spans="1:25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108"/>
        <v>0-12 Months</v>
      </c>
      <c r="W1757">
        <f t="shared" si="109"/>
        <v>0</v>
      </c>
      <c r="X1757">
        <f t="shared" si="110"/>
        <v>0</v>
      </c>
      <c r="Y1757" t="str">
        <f t="shared" si="111"/>
        <v>Non-Senior</v>
      </c>
    </row>
    <row r="1758" spans="1:25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108"/>
        <v>37-48 Months</v>
      </c>
      <c r="W1758">
        <f t="shared" si="109"/>
        <v>0</v>
      </c>
      <c r="X1758">
        <f t="shared" si="110"/>
        <v>0</v>
      </c>
      <c r="Y1758" t="str">
        <f t="shared" si="111"/>
        <v>Senior Citizen</v>
      </c>
    </row>
    <row r="1759" spans="1:25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108"/>
        <v>49-60 Months</v>
      </c>
      <c r="W1759">
        <f t="shared" si="109"/>
        <v>0</v>
      </c>
      <c r="X1759">
        <f t="shared" si="110"/>
        <v>0</v>
      </c>
      <c r="Y1759" t="str">
        <f t="shared" si="111"/>
        <v>Non-Senior</v>
      </c>
    </row>
    <row r="1760" spans="1:25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7082</v>
      </c>
      <c r="J1760" t="s">
        <v>7084</v>
      </c>
      <c r="K1760" t="s">
        <v>46</v>
      </c>
      <c r="L1760" t="s">
        <v>7084</v>
      </c>
      <c r="M1760" t="s">
        <v>7084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108"/>
        <v>61-72 Months</v>
      </c>
      <c r="W1760">
        <f t="shared" si="109"/>
        <v>0</v>
      </c>
      <c r="X1760">
        <f t="shared" si="110"/>
        <v>0</v>
      </c>
      <c r="Y1760" t="str">
        <f t="shared" si="111"/>
        <v>Non-Senior</v>
      </c>
    </row>
    <row r="1761" spans="1:25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7082</v>
      </c>
      <c r="J1761" t="s">
        <v>7084</v>
      </c>
      <c r="K1761" t="s">
        <v>46</v>
      </c>
      <c r="L1761" t="s">
        <v>7084</v>
      </c>
      <c r="M1761" t="s">
        <v>7084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108"/>
        <v>13-24 Months</v>
      </c>
      <c r="W1761">
        <f t="shared" si="109"/>
        <v>0</v>
      </c>
      <c r="X1761">
        <f t="shared" si="110"/>
        <v>0</v>
      </c>
      <c r="Y1761" t="str">
        <f t="shared" si="111"/>
        <v>Non-Senior</v>
      </c>
    </row>
    <row r="1762" spans="1:25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108"/>
        <v>49-60 Months</v>
      </c>
      <c r="W1762">
        <f t="shared" si="109"/>
        <v>0</v>
      </c>
      <c r="X1762">
        <f t="shared" si="110"/>
        <v>0</v>
      </c>
      <c r="Y1762" t="str">
        <f t="shared" si="111"/>
        <v>Non-Senior</v>
      </c>
    </row>
    <row r="1763" spans="1:25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7082</v>
      </c>
      <c r="J1763" t="s">
        <v>7084</v>
      </c>
      <c r="K1763" t="s">
        <v>46</v>
      </c>
      <c r="L1763" t="s">
        <v>7084</v>
      </c>
      <c r="M1763" t="s">
        <v>7084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108"/>
        <v>49-60 Months</v>
      </c>
      <c r="W1763">
        <f t="shared" si="109"/>
        <v>0</v>
      </c>
      <c r="X1763">
        <f t="shared" si="110"/>
        <v>0</v>
      </c>
      <c r="Y1763" t="str">
        <f t="shared" si="111"/>
        <v>Non-Senior</v>
      </c>
    </row>
    <row r="1764" spans="1:25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108"/>
        <v>25-36 Months</v>
      </c>
      <c r="W1764">
        <f t="shared" si="109"/>
        <v>0</v>
      </c>
      <c r="X1764">
        <f t="shared" si="110"/>
        <v>0</v>
      </c>
      <c r="Y1764" t="str">
        <f t="shared" si="111"/>
        <v>Non-Senior</v>
      </c>
    </row>
    <row r="1765" spans="1:25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108"/>
        <v>0-12 Months</v>
      </c>
      <c r="W1765">
        <f t="shared" si="109"/>
        <v>0</v>
      </c>
      <c r="X1765">
        <f t="shared" si="110"/>
        <v>0</v>
      </c>
      <c r="Y1765" t="str">
        <f t="shared" si="111"/>
        <v>Non-Senior</v>
      </c>
    </row>
    <row r="1766" spans="1:25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108"/>
        <v>61-72 Months</v>
      </c>
      <c r="W1766">
        <f t="shared" si="109"/>
        <v>0</v>
      </c>
      <c r="X1766">
        <f t="shared" si="110"/>
        <v>0</v>
      </c>
      <c r="Y1766" t="str">
        <f t="shared" si="111"/>
        <v>Non-Senior</v>
      </c>
    </row>
    <row r="1767" spans="1:25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108"/>
        <v>49-60 Months</v>
      </c>
      <c r="W1767">
        <f t="shared" si="109"/>
        <v>0</v>
      </c>
      <c r="X1767">
        <f t="shared" si="110"/>
        <v>0</v>
      </c>
      <c r="Y1767" t="str">
        <f t="shared" si="111"/>
        <v>Non-Senior</v>
      </c>
    </row>
    <row r="1768" spans="1:25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7082</v>
      </c>
      <c r="J1768" t="s">
        <v>7084</v>
      </c>
      <c r="K1768" t="s">
        <v>46</v>
      </c>
      <c r="L1768" t="s">
        <v>7084</v>
      </c>
      <c r="M1768" t="s">
        <v>7084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108"/>
        <v>25-36 Months</v>
      </c>
      <c r="W1768">
        <f t="shared" si="109"/>
        <v>0</v>
      </c>
      <c r="X1768">
        <f t="shared" si="110"/>
        <v>0</v>
      </c>
      <c r="Y1768" t="str">
        <f t="shared" si="111"/>
        <v>Non-Senior</v>
      </c>
    </row>
    <row r="1769" spans="1:25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108"/>
        <v>61-72 Months</v>
      </c>
      <c r="W1769">
        <f t="shared" si="109"/>
        <v>0</v>
      </c>
      <c r="X1769">
        <f t="shared" si="110"/>
        <v>0</v>
      </c>
      <c r="Y1769" t="str">
        <f t="shared" si="111"/>
        <v>Non-Senior</v>
      </c>
    </row>
    <row r="1770" spans="1:25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108"/>
        <v>61-72 Months</v>
      </c>
      <c r="W1770">
        <f t="shared" si="109"/>
        <v>0</v>
      </c>
      <c r="X1770">
        <f t="shared" si="110"/>
        <v>0</v>
      </c>
      <c r="Y1770" t="str">
        <f t="shared" si="111"/>
        <v>Non-Senior</v>
      </c>
    </row>
    <row r="1771" spans="1:25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108"/>
        <v>61-72 Months</v>
      </c>
      <c r="W1771">
        <f t="shared" si="109"/>
        <v>0</v>
      </c>
      <c r="X1771">
        <f t="shared" si="110"/>
        <v>0</v>
      </c>
      <c r="Y1771" t="str">
        <f t="shared" si="111"/>
        <v>Non-Senior</v>
      </c>
    </row>
    <row r="1772" spans="1:25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108"/>
        <v>37-48 Months</v>
      </c>
      <c r="W1772">
        <f t="shared" si="109"/>
        <v>1</v>
      </c>
      <c r="X1772">
        <f t="shared" si="110"/>
        <v>113.2</v>
      </c>
      <c r="Y1772" t="str">
        <f t="shared" si="111"/>
        <v>Senior Citizen</v>
      </c>
    </row>
    <row r="1773" spans="1:25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108"/>
        <v>13-24 Months</v>
      </c>
      <c r="W1773">
        <f t="shared" si="109"/>
        <v>1</v>
      </c>
      <c r="X1773">
        <f t="shared" si="110"/>
        <v>90.5</v>
      </c>
      <c r="Y1773" t="str">
        <f t="shared" si="111"/>
        <v>Senior Citizen</v>
      </c>
    </row>
    <row r="1774" spans="1:25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108"/>
        <v>0-12 Months</v>
      </c>
      <c r="W1774">
        <f t="shared" si="109"/>
        <v>1</v>
      </c>
      <c r="X1774">
        <f t="shared" si="110"/>
        <v>79</v>
      </c>
      <c r="Y1774" t="str">
        <f t="shared" si="111"/>
        <v>Non-Senior</v>
      </c>
    </row>
    <row r="1775" spans="1:25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7082</v>
      </c>
      <c r="J1775" t="s">
        <v>7084</v>
      </c>
      <c r="K1775" t="s">
        <v>46</v>
      </c>
      <c r="L1775" t="s">
        <v>7084</v>
      </c>
      <c r="M1775" t="s">
        <v>7084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108"/>
        <v>61-72 Months</v>
      </c>
      <c r="W1775">
        <f t="shared" si="109"/>
        <v>0</v>
      </c>
      <c r="X1775">
        <f t="shared" si="110"/>
        <v>0</v>
      </c>
      <c r="Y1775" t="str">
        <f t="shared" si="111"/>
        <v>Non-Senior</v>
      </c>
    </row>
    <row r="1776" spans="1:25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108"/>
        <v>0-12 Months</v>
      </c>
      <c r="W1776">
        <f t="shared" si="109"/>
        <v>0</v>
      </c>
      <c r="X1776">
        <f t="shared" si="110"/>
        <v>0</v>
      </c>
      <c r="Y1776" t="str">
        <f t="shared" si="111"/>
        <v>Non-Senior</v>
      </c>
    </row>
    <row r="1777" spans="1:25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108"/>
        <v>61-72 Months</v>
      </c>
      <c r="W1777">
        <f t="shared" si="109"/>
        <v>0</v>
      </c>
      <c r="X1777">
        <f t="shared" si="110"/>
        <v>0</v>
      </c>
      <c r="Y1777" t="str">
        <f t="shared" si="111"/>
        <v>Senior Citizen</v>
      </c>
    </row>
    <row r="1778" spans="1:25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7082</v>
      </c>
      <c r="J1778" t="s">
        <v>7084</v>
      </c>
      <c r="K1778" t="s">
        <v>46</v>
      </c>
      <c r="L1778" t="s">
        <v>7084</v>
      </c>
      <c r="M1778" t="s">
        <v>7084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108"/>
        <v>61-72 Months</v>
      </c>
      <c r="W1778">
        <f t="shared" si="109"/>
        <v>0</v>
      </c>
      <c r="X1778">
        <f t="shared" si="110"/>
        <v>0</v>
      </c>
      <c r="Y1778" t="str">
        <f t="shared" si="111"/>
        <v>Senior Citizen</v>
      </c>
    </row>
    <row r="1779" spans="1:25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108"/>
        <v>25-36 Months</v>
      </c>
      <c r="W1779">
        <f t="shared" si="109"/>
        <v>0</v>
      </c>
      <c r="X1779">
        <f t="shared" si="110"/>
        <v>0</v>
      </c>
      <c r="Y1779" t="str">
        <f t="shared" si="111"/>
        <v>Non-Senior</v>
      </c>
    </row>
    <row r="1780" spans="1:25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7082</v>
      </c>
      <c r="J1780" t="s">
        <v>7084</v>
      </c>
      <c r="K1780" t="s">
        <v>46</v>
      </c>
      <c r="L1780" t="s">
        <v>7084</v>
      </c>
      <c r="M1780" t="s">
        <v>7084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108"/>
        <v>61-72 Months</v>
      </c>
      <c r="W1780">
        <f t="shared" si="109"/>
        <v>0</v>
      </c>
      <c r="X1780">
        <f t="shared" si="110"/>
        <v>0</v>
      </c>
      <c r="Y1780" t="str">
        <f t="shared" si="111"/>
        <v>Non-Senior</v>
      </c>
    </row>
    <row r="1781" spans="1:25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108"/>
        <v>0-12 Months</v>
      </c>
      <c r="W1781">
        <f t="shared" si="109"/>
        <v>0</v>
      </c>
      <c r="X1781">
        <f t="shared" si="110"/>
        <v>0</v>
      </c>
      <c r="Y1781" t="str">
        <f t="shared" si="111"/>
        <v>Non-Senior</v>
      </c>
    </row>
    <row r="1782" spans="1:25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7082</v>
      </c>
      <c r="J1782" t="s">
        <v>7084</v>
      </c>
      <c r="K1782" t="s">
        <v>46</v>
      </c>
      <c r="L1782" t="s">
        <v>7084</v>
      </c>
      <c r="M1782" t="s">
        <v>7084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108"/>
        <v>13-24 Months</v>
      </c>
      <c r="W1782">
        <f t="shared" si="109"/>
        <v>1</v>
      </c>
      <c r="X1782">
        <f t="shared" si="110"/>
        <v>20.149999999999999</v>
      </c>
      <c r="Y1782" t="str">
        <f t="shared" si="111"/>
        <v>Non-Senior</v>
      </c>
    </row>
    <row r="1783" spans="1:25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108"/>
        <v>49-60 Months</v>
      </c>
      <c r="W1783">
        <f t="shared" si="109"/>
        <v>0</v>
      </c>
      <c r="X1783">
        <f t="shared" si="110"/>
        <v>0</v>
      </c>
      <c r="Y1783" t="str">
        <f t="shared" si="111"/>
        <v>Senior Citizen</v>
      </c>
    </row>
    <row r="1784" spans="1:25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108"/>
        <v>25-36 Months</v>
      </c>
      <c r="W1784">
        <f t="shared" si="109"/>
        <v>0</v>
      </c>
      <c r="X1784">
        <f t="shared" si="110"/>
        <v>0</v>
      </c>
      <c r="Y1784" t="str">
        <f t="shared" si="111"/>
        <v>Senior Citizen</v>
      </c>
    </row>
    <row r="1785" spans="1:25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108"/>
        <v>0-12 Months</v>
      </c>
      <c r="W1785">
        <f t="shared" si="109"/>
        <v>1</v>
      </c>
      <c r="X1785">
        <f t="shared" si="110"/>
        <v>71.650000000000006</v>
      </c>
      <c r="Y1785" t="str">
        <f t="shared" si="111"/>
        <v>Non-Senior</v>
      </c>
    </row>
    <row r="1786" spans="1:25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7082</v>
      </c>
      <c r="J1786" t="s">
        <v>7084</v>
      </c>
      <c r="K1786" t="s">
        <v>46</v>
      </c>
      <c r="L1786" t="s">
        <v>7084</v>
      </c>
      <c r="M1786" t="s">
        <v>7084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108"/>
        <v>0-12 Months</v>
      </c>
      <c r="W1786">
        <f t="shared" si="109"/>
        <v>1</v>
      </c>
      <c r="X1786">
        <f t="shared" si="110"/>
        <v>20.350000000000001</v>
      </c>
      <c r="Y1786" t="str">
        <f t="shared" si="111"/>
        <v>Non-Senior</v>
      </c>
    </row>
    <row r="1787" spans="1:25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108"/>
        <v>61-72 Months</v>
      </c>
      <c r="W1787">
        <f t="shared" si="109"/>
        <v>0</v>
      </c>
      <c r="X1787">
        <f t="shared" si="110"/>
        <v>0</v>
      </c>
      <c r="Y1787" t="str">
        <f t="shared" si="111"/>
        <v>Non-Senior</v>
      </c>
    </row>
    <row r="1788" spans="1:25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108"/>
        <v>37-48 Months</v>
      </c>
      <c r="W1788">
        <f t="shared" si="109"/>
        <v>1</v>
      </c>
      <c r="X1788">
        <f t="shared" si="110"/>
        <v>84.25</v>
      </c>
      <c r="Y1788" t="str">
        <f t="shared" si="111"/>
        <v>Non-Senior</v>
      </c>
    </row>
    <row r="1789" spans="1:25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108"/>
        <v>37-48 Months</v>
      </c>
      <c r="W1789">
        <f t="shared" si="109"/>
        <v>0</v>
      </c>
      <c r="X1789">
        <f t="shared" si="110"/>
        <v>0</v>
      </c>
      <c r="Y1789" t="str">
        <f t="shared" si="111"/>
        <v>Senior Citizen</v>
      </c>
    </row>
    <row r="1790" spans="1:25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7082</v>
      </c>
      <c r="J1790" t="s">
        <v>7084</v>
      </c>
      <c r="K1790" t="s">
        <v>46</v>
      </c>
      <c r="L1790" t="s">
        <v>7084</v>
      </c>
      <c r="M1790" t="s">
        <v>7084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108"/>
        <v>49-60 Months</v>
      </c>
      <c r="W1790">
        <f t="shared" si="109"/>
        <v>0</v>
      </c>
      <c r="X1790">
        <f t="shared" si="110"/>
        <v>0</v>
      </c>
      <c r="Y1790" t="str">
        <f t="shared" si="111"/>
        <v>Non-Senior</v>
      </c>
    </row>
    <row r="1791" spans="1:25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108"/>
        <v>49-60 Months</v>
      </c>
      <c r="W1791">
        <f t="shared" si="109"/>
        <v>0</v>
      </c>
      <c r="X1791">
        <f t="shared" si="110"/>
        <v>0</v>
      </c>
      <c r="Y1791" t="str">
        <f t="shared" si="111"/>
        <v>Non-Senior</v>
      </c>
    </row>
    <row r="1792" spans="1:25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108"/>
        <v>0-12 Months</v>
      </c>
      <c r="W1792">
        <f t="shared" si="109"/>
        <v>1</v>
      </c>
      <c r="X1792">
        <f t="shared" si="110"/>
        <v>78.099999999999994</v>
      </c>
      <c r="Y1792" t="str">
        <f t="shared" si="111"/>
        <v>Non-Senior</v>
      </c>
    </row>
    <row r="1793" spans="1:25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108"/>
        <v>37-48 Months</v>
      </c>
      <c r="W1793">
        <f t="shared" si="109"/>
        <v>0</v>
      </c>
      <c r="X1793">
        <f t="shared" si="110"/>
        <v>0</v>
      </c>
      <c r="Y1793" t="str">
        <f t="shared" si="111"/>
        <v>Non-Senior</v>
      </c>
    </row>
    <row r="1794" spans="1:25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si="108"/>
        <v>37-48 Months</v>
      </c>
      <c r="W1794">
        <f t="shared" si="109"/>
        <v>0</v>
      </c>
      <c r="X1794">
        <f t="shared" si="110"/>
        <v>0</v>
      </c>
      <c r="Y1794" t="str">
        <f t="shared" si="111"/>
        <v>Non-Senior</v>
      </c>
    </row>
    <row r="1795" spans="1:25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7082</v>
      </c>
      <c r="J1795" t="s">
        <v>7084</v>
      </c>
      <c r="K1795" t="s">
        <v>46</v>
      </c>
      <c r="L1795" t="s">
        <v>7084</v>
      </c>
      <c r="M1795" t="s">
        <v>7084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ref="V1795:V1858" si="112">IF(F1795&lt;=12,"0-12 Months",IF(F1795&lt;=24,"13-24 Months",IF(F1795&lt;=36,"25-36 Months",IF(F1795&lt;=48,"37-48 Months",IF(F1795&lt;=60,"49-60 Months","61-72 Months")))))</f>
        <v>61-72 Months</v>
      </c>
      <c r="W1795">
        <f t="shared" ref="W1795:W1858" si="113">IF(U1795="Yes",1,0)</f>
        <v>0</v>
      </c>
      <c r="X1795">
        <f t="shared" ref="X1795:X1858" si="114">IF(U1795="Yes",S1795,0)</f>
        <v>0</v>
      </c>
      <c r="Y1795" t="str">
        <f t="shared" ref="Y1795:Y1858" si="115">IF(C1795=1,"Senior Citizen","Non-Senior")</f>
        <v>Non-Senior</v>
      </c>
    </row>
    <row r="1796" spans="1:25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112"/>
        <v>61-72 Months</v>
      </c>
      <c r="W1796">
        <f t="shared" si="113"/>
        <v>0</v>
      </c>
      <c r="X1796">
        <f t="shared" si="114"/>
        <v>0</v>
      </c>
      <c r="Y1796" t="str">
        <f t="shared" si="115"/>
        <v>Non-Senior</v>
      </c>
    </row>
    <row r="1797" spans="1:25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112"/>
        <v>13-24 Months</v>
      </c>
      <c r="W1797">
        <f t="shared" si="113"/>
        <v>1</v>
      </c>
      <c r="X1797">
        <f t="shared" si="114"/>
        <v>89.65</v>
      </c>
      <c r="Y1797" t="str">
        <f t="shared" si="115"/>
        <v>Non-Senior</v>
      </c>
    </row>
    <row r="1798" spans="1:25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112"/>
        <v>13-24 Months</v>
      </c>
      <c r="W1798">
        <f t="shared" si="113"/>
        <v>0</v>
      </c>
      <c r="X1798">
        <f t="shared" si="114"/>
        <v>0</v>
      </c>
      <c r="Y1798" t="str">
        <f t="shared" si="115"/>
        <v>Non-Senior</v>
      </c>
    </row>
    <row r="1799" spans="1:25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7082</v>
      </c>
      <c r="J1799" t="s">
        <v>7084</v>
      </c>
      <c r="K1799" t="s">
        <v>46</v>
      </c>
      <c r="L1799" t="s">
        <v>7084</v>
      </c>
      <c r="M1799" t="s">
        <v>7084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112"/>
        <v>25-36 Months</v>
      </c>
      <c r="W1799">
        <f t="shared" si="113"/>
        <v>0</v>
      </c>
      <c r="X1799">
        <f t="shared" si="114"/>
        <v>0</v>
      </c>
      <c r="Y1799" t="str">
        <f t="shared" si="115"/>
        <v>Non-Senior</v>
      </c>
    </row>
    <row r="1800" spans="1:25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7082</v>
      </c>
      <c r="J1800" t="s">
        <v>7084</v>
      </c>
      <c r="K1800" t="s">
        <v>46</v>
      </c>
      <c r="L1800" t="s">
        <v>7084</v>
      </c>
      <c r="M1800" t="s">
        <v>7084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112"/>
        <v>25-36 Months</v>
      </c>
      <c r="W1800">
        <f t="shared" si="113"/>
        <v>0</v>
      </c>
      <c r="X1800">
        <f t="shared" si="114"/>
        <v>0</v>
      </c>
      <c r="Y1800" t="str">
        <f t="shared" si="115"/>
        <v>Non-Senior</v>
      </c>
    </row>
    <row r="1801" spans="1:25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112"/>
        <v>0-12 Months</v>
      </c>
      <c r="W1801">
        <f t="shared" si="113"/>
        <v>1</v>
      </c>
      <c r="X1801">
        <f t="shared" si="114"/>
        <v>98.7</v>
      </c>
      <c r="Y1801" t="str">
        <f t="shared" si="115"/>
        <v>Non-Senior</v>
      </c>
    </row>
    <row r="1802" spans="1:25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112"/>
        <v>0-12 Months</v>
      </c>
      <c r="W1802">
        <f t="shared" si="113"/>
        <v>0</v>
      </c>
      <c r="X1802">
        <f t="shared" si="114"/>
        <v>0</v>
      </c>
      <c r="Y1802" t="str">
        <f t="shared" si="115"/>
        <v>Non-Senior</v>
      </c>
    </row>
    <row r="1803" spans="1:25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112"/>
        <v>13-24 Months</v>
      </c>
      <c r="W1803">
        <f t="shared" si="113"/>
        <v>0</v>
      </c>
      <c r="X1803">
        <f t="shared" si="114"/>
        <v>0</v>
      </c>
      <c r="Y1803" t="str">
        <f t="shared" si="115"/>
        <v>Non-Senior</v>
      </c>
    </row>
    <row r="1804" spans="1:25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112"/>
        <v>0-12 Months</v>
      </c>
      <c r="W1804">
        <f t="shared" si="113"/>
        <v>0</v>
      </c>
      <c r="X1804">
        <f t="shared" si="114"/>
        <v>0</v>
      </c>
      <c r="Y1804" t="str">
        <f t="shared" si="115"/>
        <v>Non-Senior</v>
      </c>
    </row>
    <row r="1805" spans="1:25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112"/>
        <v>25-36 Months</v>
      </c>
      <c r="W1805">
        <f t="shared" si="113"/>
        <v>0</v>
      </c>
      <c r="X1805">
        <f t="shared" si="114"/>
        <v>0</v>
      </c>
      <c r="Y1805" t="str">
        <f t="shared" si="115"/>
        <v>Non-Senior</v>
      </c>
    </row>
    <row r="1806" spans="1:25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7082</v>
      </c>
      <c r="J1806" t="s">
        <v>7084</v>
      </c>
      <c r="K1806" t="s">
        <v>46</v>
      </c>
      <c r="L1806" t="s">
        <v>7084</v>
      </c>
      <c r="M1806" t="s">
        <v>7084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112"/>
        <v>25-36 Months</v>
      </c>
      <c r="W1806">
        <f t="shared" si="113"/>
        <v>0</v>
      </c>
      <c r="X1806">
        <f t="shared" si="114"/>
        <v>0</v>
      </c>
      <c r="Y1806" t="str">
        <f t="shared" si="115"/>
        <v>Non-Senior</v>
      </c>
    </row>
    <row r="1807" spans="1:25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112"/>
        <v>61-72 Months</v>
      </c>
      <c r="W1807">
        <f t="shared" si="113"/>
        <v>0</v>
      </c>
      <c r="X1807">
        <f t="shared" si="114"/>
        <v>0</v>
      </c>
      <c r="Y1807" t="str">
        <f t="shared" si="115"/>
        <v>Non-Senior</v>
      </c>
    </row>
    <row r="1808" spans="1:25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7082</v>
      </c>
      <c r="J1808" t="s">
        <v>7084</v>
      </c>
      <c r="K1808" t="s">
        <v>46</v>
      </c>
      <c r="L1808" t="s">
        <v>7084</v>
      </c>
      <c r="M1808" t="s">
        <v>7084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112"/>
        <v>25-36 Months</v>
      </c>
      <c r="W1808">
        <f t="shared" si="113"/>
        <v>0</v>
      </c>
      <c r="X1808">
        <f t="shared" si="114"/>
        <v>0</v>
      </c>
      <c r="Y1808" t="str">
        <f t="shared" si="115"/>
        <v>Non-Senior</v>
      </c>
    </row>
    <row r="1809" spans="1:25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112"/>
        <v>0-12 Months</v>
      </c>
      <c r="W1809">
        <f t="shared" si="113"/>
        <v>1</v>
      </c>
      <c r="X1809">
        <f t="shared" si="114"/>
        <v>76.349999999999994</v>
      </c>
      <c r="Y1809" t="str">
        <f t="shared" si="115"/>
        <v>Non-Senior</v>
      </c>
    </row>
    <row r="1810" spans="1:25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112"/>
        <v>13-24 Months</v>
      </c>
      <c r="W1810">
        <f t="shared" si="113"/>
        <v>1</v>
      </c>
      <c r="X1810">
        <f t="shared" si="114"/>
        <v>79.150000000000006</v>
      </c>
      <c r="Y1810" t="str">
        <f t="shared" si="115"/>
        <v>Non-Senior</v>
      </c>
    </row>
    <row r="1811" spans="1:25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112"/>
        <v>25-36 Months</v>
      </c>
      <c r="W1811">
        <f t="shared" si="113"/>
        <v>1</v>
      </c>
      <c r="X1811">
        <f t="shared" si="114"/>
        <v>85</v>
      </c>
      <c r="Y1811" t="str">
        <f t="shared" si="115"/>
        <v>Senior Citizen</v>
      </c>
    </row>
    <row r="1812" spans="1:25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112"/>
        <v>61-72 Months</v>
      </c>
      <c r="W1812">
        <f t="shared" si="113"/>
        <v>0</v>
      </c>
      <c r="X1812">
        <f t="shared" si="114"/>
        <v>0</v>
      </c>
      <c r="Y1812" t="str">
        <f t="shared" si="115"/>
        <v>Non-Senior</v>
      </c>
    </row>
    <row r="1813" spans="1:25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112"/>
        <v>13-24 Months</v>
      </c>
      <c r="W1813">
        <f t="shared" si="113"/>
        <v>0</v>
      </c>
      <c r="X1813">
        <f t="shared" si="114"/>
        <v>0</v>
      </c>
      <c r="Y1813" t="str">
        <f t="shared" si="115"/>
        <v>Senior Citizen</v>
      </c>
    </row>
    <row r="1814" spans="1:25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112"/>
        <v>13-24 Months</v>
      </c>
      <c r="W1814">
        <f t="shared" si="113"/>
        <v>0</v>
      </c>
      <c r="X1814">
        <f t="shared" si="114"/>
        <v>0</v>
      </c>
      <c r="Y1814" t="str">
        <f t="shared" si="115"/>
        <v>Non-Senior</v>
      </c>
    </row>
    <row r="1815" spans="1:25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112"/>
        <v>0-12 Months</v>
      </c>
      <c r="W1815">
        <f t="shared" si="113"/>
        <v>0</v>
      </c>
      <c r="X1815">
        <f t="shared" si="114"/>
        <v>0</v>
      </c>
      <c r="Y1815" t="str">
        <f t="shared" si="115"/>
        <v>Non-Senior</v>
      </c>
    </row>
    <row r="1816" spans="1:25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7082</v>
      </c>
      <c r="J1816" t="s">
        <v>7084</v>
      </c>
      <c r="K1816" t="s">
        <v>46</v>
      </c>
      <c r="L1816" t="s">
        <v>7084</v>
      </c>
      <c r="M1816" t="s">
        <v>7084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112"/>
        <v>0-12 Months</v>
      </c>
      <c r="W1816">
        <f t="shared" si="113"/>
        <v>0</v>
      </c>
      <c r="X1816">
        <f t="shared" si="114"/>
        <v>0</v>
      </c>
      <c r="Y1816" t="str">
        <f t="shared" si="115"/>
        <v>Non-Senior</v>
      </c>
    </row>
    <row r="1817" spans="1:25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7082</v>
      </c>
      <c r="J1817" t="s">
        <v>7084</v>
      </c>
      <c r="K1817" t="s">
        <v>46</v>
      </c>
      <c r="L1817" t="s">
        <v>7084</v>
      </c>
      <c r="M1817" t="s">
        <v>7084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112"/>
        <v>61-72 Months</v>
      </c>
      <c r="W1817">
        <f t="shared" si="113"/>
        <v>0</v>
      </c>
      <c r="X1817">
        <f t="shared" si="114"/>
        <v>0</v>
      </c>
      <c r="Y1817" t="str">
        <f t="shared" si="115"/>
        <v>Non-Senior</v>
      </c>
    </row>
    <row r="1818" spans="1:25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7082</v>
      </c>
      <c r="J1818" t="s">
        <v>7084</v>
      </c>
      <c r="K1818" t="s">
        <v>46</v>
      </c>
      <c r="L1818" t="s">
        <v>7084</v>
      </c>
      <c r="M1818" t="s">
        <v>7084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112"/>
        <v>0-12 Months</v>
      </c>
      <c r="W1818">
        <f t="shared" si="113"/>
        <v>0</v>
      </c>
      <c r="X1818">
        <f t="shared" si="114"/>
        <v>0</v>
      </c>
      <c r="Y1818" t="str">
        <f t="shared" si="115"/>
        <v>Non-Senior</v>
      </c>
    </row>
    <row r="1819" spans="1:25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112"/>
        <v>61-72 Months</v>
      </c>
      <c r="W1819">
        <f t="shared" si="113"/>
        <v>0</v>
      </c>
      <c r="X1819">
        <f t="shared" si="114"/>
        <v>0</v>
      </c>
      <c r="Y1819" t="str">
        <f t="shared" si="115"/>
        <v>Senior Citizen</v>
      </c>
    </row>
    <row r="1820" spans="1:25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112"/>
        <v>49-60 Months</v>
      </c>
      <c r="W1820">
        <f t="shared" si="113"/>
        <v>0</v>
      </c>
      <c r="X1820">
        <f t="shared" si="114"/>
        <v>0</v>
      </c>
      <c r="Y1820" t="str">
        <f t="shared" si="115"/>
        <v>Non-Senior</v>
      </c>
    </row>
    <row r="1821" spans="1:25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112"/>
        <v>61-72 Months</v>
      </c>
      <c r="W1821">
        <f t="shared" si="113"/>
        <v>0</v>
      </c>
      <c r="X1821">
        <f t="shared" si="114"/>
        <v>0</v>
      </c>
      <c r="Y1821" t="str">
        <f t="shared" si="115"/>
        <v>Non-Senior</v>
      </c>
    </row>
    <row r="1822" spans="1:25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112"/>
        <v>0-12 Months</v>
      </c>
      <c r="W1822">
        <f t="shared" si="113"/>
        <v>0</v>
      </c>
      <c r="X1822">
        <f t="shared" si="114"/>
        <v>0</v>
      </c>
      <c r="Y1822" t="str">
        <f t="shared" si="115"/>
        <v>Non-Senior</v>
      </c>
    </row>
    <row r="1823" spans="1:25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112"/>
        <v>25-36 Months</v>
      </c>
      <c r="W1823">
        <f t="shared" si="113"/>
        <v>1</v>
      </c>
      <c r="X1823">
        <f t="shared" si="114"/>
        <v>85.3</v>
      </c>
      <c r="Y1823" t="str">
        <f t="shared" si="115"/>
        <v>Senior Citizen</v>
      </c>
    </row>
    <row r="1824" spans="1:25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112"/>
        <v>25-36 Months</v>
      </c>
      <c r="W1824">
        <f t="shared" si="113"/>
        <v>1</v>
      </c>
      <c r="X1824">
        <f t="shared" si="114"/>
        <v>86.55</v>
      </c>
      <c r="Y1824" t="str">
        <f t="shared" si="115"/>
        <v>Non-Senior</v>
      </c>
    </row>
    <row r="1825" spans="1:25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112"/>
        <v>13-24 Months</v>
      </c>
      <c r="W1825">
        <f t="shared" si="113"/>
        <v>1</v>
      </c>
      <c r="X1825">
        <f t="shared" si="114"/>
        <v>73.849999999999994</v>
      </c>
      <c r="Y1825" t="str">
        <f t="shared" si="115"/>
        <v>Non-Senior</v>
      </c>
    </row>
    <row r="1826" spans="1:25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7082</v>
      </c>
      <c r="J1826" t="s">
        <v>7084</v>
      </c>
      <c r="K1826" t="s">
        <v>46</v>
      </c>
      <c r="L1826" t="s">
        <v>7084</v>
      </c>
      <c r="M1826" t="s">
        <v>7084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112"/>
        <v>61-72 Months</v>
      </c>
      <c r="W1826">
        <f t="shared" si="113"/>
        <v>0</v>
      </c>
      <c r="X1826">
        <f t="shared" si="114"/>
        <v>0</v>
      </c>
      <c r="Y1826" t="str">
        <f t="shared" si="115"/>
        <v>Non-Senior</v>
      </c>
    </row>
    <row r="1827" spans="1:25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112"/>
        <v>25-36 Months</v>
      </c>
      <c r="W1827">
        <f t="shared" si="113"/>
        <v>0</v>
      </c>
      <c r="X1827">
        <f t="shared" si="114"/>
        <v>0</v>
      </c>
      <c r="Y1827" t="str">
        <f t="shared" si="115"/>
        <v>Non-Senior</v>
      </c>
    </row>
    <row r="1828" spans="1:25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112"/>
        <v>61-72 Months</v>
      </c>
      <c r="W1828">
        <f t="shared" si="113"/>
        <v>0</v>
      </c>
      <c r="X1828">
        <f t="shared" si="114"/>
        <v>0</v>
      </c>
      <c r="Y1828" t="str">
        <f t="shared" si="115"/>
        <v>Non-Senior</v>
      </c>
    </row>
    <row r="1829" spans="1:25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112"/>
        <v>37-48 Months</v>
      </c>
      <c r="W1829">
        <f t="shared" si="113"/>
        <v>0</v>
      </c>
      <c r="X1829">
        <f t="shared" si="114"/>
        <v>0</v>
      </c>
      <c r="Y1829" t="str">
        <f t="shared" si="115"/>
        <v>Non-Senior</v>
      </c>
    </row>
    <row r="1830" spans="1:25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7082</v>
      </c>
      <c r="J1830" t="s">
        <v>7084</v>
      </c>
      <c r="K1830" t="s">
        <v>46</v>
      </c>
      <c r="L1830" t="s">
        <v>7084</v>
      </c>
      <c r="M1830" t="s">
        <v>7084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112"/>
        <v>37-48 Months</v>
      </c>
      <c r="W1830">
        <f t="shared" si="113"/>
        <v>0</v>
      </c>
      <c r="X1830">
        <f t="shared" si="114"/>
        <v>0</v>
      </c>
      <c r="Y1830" t="str">
        <f t="shared" si="115"/>
        <v>Non-Senior</v>
      </c>
    </row>
    <row r="1831" spans="1:25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112"/>
        <v>0-12 Months</v>
      </c>
      <c r="W1831">
        <f t="shared" si="113"/>
        <v>0</v>
      </c>
      <c r="X1831">
        <f t="shared" si="114"/>
        <v>0</v>
      </c>
      <c r="Y1831" t="str">
        <f t="shared" si="115"/>
        <v>Non-Senior</v>
      </c>
    </row>
    <row r="1832" spans="1:25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7082</v>
      </c>
      <c r="J1832" t="s">
        <v>7084</v>
      </c>
      <c r="K1832" t="s">
        <v>46</v>
      </c>
      <c r="L1832" t="s">
        <v>7084</v>
      </c>
      <c r="M1832" t="s">
        <v>7084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112"/>
        <v>25-36 Months</v>
      </c>
      <c r="W1832">
        <f t="shared" si="113"/>
        <v>0</v>
      </c>
      <c r="X1832">
        <f t="shared" si="114"/>
        <v>0</v>
      </c>
      <c r="Y1832" t="str">
        <f t="shared" si="115"/>
        <v>Non-Senior</v>
      </c>
    </row>
    <row r="1833" spans="1:25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112"/>
        <v>13-24 Months</v>
      </c>
      <c r="W1833">
        <f t="shared" si="113"/>
        <v>0</v>
      </c>
      <c r="X1833">
        <f t="shared" si="114"/>
        <v>0</v>
      </c>
      <c r="Y1833" t="str">
        <f t="shared" si="115"/>
        <v>Senior Citizen</v>
      </c>
    </row>
    <row r="1834" spans="1:25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112"/>
        <v>49-60 Months</v>
      </c>
      <c r="W1834">
        <f t="shared" si="113"/>
        <v>1</v>
      </c>
      <c r="X1834">
        <f t="shared" si="114"/>
        <v>44.85</v>
      </c>
      <c r="Y1834" t="str">
        <f t="shared" si="115"/>
        <v>Senior Citizen</v>
      </c>
    </row>
    <row r="1835" spans="1:25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112"/>
        <v>0-12 Months</v>
      </c>
      <c r="W1835">
        <f t="shared" si="113"/>
        <v>0</v>
      </c>
      <c r="X1835">
        <f t="shared" si="114"/>
        <v>0</v>
      </c>
      <c r="Y1835" t="str">
        <f t="shared" si="115"/>
        <v>Non-Senior</v>
      </c>
    </row>
    <row r="1836" spans="1:25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112"/>
        <v>0-12 Months</v>
      </c>
      <c r="W1836">
        <f t="shared" si="113"/>
        <v>1</v>
      </c>
      <c r="X1836">
        <f t="shared" si="114"/>
        <v>45.1</v>
      </c>
      <c r="Y1836" t="str">
        <f t="shared" si="115"/>
        <v>Senior Citizen</v>
      </c>
    </row>
    <row r="1837" spans="1:25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112"/>
        <v>0-12 Months</v>
      </c>
      <c r="W1837">
        <f t="shared" si="113"/>
        <v>0</v>
      </c>
      <c r="X1837">
        <f t="shared" si="114"/>
        <v>0</v>
      </c>
      <c r="Y1837" t="str">
        <f t="shared" si="115"/>
        <v>Non-Senior</v>
      </c>
    </row>
    <row r="1838" spans="1:25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112"/>
        <v>13-24 Months</v>
      </c>
      <c r="W1838">
        <f t="shared" si="113"/>
        <v>1</v>
      </c>
      <c r="X1838">
        <f t="shared" si="114"/>
        <v>96</v>
      </c>
      <c r="Y1838" t="str">
        <f t="shared" si="115"/>
        <v>Non-Senior</v>
      </c>
    </row>
    <row r="1839" spans="1:25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7082</v>
      </c>
      <c r="J1839" t="s">
        <v>7084</v>
      </c>
      <c r="K1839" t="s">
        <v>46</v>
      </c>
      <c r="L1839" t="s">
        <v>7084</v>
      </c>
      <c r="M1839" t="s">
        <v>7084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112"/>
        <v>0-12 Months</v>
      </c>
      <c r="W1839">
        <f t="shared" si="113"/>
        <v>1</v>
      </c>
      <c r="X1839">
        <f t="shared" si="114"/>
        <v>20.05</v>
      </c>
      <c r="Y1839" t="str">
        <f t="shared" si="115"/>
        <v>Non-Senior</v>
      </c>
    </row>
    <row r="1840" spans="1:25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112"/>
        <v>49-60 Months</v>
      </c>
      <c r="W1840">
        <f t="shared" si="113"/>
        <v>0</v>
      </c>
      <c r="X1840">
        <f t="shared" si="114"/>
        <v>0</v>
      </c>
      <c r="Y1840" t="str">
        <f t="shared" si="115"/>
        <v>Senior Citizen</v>
      </c>
    </row>
    <row r="1841" spans="1:25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7082</v>
      </c>
      <c r="J1841" t="s">
        <v>7084</v>
      </c>
      <c r="K1841" t="s">
        <v>46</v>
      </c>
      <c r="L1841" t="s">
        <v>7084</v>
      </c>
      <c r="M1841" t="s">
        <v>7084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112"/>
        <v>0-12 Months</v>
      </c>
      <c r="W1841">
        <f t="shared" si="113"/>
        <v>0</v>
      </c>
      <c r="X1841">
        <f t="shared" si="114"/>
        <v>0</v>
      </c>
      <c r="Y1841" t="str">
        <f t="shared" si="115"/>
        <v>Non-Senior</v>
      </c>
    </row>
    <row r="1842" spans="1:25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112"/>
        <v>61-72 Months</v>
      </c>
      <c r="W1842">
        <f t="shared" si="113"/>
        <v>1</v>
      </c>
      <c r="X1842">
        <f t="shared" si="114"/>
        <v>108.65</v>
      </c>
      <c r="Y1842" t="str">
        <f t="shared" si="115"/>
        <v>Non-Senior</v>
      </c>
    </row>
    <row r="1843" spans="1:25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7082</v>
      </c>
      <c r="J1843" t="s">
        <v>7084</v>
      </c>
      <c r="K1843" t="s">
        <v>46</v>
      </c>
      <c r="L1843" t="s">
        <v>7084</v>
      </c>
      <c r="M1843" t="s">
        <v>7084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112"/>
        <v>49-60 Months</v>
      </c>
      <c r="W1843">
        <f t="shared" si="113"/>
        <v>0</v>
      </c>
      <c r="X1843">
        <f t="shared" si="114"/>
        <v>0</v>
      </c>
      <c r="Y1843" t="str">
        <f t="shared" si="115"/>
        <v>Non-Senior</v>
      </c>
    </row>
    <row r="1844" spans="1:25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112"/>
        <v>37-48 Months</v>
      </c>
      <c r="W1844">
        <f t="shared" si="113"/>
        <v>0</v>
      </c>
      <c r="X1844">
        <f t="shared" si="114"/>
        <v>0</v>
      </c>
      <c r="Y1844" t="str">
        <f t="shared" si="115"/>
        <v>Non-Senior</v>
      </c>
    </row>
    <row r="1845" spans="1:25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7082</v>
      </c>
      <c r="J1845" t="s">
        <v>7084</v>
      </c>
      <c r="K1845" t="s">
        <v>46</v>
      </c>
      <c r="L1845" t="s">
        <v>7084</v>
      </c>
      <c r="M1845" t="s">
        <v>7084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112"/>
        <v>61-72 Months</v>
      </c>
      <c r="W1845">
        <f t="shared" si="113"/>
        <v>0</v>
      </c>
      <c r="X1845">
        <f t="shared" si="114"/>
        <v>0</v>
      </c>
      <c r="Y1845" t="str">
        <f t="shared" si="115"/>
        <v>Non-Senior</v>
      </c>
    </row>
    <row r="1846" spans="1:25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112"/>
        <v>49-60 Months</v>
      </c>
      <c r="W1846">
        <f t="shared" si="113"/>
        <v>0</v>
      </c>
      <c r="X1846">
        <f t="shared" si="114"/>
        <v>0</v>
      </c>
      <c r="Y1846" t="str">
        <f t="shared" si="115"/>
        <v>Non-Senior</v>
      </c>
    </row>
    <row r="1847" spans="1:25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112"/>
        <v>61-72 Months</v>
      </c>
      <c r="W1847">
        <f t="shared" si="113"/>
        <v>0</v>
      </c>
      <c r="X1847">
        <f t="shared" si="114"/>
        <v>0</v>
      </c>
      <c r="Y1847" t="str">
        <f t="shared" si="115"/>
        <v>Non-Senior</v>
      </c>
    </row>
    <row r="1848" spans="1:25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7082</v>
      </c>
      <c r="J1848" t="s">
        <v>7084</v>
      </c>
      <c r="K1848" t="s">
        <v>46</v>
      </c>
      <c r="L1848" t="s">
        <v>7084</v>
      </c>
      <c r="M1848" t="s">
        <v>7084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112"/>
        <v>13-24 Months</v>
      </c>
      <c r="W1848">
        <f t="shared" si="113"/>
        <v>0</v>
      </c>
      <c r="X1848">
        <f t="shared" si="114"/>
        <v>0</v>
      </c>
      <c r="Y1848" t="str">
        <f t="shared" si="115"/>
        <v>Non-Senior</v>
      </c>
    </row>
    <row r="1849" spans="1:25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7082</v>
      </c>
      <c r="J1849" t="s">
        <v>7084</v>
      </c>
      <c r="K1849" t="s">
        <v>46</v>
      </c>
      <c r="L1849" t="s">
        <v>7084</v>
      </c>
      <c r="M1849" t="s">
        <v>7084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112"/>
        <v>49-60 Months</v>
      </c>
      <c r="W1849">
        <f t="shared" si="113"/>
        <v>0</v>
      </c>
      <c r="X1849">
        <f t="shared" si="114"/>
        <v>0</v>
      </c>
      <c r="Y1849" t="str">
        <f t="shared" si="115"/>
        <v>Non-Senior</v>
      </c>
    </row>
    <row r="1850" spans="1:25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7082</v>
      </c>
      <c r="J1850" t="s">
        <v>7084</v>
      </c>
      <c r="K1850" t="s">
        <v>46</v>
      </c>
      <c r="L1850" t="s">
        <v>7084</v>
      </c>
      <c r="M1850" t="s">
        <v>7084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112"/>
        <v>37-48 Months</v>
      </c>
      <c r="W1850">
        <f t="shared" si="113"/>
        <v>0</v>
      </c>
      <c r="X1850">
        <f t="shared" si="114"/>
        <v>0</v>
      </c>
      <c r="Y1850" t="str">
        <f t="shared" si="115"/>
        <v>Non-Senior</v>
      </c>
    </row>
    <row r="1851" spans="1:25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112"/>
        <v>0-12 Months</v>
      </c>
      <c r="W1851">
        <f t="shared" si="113"/>
        <v>1</v>
      </c>
      <c r="X1851">
        <f t="shared" si="114"/>
        <v>45.55</v>
      </c>
      <c r="Y1851" t="str">
        <f t="shared" si="115"/>
        <v>Non-Senior</v>
      </c>
    </row>
    <row r="1852" spans="1:25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112"/>
        <v>37-48 Months</v>
      </c>
      <c r="W1852">
        <f t="shared" si="113"/>
        <v>0</v>
      </c>
      <c r="X1852">
        <f t="shared" si="114"/>
        <v>0</v>
      </c>
      <c r="Y1852" t="str">
        <f t="shared" si="115"/>
        <v>Senior Citizen</v>
      </c>
    </row>
    <row r="1853" spans="1:25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112"/>
        <v>0-12 Months</v>
      </c>
      <c r="W1853">
        <f t="shared" si="113"/>
        <v>1</v>
      </c>
      <c r="X1853">
        <f t="shared" si="114"/>
        <v>35.1</v>
      </c>
      <c r="Y1853" t="str">
        <f t="shared" si="115"/>
        <v>Non-Senior</v>
      </c>
    </row>
    <row r="1854" spans="1:25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112"/>
        <v>0-12 Months</v>
      </c>
      <c r="W1854">
        <f t="shared" si="113"/>
        <v>1</v>
      </c>
      <c r="X1854">
        <f t="shared" si="114"/>
        <v>46.2</v>
      </c>
      <c r="Y1854" t="str">
        <f t="shared" si="115"/>
        <v>Non-Senior</v>
      </c>
    </row>
    <row r="1855" spans="1:25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112"/>
        <v>0-12 Months</v>
      </c>
      <c r="W1855">
        <f t="shared" si="113"/>
        <v>1</v>
      </c>
      <c r="X1855">
        <f t="shared" si="114"/>
        <v>45.15</v>
      </c>
      <c r="Y1855" t="str">
        <f t="shared" si="115"/>
        <v>Non-Senior</v>
      </c>
    </row>
    <row r="1856" spans="1:25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112"/>
        <v>0-12 Months</v>
      </c>
      <c r="W1856">
        <f t="shared" si="113"/>
        <v>1</v>
      </c>
      <c r="X1856">
        <f t="shared" si="114"/>
        <v>43.3</v>
      </c>
      <c r="Y1856" t="str">
        <f t="shared" si="115"/>
        <v>Senior Citizen</v>
      </c>
    </row>
    <row r="1857" spans="1:25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7082</v>
      </c>
      <c r="J1857" t="s">
        <v>7084</v>
      </c>
      <c r="K1857" t="s">
        <v>46</v>
      </c>
      <c r="L1857" t="s">
        <v>7084</v>
      </c>
      <c r="M1857" t="s">
        <v>7084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112"/>
        <v>37-48 Months</v>
      </c>
      <c r="W1857">
        <f t="shared" si="113"/>
        <v>0</v>
      </c>
      <c r="X1857">
        <f t="shared" si="114"/>
        <v>0</v>
      </c>
      <c r="Y1857" t="str">
        <f t="shared" si="115"/>
        <v>Non-Senior</v>
      </c>
    </row>
    <row r="1858" spans="1:25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si="112"/>
        <v>37-48 Months</v>
      </c>
      <c r="W1858">
        <f t="shared" si="113"/>
        <v>1</v>
      </c>
      <c r="X1858">
        <f t="shared" si="114"/>
        <v>57.15</v>
      </c>
      <c r="Y1858" t="str">
        <f t="shared" si="115"/>
        <v>Senior Citizen</v>
      </c>
    </row>
    <row r="1859" spans="1:25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ref="V1859:V1922" si="116">IF(F1859&lt;=12,"0-12 Months",IF(F1859&lt;=24,"13-24 Months",IF(F1859&lt;=36,"25-36 Months",IF(F1859&lt;=48,"37-48 Months",IF(F1859&lt;=60,"49-60 Months","61-72 Months")))))</f>
        <v>61-72 Months</v>
      </c>
      <c r="W1859">
        <f t="shared" ref="W1859:W1922" si="117">IF(U1859="Yes",1,0)</f>
        <v>0</v>
      </c>
      <c r="X1859">
        <f t="shared" ref="X1859:X1922" si="118">IF(U1859="Yes",S1859,0)</f>
        <v>0</v>
      </c>
      <c r="Y1859" t="str">
        <f t="shared" ref="Y1859:Y1922" si="119">IF(C1859=1,"Senior Citizen","Non-Senior")</f>
        <v>Non-Senior</v>
      </c>
    </row>
    <row r="1860" spans="1:25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116"/>
        <v>13-24 Months</v>
      </c>
      <c r="W1860">
        <f t="shared" si="117"/>
        <v>1</v>
      </c>
      <c r="X1860">
        <f t="shared" si="118"/>
        <v>73.2</v>
      </c>
      <c r="Y1860" t="str">
        <f t="shared" si="119"/>
        <v>Non-Senior</v>
      </c>
    </row>
    <row r="1861" spans="1:25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116"/>
        <v>49-60 Months</v>
      </c>
      <c r="W1861">
        <f t="shared" si="117"/>
        <v>1</v>
      </c>
      <c r="X1861">
        <f t="shared" si="118"/>
        <v>85.35</v>
      </c>
      <c r="Y1861" t="str">
        <f t="shared" si="119"/>
        <v>Non-Senior</v>
      </c>
    </row>
    <row r="1862" spans="1:25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7082</v>
      </c>
      <c r="J1862" t="s">
        <v>7084</v>
      </c>
      <c r="K1862" t="s">
        <v>46</v>
      </c>
      <c r="L1862" t="s">
        <v>7084</v>
      </c>
      <c r="M1862" t="s">
        <v>7084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116"/>
        <v>61-72 Months</v>
      </c>
      <c r="W1862">
        <f t="shared" si="117"/>
        <v>0</v>
      </c>
      <c r="X1862">
        <f t="shared" si="118"/>
        <v>0</v>
      </c>
      <c r="Y1862" t="str">
        <f t="shared" si="119"/>
        <v>Non-Senior</v>
      </c>
    </row>
    <row r="1863" spans="1:25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116"/>
        <v>0-12 Months</v>
      </c>
      <c r="W1863">
        <f t="shared" si="117"/>
        <v>1</v>
      </c>
      <c r="X1863">
        <f t="shared" si="118"/>
        <v>45.95</v>
      </c>
      <c r="Y1863" t="str">
        <f t="shared" si="119"/>
        <v>Non-Senior</v>
      </c>
    </row>
    <row r="1864" spans="1:25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116"/>
        <v>49-60 Months</v>
      </c>
      <c r="W1864">
        <f t="shared" si="117"/>
        <v>0</v>
      </c>
      <c r="X1864">
        <f t="shared" si="118"/>
        <v>0</v>
      </c>
      <c r="Y1864" t="str">
        <f t="shared" si="119"/>
        <v>Senior Citizen</v>
      </c>
    </row>
    <row r="1865" spans="1:25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7082</v>
      </c>
      <c r="J1865" t="s">
        <v>7084</v>
      </c>
      <c r="K1865" t="s">
        <v>46</v>
      </c>
      <c r="L1865" t="s">
        <v>7084</v>
      </c>
      <c r="M1865" t="s">
        <v>7084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116"/>
        <v>0-12 Months</v>
      </c>
      <c r="W1865">
        <f t="shared" si="117"/>
        <v>0</v>
      </c>
      <c r="X1865">
        <f t="shared" si="118"/>
        <v>0</v>
      </c>
      <c r="Y1865" t="str">
        <f t="shared" si="119"/>
        <v>Non-Senior</v>
      </c>
    </row>
    <row r="1866" spans="1:25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116"/>
        <v>25-36 Months</v>
      </c>
      <c r="W1866">
        <f t="shared" si="117"/>
        <v>0</v>
      </c>
      <c r="X1866">
        <f t="shared" si="118"/>
        <v>0</v>
      </c>
      <c r="Y1866" t="str">
        <f t="shared" si="119"/>
        <v>Senior Citizen</v>
      </c>
    </row>
    <row r="1867" spans="1:25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116"/>
        <v>37-48 Months</v>
      </c>
      <c r="W1867">
        <f t="shared" si="117"/>
        <v>0</v>
      </c>
      <c r="X1867">
        <f t="shared" si="118"/>
        <v>0</v>
      </c>
      <c r="Y1867" t="str">
        <f t="shared" si="119"/>
        <v>Senior Citizen</v>
      </c>
    </row>
    <row r="1868" spans="1:25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116"/>
        <v>61-72 Months</v>
      </c>
      <c r="W1868">
        <f t="shared" si="117"/>
        <v>0</v>
      </c>
      <c r="X1868">
        <f t="shared" si="118"/>
        <v>0</v>
      </c>
      <c r="Y1868" t="str">
        <f t="shared" si="119"/>
        <v>Non-Senior</v>
      </c>
    </row>
    <row r="1869" spans="1:25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116"/>
        <v>0-12 Months</v>
      </c>
      <c r="W1869">
        <f t="shared" si="117"/>
        <v>1</v>
      </c>
      <c r="X1869">
        <f t="shared" si="118"/>
        <v>83.75</v>
      </c>
      <c r="Y1869" t="str">
        <f t="shared" si="119"/>
        <v>Non-Senior</v>
      </c>
    </row>
    <row r="1870" spans="1:25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116"/>
        <v>0-12 Months</v>
      </c>
      <c r="W1870">
        <f t="shared" si="117"/>
        <v>0</v>
      </c>
      <c r="X1870">
        <f t="shared" si="118"/>
        <v>0</v>
      </c>
      <c r="Y1870" t="str">
        <f t="shared" si="119"/>
        <v>Non-Senior</v>
      </c>
    </row>
    <row r="1871" spans="1:25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7082</v>
      </c>
      <c r="J1871" t="s">
        <v>7084</v>
      </c>
      <c r="K1871" t="s">
        <v>46</v>
      </c>
      <c r="L1871" t="s">
        <v>7084</v>
      </c>
      <c r="M1871" t="s">
        <v>7084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116"/>
        <v>61-72 Months</v>
      </c>
      <c r="W1871">
        <f t="shared" si="117"/>
        <v>0</v>
      </c>
      <c r="X1871">
        <f t="shared" si="118"/>
        <v>0</v>
      </c>
      <c r="Y1871" t="str">
        <f t="shared" si="119"/>
        <v>Non-Senior</v>
      </c>
    </row>
    <row r="1872" spans="1:25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116"/>
        <v>0-12 Months</v>
      </c>
      <c r="W1872">
        <f t="shared" si="117"/>
        <v>0</v>
      </c>
      <c r="X1872">
        <f t="shared" si="118"/>
        <v>0</v>
      </c>
      <c r="Y1872" t="str">
        <f t="shared" si="119"/>
        <v>Non-Senior</v>
      </c>
    </row>
    <row r="1873" spans="1:25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116"/>
        <v>49-60 Months</v>
      </c>
      <c r="W1873">
        <f t="shared" si="117"/>
        <v>0</v>
      </c>
      <c r="X1873">
        <f t="shared" si="118"/>
        <v>0</v>
      </c>
      <c r="Y1873" t="str">
        <f t="shared" si="119"/>
        <v>Non-Senior</v>
      </c>
    </row>
    <row r="1874" spans="1:25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7082</v>
      </c>
      <c r="J1874" t="s">
        <v>7084</v>
      </c>
      <c r="K1874" t="s">
        <v>46</v>
      </c>
      <c r="L1874" t="s">
        <v>7084</v>
      </c>
      <c r="M1874" t="s">
        <v>7084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116"/>
        <v>37-48 Months</v>
      </c>
      <c r="W1874">
        <f t="shared" si="117"/>
        <v>0</v>
      </c>
      <c r="X1874">
        <f t="shared" si="118"/>
        <v>0</v>
      </c>
      <c r="Y1874" t="str">
        <f t="shared" si="119"/>
        <v>Non-Senior</v>
      </c>
    </row>
    <row r="1875" spans="1:25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116"/>
        <v>61-72 Months</v>
      </c>
      <c r="W1875">
        <f t="shared" si="117"/>
        <v>0</v>
      </c>
      <c r="X1875">
        <f t="shared" si="118"/>
        <v>0</v>
      </c>
      <c r="Y1875" t="str">
        <f t="shared" si="119"/>
        <v>Non-Senior</v>
      </c>
    </row>
    <row r="1876" spans="1:25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116"/>
        <v>37-48 Months</v>
      </c>
      <c r="W1876">
        <f t="shared" si="117"/>
        <v>0</v>
      </c>
      <c r="X1876">
        <f t="shared" si="118"/>
        <v>0</v>
      </c>
      <c r="Y1876" t="str">
        <f t="shared" si="119"/>
        <v>Non-Senior</v>
      </c>
    </row>
    <row r="1877" spans="1:25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116"/>
        <v>61-72 Months</v>
      </c>
      <c r="W1877">
        <f t="shared" si="117"/>
        <v>0</v>
      </c>
      <c r="X1877">
        <f t="shared" si="118"/>
        <v>0</v>
      </c>
      <c r="Y1877" t="str">
        <f t="shared" si="119"/>
        <v>Non-Senior</v>
      </c>
    </row>
    <row r="1878" spans="1:25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116"/>
        <v>37-48 Months</v>
      </c>
      <c r="W1878">
        <f t="shared" si="117"/>
        <v>0</v>
      </c>
      <c r="X1878">
        <f t="shared" si="118"/>
        <v>0</v>
      </c>
      <c r="Y1878" t="str">
        <f t="shared" si="119"/>
        <v>Non-Senior</v>
      </c>
    </row>
    <row r="1879" spans="1:25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116"/>
        <v>61-72 Months</v>
      </c>
      <c r="W1879">
        <f t="shared" si="117"/>
        <v>0</v>
      </c>
      <c r="X1879">
        <f t="shared" si="118"/>
        <v>0</v>
      </c>
      <c r="Y1879" t="str">
        <f t="shared" si="119"/>
        <v>Non-Senior</v>
      </c>
    </row>
    <row r="1880" spans="1:25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7082</v>
      </c>
      <c r="J1880" t="s">
        <v>7084</v>
      </c>
      <c r="K1880" t="s">
        <v>46</v>
      </c>
      <c r="L1880" t="s">
        <v>7084</v>
      </c>
      <c r="M1880" t="s">
        <v>7084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116"/>
        <v>0-12 Months</v>
      </c>
      <c r="W1880">
        <f t="shared" si="117"/>
        <v>0</v>
      </c>
      <c r="X1880">
        <f t="shared" si="118"/>
        <v>0</v>
      </c>
      <c r="Y1880" t="str">
        <f t="shared" si="119"/>
        <v>Non-Senior</v>
      </c>
    </row>
    <row r="1881" spans="1:25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116"/>
        <v>0-12 Months</v>
      </c>
      <c r="W1881">
        <f t="shared" si="117"/>
        <v>1</v>
      </c>
      <c r="X1881">
        <f t="shared" si="118"/>
        <v>70.05</v>
      </c>
      <c r="Y1881" t="str">
        <f t="shared" si="119"/>
        <v>Non-Senior</v>
      </c>
    </row>
    <row r="1882" spans="1:25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116"/>
        <v>0-12 Months</v>
      </c>
      <c r="W1882">
        <f t="shared" si="117"/>
        <v>1</v>
      </c>
      <c r="X1882">
        <f t="shared" si="118"/>
        <v>86</v>
      </c>
      <c r="Y1882" t="str">
        <f t="shared" si="119"/>
        <v>Non-Senior</v>
      </c>
    </row>
    <row r="1883" spans="1:25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116"/>
        <v>25-36 Months</v>
      </c>
      <c r="W1883">
        <f t="shared" si="117"/>
        <v>0</v>
      </c>
      <c r="X1883">
        <f t="shared" si="118"/>
        <v>0</v>
      </c>
      <c r="Y1883" t="str">
        <f t="shared" si="119"/>
        <v>Non-Senior</v>
      </c>
    </row>
    <row r="1884" spans="1:25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116"/>
        <v>25-36 Months</v>
      </c>
      <c r="W1884">
        <f t="shared" si="117"/>
        <v>0</v>
      </c>
      <c r="X1884">
        <f t="shared" si="118"/>
        <v>0</v>
      </c>
      <c r="Y1884" t="str">
        <f t="shared" si="119"/>
        <v>Non-Senior</v>
      </c>
    </row>
    <row r="1885" spans="1:25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116"/>
        <v>25-36 Months</v>
      </c>
      <c r="W1885">
        <f t="shared" si="117"/>
        <v>1</v>
      </c>
      <c r="X1885">
        <f t="shared" si="118"/>
        <v>100.5</v>
      </c>
      <c r="Y1885" t="str">
        <f t="shared" si="119"/>
        <v>Senior Citizen</v>
      </c>
    </row>
    <row r="1886" spans="1:25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116"/>
        <v>25-36 Months</v>
      </c>
      <c r="W1886">
        <f t="shared" si="117"/>
        <v>0</v>
      </c>
      <c r="X1886">
        <f t="shared" si="118"/>
        <v>0</v>
      </c>
      <c r="Y1886" t="str">
        <f t="shared" si="119"/>
        <v>Non-Senior</v>
      </c>
    </row>
    <row r="1887" spans="1:25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116"/>
        <v>13-24 Months</v>
      </c>
      <c r="W1887">
        <f t="shared" si="117"/>
        <v>0</v>
      </c>
      <c r="X1887">
        <f t="shared" si="118"/>
        <v>0</v>
      </c>
      <c r="Y1887" t="str">
        <f t="shared" si="119"/>
        <v>Non-Senior</v>
      </c>
    </row>
    <row r="1888" spans="1:25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116"/>
        <v>61-72 Months</v>
      </c>
      <c r="W1888">
        <f t="shared" si="117"/>
        <v>0</v>
      </c>
      <c r="X1888">
        <f t="shared" si="118"/>
        <v>0</v>
      </c>
      <c r="Y1888" t="str">
        <f t="shared" si="119"/>
        <v>Non-Senior</v>
      </c>
    </row>
    <row r="1889" spans="1:25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116"/>
        <v>13-24 Months</v>
      </c>
      <c r="W1889">
        <f t="shared" si="117"/>
        <v>1</v>
      </c>
      <c r="X1889">
        <f t="shared" si="118"/>
        <v>72.650000000000006</v>
      </c>
      <c r="Y1889" t="str">
        <f t="shared" si="119"/>
        <v>Non-Senior</v>
      </c>
    </row>
    <row r="1890" spans="1:25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116"/>
        <v>13-24 Months</v>
      </c>
      <c r="W1890">
        <f t="shared" si="117"/>
        <v>0</v>
      </c>
      <c r="X1890">
        <f t="shared" si="118"/>
        <v>0</v>
      </c>
      <c r="Y1890" t="str">
        <f t="shared" si="119"/>
        <v>Non-Senior</v>
      </c>
    </row>
    <row r="1891" spans="1:25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116"/>
        <v>13-24 Months</v>
      </c>
      <c r="W1891">
        <f t="shared" si="117"/>
        <v>0</v>
      </c>
      <c r="X1891">
        <f t="shared" si="118"/>
        <v>0</v>
      </c>
      <c r="Y1891" t="str">
        <f t="shared" si="119"/>
        <v>Non-Senior</v>
      </c>
    </row>
    <row r="1892" spans="1:25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7082</v>
      </c>
      <c r="J1892" t="s">
        <v>7084</v>
      </c>
      <c r="K1892" t="s">
        <v>46</v>
      </c>
      <c r="L1892" t="s">
        <v>7084</v>
      </c>
      <c r="M1892" t="s">
        <v>7084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116"/>
        <v>0-12 Months</v>
      </c>
      <c r="W1892">
        <f t="shared" si="117"/>
        <v>1</v>
      </c>
      <c r="X1892">
        <f t="shared" si="118"/>
        <v>21</v>
      </c>
      <c r="Y1892" t="str">
        <f t="shared" si="119"/>
        <v>Non-Senior</v>
      </c>
    </row>
    <row r="1893" spans="1:25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116"/>
        <v>0-12 Months</v>
      </c>
      <c r="W1893">
        <f t="shared" si="117"/>
        <v>1</v>
      </c>
      <c r="X1893">
        <f t="shared" si="118"/>
        <v>45.1</v>
      </c>
      <c r="Y1893" t="str">
        <f t="shared" si="119"/>
        <v>Senior Citizen</v>
      </c>
    </row>
    <row r="1894" spans="1:25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116"/>
        <v>0-12 Months</v>
      </c>
      <c r="W1894">
        <f t="shared" si="117"/>
        <v>0</v>
      </c>
      <c r="X1894">
        <f t="shared" si="118"/>
        <v>0</v>
      </c>
      <c r="Y1894" t="str">
        <f t="shared" si="119"/>
        <v>Senior Citizen</v>
      </c>
    </row>
    <row r="1895" spans="1:25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116"/>
        <v>13-24 Months</v>
      </c>
      <c r="W1895">
        <f t="shared" si="117"/>
        <v>0</v>
      </c>
      <c r="X1895">
        <f t="shared" si="118"/>
        <v>0</v>
      </c>
      <c r="Y1895" t="str">
        <f t="shared" si="119"/>
        <v>Non-Senior</v>
      </c>
    </row>
    <row r="1896" spans="1:25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116"/>
        <v>37-48 Months</v>
      </c>
      <c r="W1896">
        <f t="shared" si="117"/>
        <v>0</v>
      </c>
      <c r="X1896">
        <f t="shared" si="118"/>
        <v>0</v>
      </c>
      <c r="Y1896" t="str">
        <f t="shared" si="119"/>
        <v>Non-Senior</v>
      </c>
    </row>
    <row r="1897" spans="1:25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116"/>
        <v>61-72 Months</v>
      </c>
      <c r="W1897">
        <f t="shared" si="117"/>
        <v>0</v>
      </c>
      <c r="X1897">
        <f t="shared" si="118"/>
        <v>0</v>
      </c>
      <c r="Y1897" t="str">
        <f t="shared" si="119"/>
        <v>Non-Senior</v>
      </c>
    </row>
    <row r="1898" spans="1:25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116"/>
        <v>37-48 Months</v>
      </c>
      <c r="W1898">
        <f t="shared" si="117"/>
        <v>0</v>
      </c>
      <c r="X1898">
        <f t="shared" si="118"/>
        <v>0</v>
      </c>
      <c r="Y1898" t="str">
        <f t="shared" si="119"/>
        <v>Non-Senior</v>
      </c>
    </row>
    <row r="1899" spans="1:25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116"/>
        <v>25-36 Months</v>
      </c>
      <c r="W1899">
        <f t="shared" si="117"/>
        <v>1</v>
      </c>
      <c r="X1899">
        <f t="shared" si="118"/>
        <v>50.4</v>
      </c>
      <c r="Y1899" t="str">
        <f t="shared" si="119"/>
        <v>Senior Citizen</v>
      </c>
    </row>
    <row r="1900" spans="1:25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116"/>
        <v>0-12 Months</v>
      </c>
      <c r="W1900">
        <f t="shared" si="117"/>
        <v>1</v>
      </c>
      <c r="X1900">
        <f t="shared" si="118"/>
        <v>78.95</v>
      </c>
      <c r="Y1900" t="str">
        <f t="shared" si="119"/>
        <v>Senior Citizen</v>
      </c>
    </row>
    <row r="1901" spans="1:25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116"/>
        <v>13-24 Months</v>
      </c>
      <c r="W1901">
        <f t="shared" si="117"/>
        <v>0</v>
      </c>
      <c r="X1901">
        <f t="shared" si="118"/>
        <v>0</v>
      </c>
      <c r="Y1901" t="str">
        <f t="shared" si="119"/>
        <v>Non-Senior</v>
      </c>
    </row>
    <row r="1902" spans="1:25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7082</v>
      </c>
      <c r="J1902" t="s">
        <v>7084</v>
      </c>
      <c r="K1902" t="s">
        <v>46</v>
      </c>
      <c r="L1902" t="s">
        <v>7084</v>
      </c>
      <c r="M1902" t="s">
        <v>7084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116"/>
        <v>0-12 Months</v>
      </c>
      <c r="W1902">
        <f t="shared" si="117"/>
        <v>0</v>
      </c>
      <c r="X1902">
        <f t="shared" si="118"/>
        <v>0</v>
      </c>
      <c r="Y1902" t="str">
        <f t="shared" si="119"/>
        <v>Non-Senior</v>
      </c>
    </row>
    <row r="1903" spans="1:25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7082</v>
      </c>
      <c r="J1903" t="s">
        <v>7084</v>
      </c>
      <c r="K1903" t="s">
        <v>46</v>
      </c>
      <c r="L1903" t="s">
        <v>7084</v>
      </c>
      <c r="M1903" t="s">
        <v>7084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116"/>
        <v>0-12 Months</v>
      </c>
      <c r="W1903">
        <f t="shared" si="117"/>
        <v>0</v>
      </c>
      <c r="X1903">
        <f t="shared" si="118"/>
        <v>0</v>
      </c>
      <c r="Y1903" t="str">
        <f t="shared" si="119"/>
        <v>Non-Senior</v>
      </c>
    </row>
    <row r="1904" spans="1:25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116"/>
        <v>61-72 Months</v>
      </c>
      <c r="W1904">
        <f t="shared" si="117"/>
        <v>0</v>
      </c>
      <c r="X1904">
        <f t="shared" si="118"/>
        <v>0</v>
      </c>
      <c r="Y1904" t="str">
        <f t="shared" si="119"/>
        <v>Non-Senior</v>
      </c>
    </row>
    <row r="1905" spans="1:25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116"/>
        <v>0-12 Months</v>
      </c>
      <c r="W1905">
        <f t="shared" si="117"/>
        <v>0</v>
      </c>
      <c r="X1905">
        <f t="shared" si="118"/>
        <v>0</v>
      </c>
      <c r="Y1905" t="str">
        <f t="shared" si="119"/>
        <v>Non-Senior</v>
      </c>
    </row>
    <row r="1906" spans="1:25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116"/>
        <v>49-60 Months</v>
      </c>
      <c r="W1906">
        <f t="shared" si="117"/>
        <v>1</v>
      </c>
      <c r="X1906">
        <f t="shared" si="118"/>
        <v>94.45</v>
      </c>
      <c r="Y1906" t="str">
        <f t="shared" si="119"/>
        <v>Non-Senior</v>
      </c>
    </row>
    <row r="1907" spans="1:25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7082</v>
      </c>
      <c r="J1907" t="s">
        <v>7084</v>
      </c>
      <c r="K1907" t="s">
        <v>46</v>
      </c>
      <c r="L1907" t="s">
        <v>7084</v>
      </c>
      <c r="M1907" t="s">
        <v>7084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116"/>
        <v>37-48 Months</v>
      </c>
      <c r="W1907">
        <f t="shared" si="117"/>
        <v>0</v>
      </c>
      <c r="X1907">
        <f t="shared" si="118"/>
        <v>0</v>
      </c>
      <c r="Y1907" t="str">
        <f t="shared" si="119"/>
        <v>Non-Senior</v>
      </c>
    </row>
    <row r="1908" spans="1:25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116"/>
        <v>37-48 Months</v>
      </c>
      <c r="W1908">
        <f t="shared" si="117"/>
        <v>0</v>
      </c>
      <c r="X1908">
        <f t="shared" si="118"/>
        <v>0</v>
      </c>
      <c r="Y1908" t="str">
        <f t="shared" si="119"/>
        <v>Non-Senior</v>
      </c>
    </row>
    <row r="1909" spans="1:25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116"/>
        <v>0-12 Months</v>
      </c>
      <c r="W1909">
        <f t="shared" si="117"/>
        <v>0</v>
      </c>
      <c r="X1909">
        <f t="shared" si="118"/>
        <v>0</v>
      </c>
      <c r="Y1909" t="str">
        <f t="shared" si="119"/>
        <v>Non-Senior</v>
      </c>
    </row>
    <row r="1910" spans="1:25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7082</v>
      </c>
      <c r="J1910" t="s">
        <v>7084</v>
      </c>
      <c r="K1910" t="s">
        <v>46</v>
      </c>
      <c r="L1910" t="s">
        <v>7084</v>
      </c>
      <c r="M1910" t="s">
        <v>7084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116"/>
        <v>61-72 Months</v>
      </c>
      <c r="W1910">
        <f t="shared" si="117"/>
        <v>0</v>
      </c>
      <c r="X1910">
        <f t="shared" si="118"/>
        <v>0</v>
      </c>
      <c r="Y1910" t="str">
        <f t="shared" si="119"/>
        <v>Non-Senior</v>
      </c>
    </row>
    <row r="1911" spans="1:25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7082</v>
      </c>
      <c r="J1911" t="s">
        <v>7084</v>
      </c>
      <c r="K1911" t="s">
        <v>46</v>
      </c>
      <c r="L1911" t="s">
        <v>7084</v>
      </c>
      <c r="M1911" t="s">
        <v>7084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116"/>
        <v>0-12 Months</v>
      </c>
      <c r="W1911">
        <f t="shared" si="117"/>
        <v>0</v>
      </c>
      <c r="X1911">
        <f t="shared" si="118"/>
        <v>0</v>
      </c>
      <c r="Y1911" t="str">
        <f t="shared" si="119"/>
        <v>Non-Senior</v>
      </c>
    </row>
    <row r="1912" spans="1:25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116"/>
        <v>0-12 Months</v>
      </c>
      <c r="W1912">
        <f t="shared" si="117"/>
        <v>0</v>
      </c>
      <c r="X1912">
        <f t="shared" si="118"/>
        <v>0</v>
      </c>
      <c r="Y1912" t="str">
        <f t="shared" si="119"/>
        <v>Non-Senior</v>
      </c>
    </row>
    <row r="1913" spans="1:25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116"/>
        <v>61-72 Months</v>
      </c>
      <c r="W1913">
        <f t="shared" si="117"/>
        <v>0</v>
      </c>
      <c r="X1913">
        <f t="shared" si="118"/>
        <v>0</v>
      </c>
      <c r="Y1913" t="str">
        <f t="shared" si="119"/>
        <v>Non-Senior</v>
      </c>
    </row>
    <row r="1914" spans="1:25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7082</v>
      </c>
      <c r="J1914" t="s">
        <v>7084</v>
      </c>
      <c r="K1914" t="s">
        <v>46</v>
      </c>
      <c r="L1914" t="s">
        <v>7084</v>
      </c>
      <c r="M1914" t="s">
        <v>7084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116"/>
        <v>37-48 Months</v>
      </c>
      <c r="W1914">
        <f t="shared" si="117"/>
        <v>0</v>
      </c>
      <c r="X1914">
        <f t="shared" si="118"/>
        <v>0</v>
      </c>
      <c r="Y1914" t="str">
        <f t="shared" si="119"/>
        <v>Non-Senior</v>
      </c>
    </row>
    <row r="1915" spans="1:25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116"/>
        <v>61-72 Months</v>
      </c>
      <c r="W1915">
        <f t="shared" si="117"/>
        <v>0</v>
      </c>
      <c r="X1915">
        <f t="shared" si="118"/>
        <v>0</v>
      </c>
      <c r="Y1915" t="str">
        <f t="shared" si="119"/>
        <v>Non-Senior</v>
      </c>
    </row>
    <row r="1916" spans="1:25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116"/>
        <v>0-12 Months</v>
      </c>
      <c r="W1916">
        <f t="shared" si="117"/>
        <v>0</v>
      </c>
      <c r="X1916">
        <f t="shared" si="118"/>
        <v>0</v>
      </c>
      <c r="Y1916" t="str">
        <f t="shared" si="119"/>
        <v>Non-Senior</v>
      </c>
    </row>
    <row r="1917" spans="1:25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116"/>
        <v>13-24 Months</v>
      </c>
      <c r="W1917">
        <f t="shared" si="117"/>
        <v>0</v>
      </c>
      <c r="X1917">
        <f t="shared" si="118"/>
        <v>0</v>
      </c>
      <c r="Y1917" t="str">
        <f t="shared" si="119"/>
        <v>Non-Senior</v>
      </c>
    </row>
    <row r="1918" spans="1:25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116"/>
        <v>37-48 Months</v>
      </c>
      <c r="W1918">
        <f t="shared" si="117"/>
        <v>1</v>
      </c>
      <c r="X1918">
        <f t="shared" si="118"/>
        <v>84.8</v>
      </c>
      <c r="Y1918" t="str">
        <f t="shared" si="119"/>
        <v>Non-Senior</v>
      </c>
    </row>
    <row r="1919" spans="1:25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116"/>
        <v>61-72 Months</v>
      </c>
      <c r="W1919">
        <f t="shared" si="117"/>
        <v>0</v>
      </c>
      <c r="X1919">
        <f t="shared" si="118"/>
        <v>0</v>
      </c>
      <c r="Y1919" t="str">
        <f t="shared" si="119"/>
        <v>Senior Citizen</v>
      </c>
    </row>
    <row r="1920" spans="1:25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116"/>
        <v>13-24 Months</v>
      </c>
      <c r="W1920">
        <f t="shared" si="117"/>
        <v>0</v>
      </c>
      <c r="X1920">
        <f t="shared" si="118"/>
        <v>0</v>
      </c>
      <c r="Y1920" t="str">
        <f t="shared" si="119"/>
        <v>Non-Senior</v>
      </c>
    </row>
    <row r="1921" spans="1:25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116"/>
        <v>0-12 Months</v>
      </c>
      <c r="W1921">
        <f t="shared" si="117"/>
        <v>1</v>
      </c>
      <c r="X1921">
        <f t="shared" si="118"/>
        <v>50.9</v>
      </c>
      <c r="Y1921" t="str">
        <f t="shared" si="119"/>
        <v>Non-Senior</v>
      </c>
    </row>
    <row r="1922" spans="1:25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7082</v>
      </c>
      <c r="J1922" t="s">
        <v>7084</v>
      </c>
      <c r="K1922" t="s">
        <v>46</v>
      </c>
      <c r="L1922" t="s">
        <v>7084</v>
      </c>
      <c r="M1922" t="s">
        <v>7084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si="116"/>
        <v>13-24 Months</v>
      </c>
      <c r="W1922">
        <f t="shared" si="117"/>
        <v>0</v>
      </c>
      <c r="X1922">
        <f t="shared" si="118"/>
        <v>0</v>
      </c>
      <c r="Y1922" t="str">
        <f t="shared" si="119"/>
        <v>Non-Senior</v>
      </c>
    </row>
    <row r="1923" spans="1:25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ref="V1923:V1986" si="120">IF(F1923&lt;=12,"0-12 Months",IF(F1923&lt;=24,"13-24 Months",IF(F1923&lt;=36,"25-36 Months",IF(F1923&lt;=48,"37-48 Months",IF(F1923&lt;=60,"49-60 Months","61-72 Months")))))</f>
        <v>61-72 Months</v>
      </c>
      <c r="W1923">
        <f t="shared" ref="W1923:W1986" si="121">IF(U1923="Yes",1,0)</f>
        <v>0</v>
      </c>
      <c r="X1923">
        <f t="shared" ref="X1923:X1986" si="122">IF(U1923="Yes",S1923,0)</f>
        <v>0</v>
      </c>
      <c r="Y1923" t="str">
        <f t="shared" ref="Y1923:Y1986" si="123">IF(C1923=1,"Senior Citizen","Non-Senior")</f>
        <v>Non-Senior</v>
      </c>
    </row>
    <row r="1924" spans="1:25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120"/>
        <v>25-36 Months</v>
      </c>
      <c r="W1924">
        <f t="shared" si="121"/>
        <v>0</v>
      </c>
      <c r="X1924">
        <f t="shared" si="122"/>
        <v>0</v>
      </c>
      <c r="Y1924" t="str">
        <f t="shared" si="123"/>
        <v>Non-Senior</v>
      </c>
    </row>
    <row r="1925" spans="1:25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7082</v>
      </c>
      <c r="J1925" t="s">
        <v>7084</v>
      </c>
      <c r="K1925" t="s">
        <v>46</v>
      </c>
      <c r="L1925" t="s">
        <v>7084</v>
      </c>
      <c r="M1925" t="s">
        <v>7084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120"/>
        <v>37-48 Months</v>
      </c>
      <c r="W1925">
        <f t="shared" si="121"/>
        <v>0</v>
      </c>
      <c r="X1925">
        <f t="shared" si="122"/>
        <v>0</v>
      </c>
      <c r="Y1925" t="str">
        <f t="shared" si="123"/>
        <v>Non-Senior</v>
      </c>
    </row>
    <row r="1926" spans="1:25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120"/>
        <v>13-24 Months</v>
      </c>
      <c r="W1926">
        <f t="shared" si="121"/>
        <v>0</v>
      </c>
      <c r="X1926">
        <f t="shared" si="122"/>
        <v>0</v>
      </c>
      <c r="Y1926" t="str">
        <f t="shared" si="123"/>
        <v>Senior Citizen</v>
      </c>
    </row>
    <row r="1927" spans="1:25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120"/>
        <v>49-60 Months</v>
      </c>
      <c r="W1927">
        <f t="shared" si="121"/>
        <v>0</v>
      </c>
      <c r="X1927">
        <f t="shared" si="122"/>
        <v>0</v>
      </c>
      <c r="Y1927" t="str">
        <f t="shared" si="123"/>
        <v>Non-Senior</v>
      </c>
    </row>
    <row r="1928" spans="1:25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120"/>
        <v>49-60 Months</v>
      </c>
      <c r="W1928">
        <f t="shared" si="121"/>
        <v>1</v>
      </c>
      <c r="X1928">
        <f t="shared" si="122"/>
        <v>99.8</v>
      </c>
      <c r="Y1928" t="str">
        <f t="shared" si="123"/>
        <v>Non-Senior</v>
      </c>
    </row>
    <row r="1929" spans="1:25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120"/>
        <v>37-48 Months</v>
      </c>
      <c r="W1929">
        <f t="shared" si="121"/>
        <v>1</v>
      </c>
      <c r="X1929">
        <f t="shared" si="122"/>
        <v>107.35</v>
      </c>
      <c r="Y1929" t="str">
        <f t="shared" si="123"/>
        <v>Non-Senior</v>
      </c>
    </row>
    <row r="1930" spans="1:25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7082</v>
      </c>
      <c r="J1930" t="s">
        <v>7084</v>
      </c>
      <c r="K1930" t="s">
        <v>46</v>
      </c>
      <c r="L1930" t="s">
        <v>7084</v>
      </c>
      <c r="M1930" t="s">
        <v>7084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120"/>
        <v>25-36 Months</v>
      </c>
      <c r="W1930">
        <f t="shared" si="121"/>
        <v>1</v>
      </c>
      <c r="X1930">
        <f t="shared" si="122"/>
        <v>19.55</v>
      </c>
      <c r="Y1930" t="str">
        <f t="shared" si="123"/>
        <v>Non-Senior</v>
      </c>
    </row>
    <row r="1931" spans="1:25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120"/>
        <v>0-12 Months</v>
      </c>
      <c r="W1931">
        <f t="shared" si="121"/>
        <v>0</v>
      </c>
      <c r="X1931">
        <f t="shared" si="122"/>
        <v>0</v>
      </c>
      <c r="Y1931" t="str">
        <f t="shared" si="123"/>
        <v>Non-Senior</v>
      </c>
    </row>
    <row r="1932" spans="1:25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7082</v>
      </c>
      <c r="J1932" t="s">
        <v>7084</v>
      </c>
      <c r="K1932" t="s">
        <v>46</v>
      </c>
      <c r="L1932" t="s">
        <v>7084</v>
      </c>
      <c r="M1932" t="s">
        <v>7084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120"/>
        <v>0-12 Months</v>
      </c>
      <c r="W1932">
        <f t="shared" si="121"/>
        <v>0</v>
      </c>
      <c r="X1932">
        <f t="shared" si="122"/>
        <v>0</v>
      </c>
      <c r="Y1932" t="str">
        <f t="shared" si="123"/>
        <v>Non-Senior</v>
      </c>
    </row>
    <row r="1933" spans="1:25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120"/>
        <v>49-60 Months</v>
      </c>
      <c r="W1933">
        <f t="shared" si="121"/>
        <v>0</v>
      </c>
      <c r="X1933">
        <f t="shared" si="122"/>
        <v>0</v>
      </c>
      <c r="Y1933" t="str">
        <f t="shared" si="123"/>
        <v>Non-Senior</v>
      </c>
    </row>
    <row r="1934" spans="1:25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7082</v>
      </c>
      <c r="J1934" t="s">
        <v>7084</v>
      </c>
      <c r="K1934" t="s">
        <v>46</v>
      </c>
      <c r="L1934" t="s">
        <v>7084</v>
      </c>
      <c r="M1934" t="s">
        <v>7084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120"/>
        <v>0-12 Months</v>
      </c>
      <c r="W1934">
        <f t="shared" si="121"/>
        <v>0</v>
      </c>
      <c r="X1934">
        <f t="shared" si="122"/>
        <v>0</v>
      </c>
      <c r="Y1934" t="str">
        <f t="shared" si="123"/>
        <v>Non-Senior</v>
      </c>
    </row>
    <row r="1935" spans="1:25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7082</v>
      </c>
      <c r="J1935" t="s">
        <v>7084</v>
      </c>
      <c r="K1935" t="s">
        <v>46</v>
      </c>
      <c r="L1935" t="s">
        <v>7084</v>
      </c>
      <c r="M1935" t="s">
        <v>7084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120"/>
        <v>13-24 Months</v>
      </c>
      <c r="W1935">
        <f t="shared" si="121"/>
        <v>0</v>
      </c>
      <c r="X1935">
        <f t="shared" si="122"/>
        <v>0</v>
      </c>
      <c r="Y1935" t="str">
        <f t="shared" si="123"/>
        <v>Non-Senior</v>
      </c>
    </row>
    <row r="1936" spans="1:25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120"/>
        <v>0-12 Months</v>
      </c>
      <c r="W1936">
        <f t="shared" si="121"/>
        <v>1</v>
      </c>
      <c r="X1936">
        <f t="shared" si="122"/>
        <v>79.099999999999994</v>
      </c>
      <c r="Y1936" t="str">
        <f t="shared" si="123"/>
        <v>Non-Senior</v>
      </c>
    </row>
    <row r="1937" spans="1:25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7082</v>
      </c>
      <c r="J1937" t="s">
        <v>7084</v>
      </c>
      <c r="K1937" t="s">
        <v>46</v>
      </c>
      <c r="L1937" t="s">
        <v>7084</v>
      </c>
      <c r="M1937" t="s">
        <v>7084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120"/>
        <v>49-60 Months</v>
      </c>
      <c r="W1937">
        <f t="shared" si="121"/>
        <v>0</v>
      </c>
      <c r="X1937">
        <f t="shared" si="122"/>
        <v>0</v>
      </c>
      <c r="Y1937" t="str">
        <f t="shared" si="123"/>
        <v>Non-Senior</v>
      </c>
    </row>
    <row r="1938" spans="1:25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120"/>
        <v>49-60 Months</v>
      </c>
      <c r="W1938">
        <f t="shared" si="121"/>
        <v>0</v>
      </c>
      <c r="X1938">
        <f t="shared" si="122"/>
        <v>0</v>
      </c>
      <c r="Y1938" t="str">
        <f t="shared" si="123"/>
        <v>Non-Senior</v>
      </c>
    </row>
    <row r="1939" spans="1:25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7082</v>
      </c>
      <c r="J1939" t="s">
        <v>7084</v>
      </c>
      <c r="K1939" t="s">
        <v>46</v>
      </c>
      <c r="L1939" t="s">
        <v>7084</v>
      </c>
      <c r="M1939" t="s">
        <v>7084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120"/>
        <v>13-24 Months</v>
      </c>
      <c r="W1939">
        <f t="shared" si="121"/>
        <v>0</v>
      </c>
      <c r="X1939">
        <f t="shared" si="122"/>
        <v>0</v>
      </c>
      <c r="Y1939" t="str">
        <f t="shared" si="123"/>
        <v>Non-Senior</v>
      </c>
    </row>
    <row r="1940" spans="1:25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7082</v>
      </c>
      <c r="J1940" t="s">
        <v>7084</v>
      </c>
      <c r="K1940" t="s">
        <v>46</v>
      </c>
      <c r="L1940" t="s">
        <v>7084</v>
      </c>
      <c r="M1940" t="s">
        <v>7084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120"/>
        <v>0-12 Months</v>
      </c>
      <c r="W1940">
        <f t="shared" si="121"/>
        <v>0</v>
      </c>
      <c r="X1940">
        <f t="shared" si="122"/>
        <v>0</v>
      </c>
      <c r="Y1940" t="str">
        <f t="shared" si="123"/>
        <v>Non-Senior</v>
      </c>
    </row>
    <row r="1941" spans="1:25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7082</v>
      </c>
      <c r="J1941" t="s">
        <v>7084</v>
      </c>
      <c r="K1941" t="s">
        <v>46</v>
      </c>
      <c r="L1941" t="s">
        <v>7084</v>
      </c>
      <c r="M1941" t="s">
        <v>7084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120"/>
        <v>0-12 Months</v>
      </c>
      <c r="W1941">
        <f t="shared" si="121"/>
        <v>0</v>
      </c>
      <c r="X1941">
        <f t="shared" si="122"/>
        <v>0</v>
      </c>
      <c r="Y1941" t="str">
        <f t="shared" si="123"/>
        <v>Non-Senior</v>
      </c>
    </row>
    <row r="1942" spans="1:25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120"/>
        <v>61-72 Months</v>
      </c>
      <c r="W1942">
        <f t="shared" si="121"/>
        <v>0</v>
      </c>
      <c r="X1942">
        <f t="shared" si="122"/>
        <v>0</v>
      </c>
      <c r="Y1942" t="str">
        <f t="shared" si="123"/>
        <v>Non-Senior</v>
      </c>
    </row>
    <row r="1943" spans="1:25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120"/>
        <v>0-12 Months</v>
      </c>
      <c r="W1943">
        <f t="shared" si="121"/>
        <v>0</v>
      </c>
      <c r="X1943">
        <f t="shared" si="122"/>
        <v>0</v>
      </c>
      <c r="Y1943" t="str">
        <f t="shared" si="123"/>
        <v>Non-Senior</v>
      </c>
    </row>
    <row r="1944" spans="1:25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7082</v>
      </c>
      <c r="J1944" t="s">
        <v>7084</v>
      </c>
      <c r="K1944" t="s">
        <v>46</v>
      </c>
      <c r="L1944" t="s">
        <v>7084</v>
      </c>
      <c r="M1944" t="s">
        <v>7084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120"/>
        <v>37-48 Months</v>
      </c>
      <c r="W1944">
        <f t="shared" si="121"/>
        <v>0</v>
      </c>
      <c r="X1944">
        <f t="shared" si="122"/>
        <v>0</v>
      </c>
      <c r="Y1944" t="str">
        <f t="shared" si="123"/>
        <v>Non-Senior</v>
      </c>
    </row>
    <row r="1945" spans="1:25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120"/>
        <v>0-12 Months</v>
      </c>
      <c r="W1945">
        <f t="shared" si="121"/>
        <v>0</v>
      </c>
      <c r="X1945">
        <f t="shared" si="122"/>
        <v>0</v>
      </c>
      <c r="Y1945" t="str">
        <f t="shared" si="123"/>
        <v>Non-Senior</v>
      </c>
    </row>
    <row r="1946" spans="1:25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120"/>
        <v>0-12 Months</v>
      </c>
      <c r="W1946">
        <f t="shared" si="121"/>
        <v>1</v>
      </c>
      <c r="X1946">
        <f t="shared" si="122"/>
        <v>25.5</v>
      </c>
      <c r="Y1946" t="str">
        <f t="shared" si="123"/>
        <v>Non-Senior</v>
      </c>
    </row>
    <row r="1947" spans="1:25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7082</v>
      </c>
      <c r="J1947" t="s">
        <v>7084</v>
      </c>
      <c r="K1947" t="s">
        <v>46</v>
      </c>
      <c r="L1947" t="s">
        <v>7084</v>
      </c>
      <c r="M1947" t="s">
        <v>7084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120"/>
        <v>61-72 Months</v>
      </c>
      <c r="W1947">
        <f t="shared" si="121"/>
        <v>0</v>
      </c>
      <c r="X1947">
        <f t="shared" si="122"/>
        <v>0</v>
      </c>
      <c r="Y1947" t="str">
        <f t="shared" si="123"/>
        <v>Non-Senior</v>
      </c>
    </row>
    <row r="1948" spans="1:25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120"/>
        <v>49-60 Months</v>
      </c>
      <c r="W1948">
        <f t="shared" si="121"/>
        <v>0</v>
      </c>
      <c r="X1948">
        <f t="shared" si="122"/>
        <v>0</v>
      </c>
      <c r="Y1948" t="str">
        <f t="shared" si="123"/>
        <v>Non-Senior</v>
      </c>
    </row>
    <row r="1949" spans="1:25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120"/>
        <v>61-72 Months</v>
      </c>
      <c r="W1949">
        <f t="shared" si="121"/>
        <v>0</v>
      </c>
      <c r="X1949">
        <f t="shared" si="122"/>
        <v>0</v>
      </c>
      <c r="Y1949" t="str">
        <f t="shared" si="123"/>
        <v>Non-Senior</v>
      </c>
    </row>
    <row r="1950" spans="1:25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120"/>
        <v>0-12 Months</v>
      </c>
      <c r="W1950">
        <f t="shared" si="121"/>
        <v>1</v>
      </c>
      <c r="X1950">
        <f t="shared" si="122"/>
        <v>80.75</v>
      </c>
      <c r="Y1950" t="str">
        <f t="shared" si="123"/>
        <v>Non-Senior</v>
      </c>
    </row>
    <row r="1951" spans="1:25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120"/>
        <v>61-72 Months</v>
      </c>
      <c r="W1951">
        <f t="shared" si="121"/>
        <v>0</v>
      </c>
      <c r="X1951">
        <f t="shared" si="122"/>
        <v>0</v>
      </c>
      <c r="Y1951" t="str">
        <f t="shared" si="123"/>
        <v>Non-Senior</v>
      </c>
    </row>
    <row r="1952" spans="1:25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120"/>
        <v>61-72 Months</v>
      </c>
      <c r="W1952">
        <f t="shared" si="121"/>
        <v>1</v>
      </c>
      <c r="X1952">
        <f t="shared" si="122"/>
        <v>91.85</v>
      </c>
      <c r="Y1952" t="str">
        <f t="shared" si="123"/>
        <v>Non-Senior</v>
      </c>
    </row>
    <row r="1953" spans="1:25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120"/>
        <v>13-24 Months</v>
      </c>
      <c r="W1953">
        <f t="shared" si="121"/>
        <v>0</v>
      </c>
      <c r="X1953">
        <f t="shared" si="122"/>
        <v>0</v>
      </c>
      <c r="Y1953" t="str">
        <f t="shared" si="123"/>
        <v>Non-Senior</v>
      </c>
    </row>
    <row r="1954" spans="1:25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120"/>
        <v>13-24 Months</v>
      </c>
      <c r="W1954">
        <f t="shared" si="121"/>
        <v>0</v>
      </c>
      <c r="X1954">
        <f t="shared" si="122"/>
        <v>0</v>
      </c>
      <c r="Y1954" t="str">
        <f t="shared" si="123"/>
        <v>Non-Senior</v>
      </c>
    </row>
    <row r="1955" spans="1:25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120"/>
        <v>0-12 Months</v>
      </c>
      <c r="W1955">
        <f t="shared" si="121"/>
        <v>1</v>
      </c>
      <c r="X1955">
        <f t="shared" si="122"/>
        <v>75.349999999999994</v>
      </c>
      <c r="Y1955" t="str">
        <f t="shared" si="123"/>
        <v>Non-Senior</v>
      </c>
    </row>
    <row r="1956" spans="1:25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120"/>
        <v>0-12 Months</v>
      </c>
      <c r="W1956">
        <f t="shared" si="121"/>
        <v>1</v>
      </c>
      <c r="X1956">
        <f t="shared" si="122"/>
        <v>75.45</v>
      </c>
      <c r="Y1956" t="str">
        <f t="shared" si="123"/>
        <v>Non-Senior</v>
      </c>
    </row>
    <row r="1957" spans="1:25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120"/>
        <v>49-60 Months</v>
      </c>
      <c r="W1957">
        <f t="shared" si="121"/>
        <v>0</v>
      </c>
      <c r="X1957">
        <f t="shared" si="122"/>
        <v>0</v>
      </c>
      <c r="Y1957" t="str">
        <f t="shared" si="123"/>
        <v>Non-Senior</v>
      </c>
    </row>
    <row r="1958" spans="1:25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120"/>
        <v>61-72 Months</v>
      </c>
      <c r="W1958">
        <f t="shared" si="121"/>
        <v>0</v>
      </c>
      <c r="X1958">
        <f t="shared" si="122"/>
        <v>0</v>
      </c>
      <c r="Y1958" t="str">
        <f t="shared" si="123"/>
        <v>Non-Senior</v>
      </c>
    </row>
    <row r="1959" spans="1:25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120"/>
        <v>37-48 Months</v>
      </c>
      <c r="W1959">
        <f t="shared" si="121"/>
        <v>0</v>
      </c>
      <c r="X1959">
        <f t="shared" si="122"/>
        <v>0</v>
      </c>
      <c r="Y1959" t="str">
        <f t="shared" si="123"/>
        <v>Non-Senior</v>
      </c>
    </row>
    <row r="1960" spans="1:25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120"/>
        <v>13-24 Months</v>
      </c>
      <c r="W1960">
        <f t="shared" si="121"/>
        <v>0</v>
      </c>
      <c r="X1960">
        <f t="shared" si="122"/>
        <v>0</v>
      </c>
      <c r="Y1960" t="str">
        <f t="shared" si="123"/>
        <v>Non-Senior</v>
      </c>
    </row>
    <row r="1961" spans="1:25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120"/>
        <v>0-12 Months</v>
      </c>
      <c r="W1961">
        <f t="shared" si="121"/>
        <v>0</v>
      </c>
      <c r="X1961">
        <f t="shared" si="122"/>
        <v>0</v>
      </c>
      <c r="Y1961" t="str">
        <f t="shared" si="123"/>
        <v>Non-Senior</v>
      </c>
    </row>
    <row r="1962" spans="1:25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120"/>
        <v>25-36 Months</v>
      </c>
      <c r="W1962">
        <f t="shared" si="121"/>
        <v>0</v>
      </c>
      <c r="X1962">
        <f t="shared" si="122"/>
        <v>0</v>
      </c>
      <c r="Y1962" t="str">
        <f t="shared" si="123"/>
        <v>Non-Senior</v>
      </c>
    </row>
    <row r="1963" spans="1:25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120"/>
        <v>37-48 Months</v>
      </c>
      <c r="W1963">
        <f t="shared" si="121"/>
        <v>0</v>
      </c>
      <c r="X1963">
        <f t="shared" si="122"/>
        <v>0</v>
      </c>
      <c r="Y1963" t="str">
        <f t="shared" si="123"/>
        <v>Non-Senior</v>
      </c>
    </row>
    <row r="1964" spans="1:25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120"/>
        <v>13-24 Months</v>
      </c>
      <c r="W1964">
        <f t="shared" si="121"/>
        <v>0</v>
      </c>
      <c r="X1964">
        <f t="shared" si="122"/>
        <v>0</v>
      </c>
      <c r="Y1964" t="str">
        <f t="shared" si="123"/>
        <v>Non-Senior</v>
      </c>
    </row>
    <row r="1965" spans="1:25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120"/>
        <v>0-12 Months</v>
      </c>
      <c r="W1965">
        <f t="shared" si="121"/>
        <v>0</v>
      </c>
      <c r="X1965">
        <f t="shared" si="122"/>
        <v>0</v>
      </c>
      <c r="Y1965" t="str">
        <f t="shared" si="123"/>
        <v>Non-Senior</v>
      </c>
    </row>
    <row r="1966" spans="1:25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120"/>
        <v>61-72 Months</v>
      </c>
      <c r="W1966">
        <f t="shared" si="121"/>
        <v>0</v>
      </c>
      <c r="X1966">
        <f t="shared" si="122"/>
        <v>0</v>
      </c>
      <c r="Y1966" t="str">
        <f t="shared" si="123"/>
        <v>Non-Senior</v>
      </c>
    </row>
    <row r="1967" spans="1:25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120"/>
        <v>13-24 Months</v>
      </c>
      <c r="W1967">
        <f t="shared" si="121"/>
        <v>1</v>
      </c>
      <c r="X1967">
        <f t="shared" si="122"/>
        <v>49.55</v>
      </c>
      <c r="Y1967" t="str">
        <f t="shared" si="123"/>
        <v>Non-Senior</v>
      </c>
    </row>
    <row r="1968" spans="1:25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120"/>
        <v>13-24 Months</v>
      </c>
      <c r="W1968">
        <f t="shared" si="121"/>
        <v>0</v>
      </c>
      <c r="X1968">
        <f t="shared" si="122"/>
        <v>0</v>
      </c>
      <c r="Y1968" t="str">
        <f t="shared" si="123"/>
        <v>Senior Citizen</v>
      </c>
    </row>
    <row r="1969" spans="1:25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120"/>
        <v>61-72 Months</v>
      </c>
      <c r="W1969">
        <f t="shared" si="121"/>
        <v>1</v>
      </c>
      <c r="X1969">
        <f t="shared" si="122"/>
        <v>78.599999999999994</v>
      </c>
      <c r="Y1969" t="str">
        <f t="shared" si="123"/>
        <v>Non-Senior</v>
      </c>
    </row>
    <row r="1970" spans="1:25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120"/>
        <v>49-60 Months</v>
      </c>
      <c r="W1970">
        <f t="shared" si="121"/>
        <v>0</v>
      </c>
      <c r="X1970">
        <f t="shared" si="122"/>
        <v>0</v>
      </c>
      <c r="Y1970" t="str">
        <f t="shared" si="123"/>
        <v>Non-Senior</v>
      </c>
    </row>
    <row r="1971" spans="1:25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120"/>
        <v>49-60 Months</v>
      </c>
      <c r="W1971">
        <f t="shared" si="121"/>
        <v>0</v>
      </c>
      <c r="X1971">
        <f t="shared" si="122"/>
        <v>0</v>
      </c>
      <c r="Y1971" t="str">
        <f t="shared" si="123"/>
        <v>Non-Senior</v>
      </c>
    </row>
    <row r="1972" spans="1:25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120"/>
        <v>0-12 Months</v>
      </c>
      <c r="W1972">
        <f t="shared" si="121"/>
        <v>1</v>
      </c>
      <c r="X1972">
        <f t="shared" si="122"/>
        <v>81.099999999999994</v>
      </c>
      <c r="Y1972" t="str">
        <f t="shared" si="123"/>
        <v>Non-Senior</v>
      </c>
    </row>
    <row r="1973" spans="1:25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7082</v>
      </c>
      <c r="J1973" t="s">
        <v>7084</v>
      </c>
      <c r="K1973" t="s">
        <v>46</v>
      </c>
      <c r="L1973" t="s">
        <v>7084</v>
      </c>
      <c r="M1973" t="s">
        <v>7084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120"/>
        <v>13-24 Months</v>
      </c>
      <c r="W1973">
        <f t="shared" si="121"/>
        <v>0</v>
      </c>
      <c r="X1973">
        <f t="shared" si="122"/>
        <v>0</v>
      </c>
      <c r="Y1973" t="str">
        <f t="shared" si="123"/>
        <v>Non-Senior</v>
      </c>
    </row>
    <row r="1974" spans="1:25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120"/>
        <v>13-24 Months</v>
      </c>
      <c r="W1974">
        <f t="shared" si="121"/>
        <v>0</v>
      </c>
      <c r="X1974">
        <f t="shared" si="122"/>
        <v>0</v>
      </c>
      <c r="Y1974" t="str">
        <f t="shared" si="123"/>
        <v>Non-Senior</v>
      </c>
    </row>
    <row r="1975" spans="1:25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120"/>
        <v>61-72 Months</v>
      </c>
      <c r="W1975">
        <f t="shared" si="121"/>
        <v>0</v>
      </c>
      <c r="X1975">
        <f t="shared" si="122"/>
        <v>0</v>
      </c>
      <c r="Y1975" t="str">
        <f t="shared" si="123"/>
        <v>Non-Senior</v>
      </c>
    </row>
    <row r="1976" spans="1:25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120"/>
        <v>0-12 Months</v>
      </c>
      <c r="W1976">
        <f t="shared" si="121"/>
        <v>1</v>
      </c>
      <c r="X1976">
        <f t="shared" si="122"/>
        <v>74.95</v>
      </c>
      <c r="Y1976" t="str">
        <f t="shared" si="123"/>
        <v>Non-Senior</v>
      </c>
    </row>
    <row r="1977" spans="1:25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7082</v>
      </c>
      <c r="J1977" t="s">
        <v>7084</v>
      </c>
      <c r="K1977" t="s">
        <v>46</v>
      </c>
      <c r="L1977" t="s">
        <v>7084</v>
      </c>
      <c r="M1977" t="s">
        <v>7084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120"/>
        <v>13-24 Months</v>
      </c>
      <c r="W1977">
        <f t="shared" si="121"/>
        <v>0</v>
      </c>
      <c r="X1977">
        <f t="shared" si="122"/>
        <v>0</v>
      </c>
      <c r="Y1977" t="str">
        <f t="shared" si="123"/>
        <v>Non-Senior</v>
      </c>
    </row>
    <row r="1978" spans="1:25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120"/>
        <v>0-12 Months</v>
      </c>
      <c r="W1978">
        <f t="shared" si="121"/>
        <v>1</v>
      </c>
      <c r="X1978">
        <f t="shared" si="122"/>
        <v>93.55</v>
      </c>
      <c r="Y1978" t="str">
        <f t="shared" si="123"/>
        <v>Senior Citizen</v>
      </c>
    </row>
    <row r="1979" spans="1:25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120"/>
        <v>25-36 Months</v>
      </c>
      <c r="W1979">
        <f t="shared" si="121"/>
        <v>0</v>
      </c>
      <c r="X1979">
        <f t="shared" si="122"/>
        <v>0</v>
      </c>
      <c r="Y1979" t="str">
        <f t="shared" si="123"/>
        <v>Senior Citizen</v>
      </c>
    </row>
    <row r="1980" spans="1:25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120"/>
        <v>49-60 Months</v>
      </c>
      <c r="W1980">
        <f t="shared" si="121"/>
        <v>0</v>
      </c>
      <c r="X1980">
        <f t="shared" si="122"/>
        <v>0</v>
      </c>
      <c r="Y1980" t="str">
        <f t="shared" si="123"/>
        <v>Non-Senior</v>
      </c>
    </row>
    <row r="1981" spans="1:25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7082</v>
      </c>
      <c r="J1981" t="s">
        <v>7084</v>
      </c>
      <c r="K1981" t="s">
        <v>46</v>
      </c>
      <c r="L1981" t="s">
        <v>7084</v>
      </c>
      <c r="M1981" t="s">
        <v>7084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120"/>
        <v>37-48 Months</v>
      </c>
      <c r="W1981">
        <f t="shared" si="121"/>
        <v>0</v>
      </c>
      <c r="X1981">
        <f t="shared" si="122"/>
        <v>0</v>
      </c>
      <c r="Y1981" t="str">
        <f t="shared" si="123"/>
        <v>Non-Senior</v>
      </c>
    </row>
    <row r="1982" spans="1:25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120"/>
        <v>0-12 Months</v>
      </c>
      <c r="W1982">
        <f t="shared" si="121"/>
        <v>0</v>
      </c>
      <c r="X1982">
        <f t="shared" si="122"/>
        <v>0</v>
      </c>
      <c r="Y1982" t="str">
        <f t="shared" si="123"/>
        <v>Non-Senior</v>
      </c>
    </row>
    <row r="1983" spans="1:25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120"/>
        <v>49-60 Months</v>
      </c>
      <c r="W1983">
        <f t="shared" si="121"/>
        <v>1</v>
      </c>
      <c r="X1983">
        <f t="shared" si="122"/>
        <v>102.1</v>
      </c>
      <c r="Y1983" t="str">
        <f t="shared" si="123"/>
        <v>Non-Senior</v>
      </c>
    </row>
    <row r="1984" spans="1:25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7082</v>
      </c>
      <c r="J1984" t="s">
        <v>7084</v>
      </c>
      <c r="K1984" t="s">
        <v>46</v>
      </c>
      <c r="L1984" t="s">
        <v>7084</v>
      </c>
      <c r="M1984" t="s">
        <v>7084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120"/>
        <v>13-24 Months</v>
      </c>
      <c r="W1984">
        <f t="shared" si="121"/>
        <v>0</v>
      </c>
      <c r="X1984">
        <f t="shared" si="122"/>
        <v>0</v>
      </c>
      <c r="Y1984" t="str">
        <f t="shared" si="123"/>
        <v>Non-Senior</v>
      </c>
    </row>
    <row r="1985" spans="1:25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120"/>
        <v>25-36 Months</v>
      </c>
      <c r="W1985">
        <f t="shared" si="121"/>
        <v>0</v>
      </c>
      <c r="X1985">
        <f t="shared" si="122"/>
        <v>0</v>
      </c>
      <c r="Y1985" t="str">
        <f t="shared" si="123"/>
        <v>Non-Senior</v>
      </c>
    </row>
    <row r="1986" spans="1:25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si="120"/>
        <v>13-24 Months</v>
      </c>
      <c r="W1986">
        <f t="shared" si="121"/>
        <v>1</v>
      </c>
      <c r="X1986">
        <f t="shared" si="122"/>
        <v>90.9</v>
      </c>
      <c r="Y1986" t="str">
        <f t="shared" si="123"/>
        <v>Non-Senior</v>
      </c>
    </row>
    <row r="1987" spans="1:25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ref="V1987:V2050" si="124">IF(F1987&lt;=12,"0-12 Months",IF(F1987&lt;=24,"13-24 Months",IF(F1987&lt;=36,"25-36 Months",IF(F1987&lt;=48,"37-48 Months",IF(F1987&lt;=60,"49-60 Months","61-72 Months")))))</f>
        <v>0-12 Months</v>
      </c>
      <c r="W1987">
        <f t="shared" ref="W1987:W2050" si="125">IF(U1987="Yes",1,0)</f>
        <v>1</v>
      </c>
      <c r="X1987">
        <f t="shared" ref="X1987:X2050" si="126">IF(U1987="Yes",S1987,0)</f>
        <v>29.2</v>
      </c>
      <c r="Y1987" t="str">
        <f t="shared" ref="Y1987:Y2050" si="127">IF(C1987=1,"Senior Citizen","Non-Senior")</f>
        <v>Non-Senior</v>
      </c>
    </row>
    <row r="1988" spans="1:25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124"/>
        <v>61-72 Months</v>
      </c>
      <c r="W1988">
        <f t="shared" si="125"/>
        <v>0</v>
      </c>
      <c r="X1988">
        <f t="shared" si="126"/>
        <v>0</v>
      </c>
      <c r="Y1988" t="str">
        <f t="shared" si="127"/>
        <v>Non-Senior</v>
      </c>
    </row>
    <row r="1989" spans="1:25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124"/>
        <v>25-36 Months</v>
      </c>
      <c r="W1989">
        <f t="shared" si="125"/>
        <v>1</v>
      </c>
      <c r="X1989">
        <f t="shared" si="126"/>
        <v>89.15</v>
      </c>
      <c r="Y1989" t="str">
        <f t="shared" si="127"/>
        <v>Non-Senior</v>
      </c>
    </row>
    <row r="1990" spans="1:25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124"/>
        <v>49-60 Months</v>
      </c>
      <c r="W1990">
        <f t="shared" si="125"/>
        <v>1</v>
      </c>
      <c r="X1990">
        <f t="shared" si="126"/>
        <v>108.85</v>
      </c>
      <c r="Y1990" t="str">
        <f t="shared" si="127"/>
        <v>Senior Citizen</v>
      </c>
    </row>
    <row r="1991" spans="1:25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124"/>
        <v>25-36 Months</v>
      </c>
      <c r="W1991">
        <f t="shared" si="125"/>
        <v>0</v>
      </c>
      <c r="X1991">
        <f t="shared" si="126"/>
        <v>0</v>
      </c>
      <c r="Y1991" t="str">
        <f t="shared" si="127"/>
        <v>Non-Senior</v>
      </c>
    </row>
    <row r="1992" spans="1:25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124"/>
        <v>13-24 Months</v>
      </c>
      <c r="W1992">
        <f t="shared" si="125"/>
        <v>1</v>
      </c>
      <c r="X1992">
        <f t="shared" si="126"/>
        <v>84.75</v>
      </c>
      <c r="Y1992" t="str">
        <f t="shared" si="127"/>
        <v>Senior Citizen</v>
      </c>
    </row>
    <row r="1993" spans="1:25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124"/>
        <v>37-48 Months</v>
      </c>
      <c r="W1993">
        <f t="shared" si="125"/>
        <v>0</v>
      </c>
      <c r="X1993">
        <f t="shared" si="126"/>
        <v>0</v>
      </c>
      <c r="Y1993" t="str">
        <f t="shared" si="127"/>
        <v>Non-Senior</v>
      </c>
    </row>
    <row r="1994" spans="1:25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124"/>
        <v>13-24 Months</v>
      </c>
      <c r="W1994">
        <f t="shared" si="125"/>
        <v>0</v>
      </c>
      <c r="X1994">
        <f t="shared" si="126"/>
        <v>0</v>
      </c>
      <c r="Y1994" t="str">
        <f t="shared" si="127"/>
        <v>Non-Senior</v>
      </c>
    </row>
    <row r="1995" spans="1:25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124"/>
        <v>0-12 Months</v>
      </c>
      <c r="W1995">
        <f t="shared" si="125"/>
        <v>1</v>
      </c>
      <c r="X1995">
        <f t="shared" si="126"/>
        <v>45.7</v>
      </c>
      <c r="Y1995" t="str">
        <f t="shared" si="127"/>
        <v>Non-Senior</v>
      </c>
    </row>
    <row r="1996" spans="1:25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7082</v>
      </c>
      <c r="J1996" t="s">
        <v>7084</v>
      </c>
      <c r="K1996" t="s">
        <v>46</v>
      </c>
      <c r="L1996" t="s">
        <v>7084</v>
      </c>
      <c r="M1996" t="s">
        <v>7084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124"/>
        <v>13-24 Months</v>
      </c>
      <c r="W1996">
        <f t="shared" si="125"/>
        <v>0</v>
      </c>
      <c r="X1996">
        <f t="shared" si="126"/>
        <v>0</v>
      </c>
      <c r="Y1996" t="str">
        <f t="shared" si="127"/>
        <v>Non-Senior</v>
      </c>
    </row>
    <row r="1997" spans="1:25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124"/>
        <v>0-12 Months</v>
      </c>
      <c r="W1997">
        <f t="shared" si="125"/>
        <v>1</v>
      </c>
      <c r="X1997">
        <f t="shared" si="126"/>
        <v>69.95</v>
      </c>
      <c r="Y1997" t="str">
        <f t="shared" si="127"/>
        <v>Senior Citizen</v>
      </c>
    </row>
    <row r="1998" spans="1:25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124"/>
        <v>61-72 Months</v>
      </c>
      <c r="W1998">
        <f t="shared" si="125"/>
        <v>0</v>
      </c>
      <c r="X1998">
        <f t="shared" si="126"/>
        <v>0</v>
      </c>
      <c r="Y1998" t="str">
        <f t="shared" si="127"/>
        <v>Non-Senior</v>
      </c>
    </row>
    <row r="1999" spans="1:25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124"/>
        <v>61-72 Months</v>
      </c>
      <c r="W1999">
        <f t="shared" si="125"/>
        <v>0</v>
      </c>
      <c r="X1999">
        <f t="shared" si="126"/>
        <v>0</v>
      </c>
      <c r="Y1999" t="str">
        <f t="shared" si="127"/>
        <v>Non-Senior</v>
      </c>
    </row>
    <row r="2000" spans="1:25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124"/>
        <v>0-12 Months</v>
      </c>
      <c r="W2000">
        <f t="shared" si="125"/>
        <v>1</v>
      </c>
      <c r="X2000">
        <f t="shared" si="126"/>
        <v>44.6</v>
      </c>
      <c r="Y2000" t="str">
        <f t="shared" si="127"/>
        <v>Non-Senior</v>
      </c>
    </row>
    <row r="2001" spans="1:25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124"/>
        <v>13-24 Months</v>
      </c>
      <c r="W2001">
        <f t="shared" si="125"/>
        <v>1</v>
      </c>
      <c r="X2001">
        <f t="shared" si="126"/>
        <v>74.95</v>
      </c>
      <c r="Y2001" t="str">
        <f t="shared" si="127"/>
        <v>Non-Senior</v>
      </c>
    </row>
    <row r="2002" spans="1:25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124"/>
        <v>0-12 Months</v>
      </c>
      <c r="W2002">
        <f t="shared" si="125"/>
        <v>0</v>
      </c>
      <c r="X2002">
        <f t="shared" si="126"/>
        <v>0</v>
      </c>
      <c r="Y2002" t="str">
        <f t="shared" si="127"/>
        <v>Senior Citizen</v>
      </c>
    </row>
    <row r="2003" spans="1:25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7082</v>
      </c>
      <c r="J2003" t="s">
        <v>7084</v>
      </c>
      <c r="K2003" t="s">
        <v>46</v>
      </c>
      <c r="L2003" t="s">
        <v>7084</v>
      </c>
      <c r="M2003" t="s">
        <v>7084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124"/>
        <v>0-12 Months</v>
      </c>
      <c r="W2003">
        <f t="shared" si="125"/>
        <v>0</v>
      </c>
      <c r="X2003">
        <f t="shared" si="126"/>
        <v>0</v>
      </c>
      <c r="Y2003" t="str">
        <f t="shared" si="127"/>
        <v>Non-Senior</v>
      </c>
    </row>
    <row r="2004" spans="1:25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124"/>
        <v>49-60 Months</v>
      </c>
      <c r="W2004">
        <f t="shared" si="125"/>
        <v>0</v>
      </c>
      <c r="X2004">
        <f t="shared" si="126"/>
        <v>0</v>
      </c>
      <c r="Y2004" t="str">
        <f t="shared" si="127"/>
        <v>Non-Senior</v>
      </c>
    </row>
    <row r="2005" spans="1:25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124"/>
        <v>49-60 Months</v>
      </c>
      <c r="W2005">
        <f t="shared" si="125"/>
        <v>1</v>
      </c>
      <c r="X2005">
        <f t="shared" si="126"/>
        <v>95.25</v>
      </c>
      <c r="Y2005" t="str">
        <f t="shared" si="127"/>
        <v>Non-Senior</v>
      </c>
    </row>
    <row r="2006" spans="1:25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124"/>
        <v>13-24 Months</v>
      </c>
      <c r="W2006">
        <f t="shared" si="125"/>
        <v>1</v>
      </c>
      <c r="X2006">
        <f t="shared" si="126"/>
        <v>89.85</v>
      </c>
      <c r="Y2006" t="str">
        <f t="shared" si="127"/>
        <v>Non-Senior</v>
      </c>
    </row>
    <row r="2007" spans="1:25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124"/>
        <v>49-60 Months</v>
      </c>
      <c r="W2007">
        <f t="shared" si="125"/>
        <v>1</v>
      </c>
      <c r="X2007">
        <f t="shared" si="126"/>
        <v>100.45</v>
      </c>
      <c r="Y2007" t="str">
        <f t="shared" si="127"/>
        <v>Non-Senior</v>
      </c>
    </row>
    <row r="2008" spans="1:25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124"/>
        <v>0-12 Months</v>
      </c>
      <c r="W2008">
        <f t="shared" si="125"/>
        <v>1</v>
      </c>
      <c r="X2008">
        <f t="shared" si="126"/>
        <v>47.15</v>
      </c>
      <c r="Y2008" t="str">
        <f t="shared" si="127"/>
        <v>Non-Senior</v>
      </c>
    </row>
    <row r="2009" spans="1:25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124"/>
        <v>0-12 Months</v>
      </c>
      <c r="W2009">
        <f t="shared" si="125"/>
        <v>1</v>
      </c>
      <c r="X2009">
        <f t="shared" si="126"/>
        <v>80.2</v>
      </c>
      <c r="Y2009" t="str">
        <f t="shared" si="127"/>
        <v>Non-Senior</v>
      </c>
    </row>
    <row r="2010" spans="1:25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124"/>
        <v>0-12 Months</v>
      </c>
      <c r="W2010">
        <f t="shared" si="125"/>
        <v>1</v>
      </c>
      <c r="X2010">
        <f t="shared" si="126"/>
        <v>87.1</v>
      </c>
      <c r="Y2010" t="str">
        <f t="shared" si="127"/>
        <v>Non-Senior</v>
      </c>
    </row>
    <row r="2011" spans="1:25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124"/>
        <v>61-72 Months</v>
      </c>
      <c r="W2011">
        <f t="shared" si="125"/>
        <v>0</v>
      </c>
      <c r="X2011">
        <f t="shared" si="126"/>
        <v>0</v>
      </c>
      <c r="Y2011" t="str">
        <f t="shared" si="127"/>
        <v>Non-Senior</v>
      </c>
    </row>
    <row r="2012" spans="1:25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124"/>
        <v>0-12 Months</v>
      </c>
      <c r="W2012">
        <f t="shared" si="125"/>
        <v>1</v>
      </c>
      <c r="X2012">
        <f t="shared" si="126"/>
        <v>75.900000000000006</v>
      </c>
      <c r="Y2012" t="str">
        <f t="shared" si="127"/>
        <v>Non-Senior</v>
      </c>
    </row>
    <row r="2013" spans="1:25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124"/>
        <v>49-60 Months</v>
      </c>
      <c r="W2013">
        <f t="shared" si="125"/>
        <v>0</v>
      </c>
      <c r="X2013">
        <f t="shared" si="126"/>
        <v>0</v>
      </c>
      <c r="Y2013" t="str">
        <f t="shared" si="127"/>
        <v>Non-Senior</v>
      </c>
    </row>
    <row r="2014" spans="1:25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124"/>
        <v>37-48 Months</v>
      </c>
      <c r="W2014">
        <f t="shared" si="125"/>
        <v>1</v>
      </c>
      <c r="X2014">
        <f t="shared" si="126"/>
        <v>98.75</v>
      </c>
      <c r="Y2014" t="str">
        <f t="shared" si="127"/>
        <v>Non-Senior</v>
      </c>
    </row>
    <row r="2015" spans="1:25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7082</v>
      </c>
      <c r="J2015" t="s">
        <v>7084</v>
      </c>
      <c r="K2015" t="s">
        <v>46</v>
      </c>
      <c r="L2015" t="s">
        <v>7084</v>
      </c>
      <c r="M2015" t="s">
        <v>7084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124"/>
        <v>25-36 Months</v>
      </c>
      <c r="W2015">
        <f t="shared" si="125"/>
        <v>0</v>
      </c>
      <c r="X2015">
        <f t="shared" si="126"/>
        <v>0</v>
      </c>
      <c r="Y2015" t="str">
        <f t="shared" si="127"/>
        <v>Non-Senior</v>
      </c>
    </row>
    <row r="2016" spans="1:25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124"/>
        <v>13-24 Months</v>
      </c>
      <c r="W2016">
        <f t="shared" si="125"/>
        <v>0</v>
      </c>
      <c r="X2016">
        <f t="shared" si="126"/>
        <v>0</v>
      </c>
      <c r="Y2016" t="str">
        <f t="shared" si="127"/>
        <v>Non-Senior</v>
      </c>
    </row>
    <row r="2017" spans="1:25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124"/>
        <v>25-36 Months</v>
      </c>
      <c r="W2017">
        <f t="shared" si="125"/>
        <v>0</v>
      </c>
      <c r="X2017">
        <f t="shared" si="126"/>
        <v>0</v>
      </c>
      <c r="Y2017" t="str">
        <f t="shared" si="127"/>
        <v>Non-Senior</v>
      </c>
    </row>
    <row r="2018" spans="1:25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124"/>
        <v>0-12 Months</v>
      </c>
      <c r="W2018">
        <f t="shared" si="125"/>
        <v>1</v>
      </c>
      <c r="X2018">
        <f t="shared" si="126"/>
        <v>86.45</v>
      </c>
      <c r="Y2018" t="str">
        <f t="shared" si="127"/>
        <v>Non-Senior</v>
      </c>
    </row>
    <row r="2019" spans="1:25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7082</v>
      </c>
      <c r="J2019" t="s">
        <v>7084</v>
      </c>
      <c r="K2019" t="s">
        <v>46</v>
      </c>
      <c r="L2019" t="s">
        <v>7084</v>
      </c>
      <c r="M2019" t="s">
        <v>7084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124"/>
        <v>37-48 Months</v>
      </c>
      <c r="W2019">
        <f t="shared" si="125"/>
        <v>0</v>
      </c>
      <c r="X2019">
        <f t="shared" si="126"/>
        <v>0</v>
      </c>
      <c r="Y2019" t="str">
        <f t="shared" si="127"/>
        <v>Non-Senior</v>
      </c>
    </row>
    <row r="2020" spans="1:25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124"/>
        <v>0-12 Months</v>
      </c>
      <c r="W2020">
        <f t="shared" si="125"/>
        <v>1</v>
      </c>
      <c r="X2020">
        <f t="shared" si="126"/>
        <v>45.3</v>
      </c>
      <c r="Y2020" t="str">
        <f t="shared" si="127"/>
        <v>Non-Senior</v>
      </c>
    </row>
    <row r="2021" spans="1:25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124"/>
        <v>61-72 Months</v>
      </c>
      <c r="W2021">
        <f t="shared" si="125"/>
        <v>1</v>
      </c>
      <c r="X2021">
        <f t="shared" si="126"/>
        <v>104.1</v>
      </c>
      <c r="Y2021" t="str">
        <f t="shared" si="127"/>
        <v>Non-Senior</v>
      </c>
    </row>
    <row r="2022" spans="1:25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124"/>
        <v>49-60 Months</v>
      </c>
      <c r="W2022">
        <f t="shared" si="125"/>
        <v>0</v>
      </c>
      <c r="X2022">
        <f t="shared" si="126"/>
        <v>0</v>
      </c>
      <c r="Y2022" t="str">
        <f t="shared" si="127"/>
        <v>Non-Senior</v>
      </c>
    </row>
    <row r="2023" spans="1:25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124"/>
        <v>61-72 Months</v>
      </c>
      <c r="W2023">
        <f t="shared" si="125"/>
        <v>0</v>
      </c>
      <c r="X2023">
        <f t="shared" si="126"/>
        <v>0</v>
      </c>
      <c r="Y2023" t="str">
        <f t="shared" si="127"/>
        <v>Non-Senior</v>
      </c>
    </row>
    <row r="2024" spans="1:25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124"/>
        <v>13-24 Months</v>
      </c>
      <c r="W2024">
        <f t="shared" si="125"/>
        <v>0</v>
      </c>
      <c r="X2024">
        <f t="shared" si="126"/>
        <v>0</v>
      </c>
      <c r="Y2024" t="str">
        <f t="shared" si="127"/>
        <v>Non-Senior</v>
      </c>
    </row>
    <row r="2025" spans="1:25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124"/>
        <v>0-12 Months</v>
      </c>
      <c r="W2025">
        <f t="shared" si="125"/>
        <v>1</v>
      </c>
      <c r="X2025">
        <f t="shared" si="126"/>
        <v>81</v>
      </c>
      <c r="Y2025" t="str">
        <f t="shared" si="127"/>
        <v>Senior Citizen</v>
      </c>
    </row>
    <row r="2026" spans="1:25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124"/>
        <v>0-12 Months</v>
      </c>
      <c r="W2026">
        <f t="shared" si="125"/>
        <v>0</v>
      </c>
      <c r="X2026">
        <f t="shared" si="126"/>
        <v>0</v>
      </c>
      <c r="Y2026" t="str">
        <f t="shared" si="127"/>
        <v>Non-Senior</v>
      </c>
    </row>
    <row r="2027" spans="1:25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124"/>
        <v>61-72 Months</v>
      </c>
      <c r="W2027">
        <f t="shared" si="125"/>
        <v>0</v>
      </c>
      <c r="X2027">
        <f t="shared" si="126"/>
        <v>0</v>
      </c>
      <c r="Y2027" t="str">
        <f t="shared" si="127"/>
        <v>Non-Senior</v>
      </c>
    </row>
    <row r="2028" spans="1:25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124"/>
        <v>61-72 Months</v>
      </c>
      <c r="W2028">
        <f t="shared" si="125"/>
        <v>0</v>
      </c>
      <c r="X2028">
        <f t="shared" si="126"/>
        <v>0</v>
      </c>
      <c r="Y2028" t="str">
        <f t="shared" si="127"/>
        <v>Senior Citizen</v>
      </c>
    </row>
    <row r="2029" spans="1:25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7082</v>
      </c>
      <c r="J2029" t="s">
        <v>7084</v>
      </c>
      <c r="K2029" t="s">
        <v>46</v>
      </c>
      <c r="L2029" t="s">
        <v>7084</v>
      </c>
      <c r="M2029" t="s">
        <v>7084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124"/>
        <v>13-24 Months</v>
      </c>
      <c r="W2029">
        <f t="shared" si="125"/>
        <v>0</v>
      </c>
      <c r="X2029">
        <f t="shared" si="126"/>
        <v>0</v>
      </c>
      <c r="Y2029" t="str">
        <f t="shared" si="127"/>
        <v>Non-Senior</v>
      </c>
    </row>
    <row r="2030" spans="1:25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7082</v>
      </c>
      <c r="J2030" t="s">
        <v>7084</v>
      </c>
      <c r="K2030" t="s">
        <v>46</v>
      </c>
      <c r="L2030" t="s">
        <v>7084</v>
      </c>
      <c r="M2030" t="s">
        <v>7084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124"/>
        <v>13-24 Months</v>
      </c>
      <c r="W2030">
        <f t="shared" si="125"/>
        <v>0</v>
      </c>
      <c r="X2030">
        <f t="shared" si="126"/>
        <v>0</v>
      </c>
      <c r="Y2030" t="str">
        <f t="shared" si="127"/>
        <v>Non-Senior</v>
      </c>
    </row>
    <row r="2031" spans="1:25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124"/>
        <v>61-72 Months</v>
      </c>
      <c r="W2031">
        <f t="shared" si="125"/>
        <v>1</v>
      </c>
      <c r="X2031">
        <f t="shared" si="126"/>
        <v>90.6</v>
      </c>
      <c r="Y2031" t="str">
        <f t="shared" si="127"/>
        <v>Non-Senior</v>
      </c>
    </row>
    <row r="2032" spans="1:25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124"/>
        <v>0-12 Months</v>
      </c>
      <c r="W2032">
        <f t="shared" si="125"/>
        <v>0</v>
      </c>
      <c r="X2032">
        <f t="shared" si="126"/>
        <v>0</v>
      </c>
      <c r="Y2032" t="str">
        <f t="shared" si="127"/>
        <v>Non-Senior</v>
      </c>
    </row>
    <row r="2033" spans="1:25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124"/>
        <v>0-12 Months</v>
      </c>
      <c r="W2033">
        <f t="shared" si="125"/>
        <v>0</v>
      </c>
      <c r="X2033">
        <f t="shared" si="126"/>
        <v>0</v>
      </c>
      <c r="Y2033" t="str">
        <f t="shared" si="127"/>
        <v>Non-Senior</v>
      </c>
    </row>
    <row r="2034" spans="1:25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124"/>
        <v>13-24 Months</v>
      </c>
      <c r="W2034">
        <f t="shared" si="125"/>
        <v>1</v>
      </c>
      <c r="X2034">
        <f t="shared" si="126"/>
        <v>88.15</v>
      </c>
      <c r="Y2034" t="str">
        <f t="shared" si="127"/>
        <v>Non-Senior</v>
      </c>
    </row>
    <row r="2035" spans="1:25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7082</v>
      </c>
      <c r="J2035" t="s">
        <v>7084</v>
      </c>
      <c r="K2035" t="s">
        <v>46</v>
      </c>
      <c r="L2035" t="s">
        <v>7084</v>
      </c>
      <c r="M2035" t="s">
        <v>7084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124"/>
        <v>0-12 Months</v>
      </c>
      <c r="W2035">
        <f t="shared" si="125"/>
        <v>1</v>
      </c>
      <c r="X2035">
        <f t="shared" si="126"/>
        <v>20.2</v>
      </c>
      <c r="Y2035" t="str">
        <f t="shared" si="127"/>
        <v>Non-Senior</v>
      </c>
    </row>
    <row r="2036" spans="1:25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124"/>
        <v>37-48 Months</v>
      </c>
      <c r="W2036">
        <f t="shared" si="125"/>
        <v>0</v>
      </c>
      <c r="X2036">
        <f t="shared" si="126"/>
        <v>0</v>
      </c>
      <c r="Y2036" t="str">
        <f t="shared" si="127"/>
        <v>Non-Senior</v>
      </c>
    </row>
    <row r="2037" spans="1:25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124"/>
        <v>37-48 Months</v>
      </c>
      <c r="W2037">
        <f t="shared" si="125"/>
        <v>0</v>
      </c>
      <c r="X2037">
        <f t="shared" si="126"/>
        <v>0</v>
      </c>
      <c r="Y2037" t="str">
        <f t="shared" si="127"/>
        <v>Non-Senior</v>
      </c>
    </row>
    <row r="2038" spans="1:25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124"/>
        <v>0-12 Months</v>
      </c>
      <c r="W2038">
        <f t="shared" si="125"/>
        <v>0</v>
      </c>
      <c r="X2038">
        <f t="shared" si="126"/>
        <v>0</v>
      </c>
      <c r="Y2038" t="str">
        <f t="shared" si="127"/>
        <v>Senior Citizen</v>
      </c>
    </row>
    <row r="2039" spans="1:25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124"/>
        <v>0-12 Months</v>
      </c>
      <c r="W2039">
        <f t="shared" si="125"/>
        <v>0</v>
      </c>
      <c r="X2039">
        <f t="shared" si="126"/>
        <v>0</v>
      </c>
      <c r="Y2039" t="str">
        <f t="shared" si="127"/>
        <v>Senior Citizen</v>
      </c>
    </row>
    <row r="2040" spans="1:25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124"/>
        <v>25-36 Months</v>
      </c>
      <c r="W2040">
        <f t="shared" si="125"/>
        <v>1</v>
      </c>
      <c r="X2040">
        <f t="shared" si="126"/>
        <v>90.8</v>
      </c>
      <c r="Y2040" t="str">
        <f t="shared" si="127"/>
        <v>Non-Senior</v>
      </c>
    </row>
    <row r="2041" spans="1:25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124"/>
        <v>13-24 Months</v>
      </c>
      <c r="W2041">
        <f t="shared" si="125"/>
        <v>1</v>
      </c>
      <c r="X2041">
        <f t="shared" si="126"/>
        <v>79.349999999999994</v>
      </c>
      <c r="Y2041" t="str">
        <f t="shared" si="127"/>
        <v>Non-Senior</v>
      </c>
    </row>
    <row r="2042" spans="1:25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124"/>
        <v>61-72 Months</v>
      </c>
      <c r="W2042">
        <f t="shared" si="125"/>
        <v>0</v>
      </c>
      <c r="X2042">
        <f t="shared" si="126"/>
        <v>0</v>
      </c>
      <c r="Y2042" t="str">
        <f t="shared" si="127"/>
        <v>Non-Senior</v>
      </c>
    </row>
    <row r="2043" spans="1:25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7082</v>
      </c>
      <c r="J2043" t="s">
        <v>7084</v>
      </c>
      <c r="K2043" t="s">
        <v>46</v>
      </c>
      <c r="L2043" t="s">
        <v>7084</v>
      </c>
      <c r="M2043" t="s">
        <v>7084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124"/>
        <v>0-12 Months</v>
      </c>
      <c r="W2043">
        <f t="shared" si="125"/>
        <v>0</v>
      </c>
      <c r="X2043">
        <f t="shared" si="126"/>
        <v>0</v>
      </c>
      <c r="Y2043" t="str">
        <f t="shared" si="127"/>
        <v>Non-Senior</v>
      </c>
    </row>
    <row r="2044" spans="1:25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124"/>
        <v>25-36 Months</v>
      </c>
      <c r="W2044">
        <f t="shared" si="125"/>
        <v>0</v>
      </c>
      <c r="X2044">
        <f t="shared" si="126"/>
        <v>0</v>
      </c>
      <c r="Y2044" t="str">
        <f t="shared" si="127"/>
        <v>Senior Citizen</v>
      </c>
    </row>
    <row r="2045" spans="1:25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124"/>
        <v>13-24 Months</v>
      </c>
      <c r="W2045">
        <f t="shared" si="125"/>
        <v>0</v>
      </c>
      <c r="X2045">
        <f t="shared" si="126"/>
        <v>0</v>
      </c>
      <c r="Y2045" t="str">
        <f t="shared" si="127"/>
        <v>Senior Citizen</v>
      </c>
    </row>
    <row r="2046" spans="1:25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7082</v>
      </c>
      <c r="J2046" t="s">
        <v>7084</v>
      </c>
      <c r="K2046" t="s">
        <v>46</v>
      </c>
      <c r="L2046" t="s">
        <v>7084</v>
      </c>
      <c r="M2046" t="s">
        <v>7084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124"/>
        <v>0-12 Months</v>
      </c>
      <c r="W2046">
        <f t="shared" si="125"/>
        <v>0</v>
      </c>
      <c r="X2046">
        <f t="shared" si="126"/>
        <v>0</v>
      </c>
      <c r="Y2046" t="str">
        <f t="shared" si="127"/>
        <v>Non-Senior</v>
      </c>
    </row>
    <row r="2047" spans="1:25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124"/>
        <v>61-72 Months</v>
      </c>
      <c r="W2047">
        <f t="shared" si="125"/>
        <v>0</v>
      </c>
      <c r="X2047">
        <f t="shared" si="126"/>
        <v>0</v>
      </c>
      <c r="Y2047" t="str">
        <f t="shared" si="127"/>
        <v>Non-Senior</v>
      </c>
    </row>
    <row r="2048" spans="1:25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124"/>
        <v>0-12 Months</v>
      </c>
      <c r="W2048">
        <f t="shared" si="125"/>
        <v>0</v>
      </c>
      <c r="X2048">
        <f t="shared" si="126"/>
        <v>0</v>
      </c>
      <c r="Y2048" t="str">
        <f t="shared" si="127"/>
        <v>Non-Senior</v>
      </c>
    </row>
    <row r="2049" spans="1:25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124"/>
        <v>0-12 Months</v>
      </c>
      <c r="W2049">
        <f t="shared" si="125"/>
        <v>0</v>
      </c>
      <c r="X2049">
        <f t="shared" si="126"/>
        <v>0</v>
      </c>
      <c r="Y2049" t="str">
        <f t="shared" si="127"/>
        <v>Non-Senior</v>
      </c>
    </row>
    <row r="2050" spans="1:25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si="124"/>
        <v>13-24 Months</v>
      </c>
      <c r="W2050">
        <f t="shared" si="125"/>
        <v>1</v>
      </c>
      <c r="X2050">
        <f t="shared" si="126"/>
        <v>96.8</v>
      </c>
      <c r="Y2050" t="str">
        <f t="shared" si="127"/>
        <v>Senior Citizen</v>
      </c>
    </row>
    <row r="2051" spans="1:25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ref="V2051:V2114" si="128">IF(F2051&lt;=12,"0-12 Months",IF(F2051&lt;=24,"13-24 Months",IF(F2051&lt;=36,"25-36 Months",IF(F2051&lt;=48,"37-48 Months",IF(F2051&lt;=60,"49-60 Months","61-72 Months")))))</f>
        <v>61-72 Months</v>
      </c>
      <c r="W2051">
        <f t="shared" ref="W2051:W2114" si="129">IF(U2051="Yes",1,0)</f>
        <v>0</v>
      </c>
      <c r="X2051">
        <f t="shared" ref="X2051:X2114" si="130">IF(U2051="Yes",S2051,0)</f>
        <v>0</v>
      </c>
      <c r="Y2051" t="str">
        <f t="shared" ref="Y2051:Y2114" si="131">IF(C2051=1,"Senior Citizen","Non-Senior")</f>
        <v>Non-Senior</v>
      </c>
    </row>
    <row r="2052" spans="1:25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128"/>
        <v>61-72 Months</v>
      </c>
      <c r="W2052">
        <f t="shared" si="129"/>
        <v>0</v>
      </c>
      <c r="X2052">
        <f t="shared" si="130"/>
        <v>0</v>
      </c>
      <c r="Y2052" t="str">
        <f t="shared" si="131"/>
        <v>Non-Senior</v>
      </c>
    </row>
    <row r="2053" spans="1:25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7082</v>
      </c>
      <c r="J2053" t="s">
        <v>7084</v>
      </c>
      <c r="K2053" t="s">
        <v>46</v>
      </c>
      <c r="L2053" t="s">
        <v>7084</v>
      </c>
      <c r="M2053" t="s">
        <v>7084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128"/>
        <v>61-72 Months</v>
      </c>
      <c r="W2053">
        <f t="shared" si="129"/>
        <v>0</v>
      </c>
      <c r="X2053">
        <f t="shared" si="130"/>
        <v>0</v>
      </c>
      <c r="Y2053" t="str">
        <f t="shared" si="131"/>
        <v>Non-Senior</v>
      </c>
    </row>
    <row r="2054" spans="1:25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128"/>
        <v>37-48 Months</v>
      </c>
      <c r="W2054">
        <f t="shared" si="129"/>
        <v>0</v>
      </c>
      <c r="X2054">
        <f t="shared" si="130"/>
        <v>0</v>
      </c>
      <c r="Y2054" t="str">
        <f t="shared" si="131"/>
        <v>Non-Senior</v>
      </c>
    </row>
    <row r="2055" spans="1:25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128"/>
        <v>37-48 Months</v>
      </c>
      <c r="W2055">
        <f t="shared" si="129"/>
        <v>1</v>
      </c>
      <c r="X2055">
        <f t="shared" si="130"/>
        <v>83.35</v>
      </c>
      <c r="Y2055" t="str">
        <f t="shared" si="131"/>
        <v>Non-Senior</v>
      </c>
    </row>
    <row r="2056" spans="1:25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128"/>
        <v>0-12 Months</v>
      </c>
      <c r="W2056">
        <f t="shared" si="129"/>
        <v>1</v>
      </c>
      <c r="X2056">
        <f t="shared" si="130"/>
        <v>49.4</v>
      </c>
      <c r="Y2056" t="str">
        <f t="shared" si="131"/>
        <v>Non-Senior</v>
      </c>
    </row>
    <row r="2057" spans="1:25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128"/>
        <v>37-48 Months</v>
      </c>
      <c r="W2057">
        <f t="shared" si="129"/>
        <v>0</v>
      </c>
      <c r="X2057">
        <f t="shared" si="130"/>
        <v>0</v>
      </c>
      <c r="Y2057" t="str">
        <f t="shared" si="131"/>
        <v>Non-Senior</v>
      </c>
    </row>
    <row r="2058" spans="1:25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128"/>
        <v>49-60 Months</v>
      </c>
      <c r="W2058">
        <f t="shared" si="129"/>
        <v>0</v>
      </c>
      <c r="X2058">
        <f t="shared" si="130"/>
        <v>0</v>
      </c>
      <c r="Y2058" t="str">
        <f t="shared" si="131"/>
        <v>Non-Senior</v>
      </c>
    </row>
    <row r="2059" spans="1:25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128"/>
        <v>13-24 Months</v>
      </c>
      <c r="W2059">
        <f t="shared" si="129"/>
        <v>1</v>
      </c>
      <c r="X2059">
        <f t="shared" si="130"/>
        <v>79.2</v>
      </c>
      <c r="Y2059" t="str">
        <f t="shared" si="131"/>
        <v>Non-Senior</v>
      </c>
    </row>
    <row r="2060" spans="1:25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128"/>
        <v>61-72 Months</v>
      </c>
      <c r="W2060">
        <f t="shared" si="129"/>
        <v>0</v>
      </c>
      <c r="X2060">
        <f t="shared" si="130"/>
        <v>0</v>
      </c>
      <c r="Y2060" t="str">
        <f t="shared" si="131"/>
        <v>Non-Senior</v>
      </c>
    </row>
    <row r="2061" spans="1:25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128"/>
        <v>37-48 Months</v>
      </c>
      <c r="W2061">
        <f t="shared" si="129"/>
        <v>0</v>
      </c>
      <c r="X2061">
        <f t="shared" si="130"/>
        <v>0</v>
      </c>
      <c r="Y2061" t="str">
        <f t="shared" si="131"/>
        <v>Non-Senior</v>
      </c>
    </row>
    <row r="2062" spans="1:25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128"/>
        <v>61-72 Months</v>
      </c>
      <c r="W2062">
        <f t="shared" si="129"/>
        <v>0</v>
      </c>
      <c r="X2062">
        <f t="shared" si="130"/>
        <v>0</v>
      </c>
      <c r="Y2062" t="str">
        <f t="shared" si="131"/>
        <v>Non-Senior</v>
      </c>
    </row>
    <row r="2063" spans="1:25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128"/>
        <v>0-12 Months</v>
      </c>
      <c r="W2063">
        <f t="shared" si="129"/>
        <v>1</v>
      </c>
      <c r="X2063">
        <f t="shared" si="130"/>
        <v>48.7</v>
      </c>
      <c r="Y2063" t="str">
        <f t="shared" si="131"/>
        <v>Non-Senior</v>
      </c>
    </row>
    <row r="2064" spans="1:25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7082</v>
      </c>
      <c r="J2064" t="s">
        <v>7084</v>
      </c>
      <c r="K2064" t="s">
        <v>46</v>
      </c>
      <c r="L2064" t="s">
        <v>7084</v>
      </c>
      <c r="M2064" t="s">
        <v>7084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128"/>
        <v>61-72 Months</v>
      </c>
      <c r="W2064">
        <f t="shared" si="129"/>
        <v>0</v>
      </c>
      <c r="X2064">
        <f t="shared" si="130"/>
        <v>0</v>
      </c>
      <c r="Y2064" t="str">
        <f t="shared" si="131"/>
        <v>Non-Senior</v>
      </c>
    </row>
    <row r="2065" spans="1:25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128"/>
        <v>49-60 Months</v>
      </c>
      <c r="W2065">
        <f t="shared" si="129"/>
        <v>0</v>
      </c>
      <c r="X2065">
        <f t="shared" si="130"/>
        <v>0</v>
      </c>
      <c r="Y2065" t="str">
        <f t="shared" si="131"/>
        <v>Non-Senior</v>
      </c>
    </row>
    <row r="2066" spans="1:25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7082</v>
      </c>
      <c r="J2066" t="s">
        <v>7084</v>
      </c>
      <c r="K2066" t="s">
        <v>46</v>
      </c>
      <c r="L2066" t="s">
        <v>7084</v>
      </c>
      <c r="M2066" t="s">
        <v>7084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128"/>
        <v>25-36 Months</v>
      </c>
      <c r="W2066">
        <f t="shared" si="129"/>
        <v>0</v>
      </c>
      <c r="X2066">
        <f t="shared" si="130"/>
        <v>0</v>
      </c>
      <c r="Y2066" t="str">
        <f t="shared" si="131"/>
        <v>Non-Senior</v>
      </c>
    </row>
    <row r="2067" spans="1:25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128"/>
        <v>25-36 Months</v>
      </c>
      <c r="W2067">
        <f t="shared" si="129"/>
        <v>0</v>
      </c>
      <c r="X2067">
        <f t="shared" si="130"/>
        <v>0</v>
      </c>
      <c r="Y2067" t="str">
        <f t="shared" si="131"/>
        <v>Non-Senior</v>
      </c>
    </row>
    <row r="2068" spans="1:25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7082</v>
      </c>
      <c r="J2068" t="s">
        <v>7084</v>
      </c>
      <c r="K2068" t="s">
        <v>46</v>
      </c>
      <c r="L2068" t="s">
        <v>7084</v>
      </c>
      <c r="M2068" t="s">
        <v>7084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128"/>
        <v>61-72 Months</v>
      </c>
      <c r="W2068">
        <f t="shared" si="129"/>
        <v>0</v>
      </c>
      <c r="X2068">
        <f t="shared" si="130"/>
        <v>0</v>
      </c>
      <c r="Y2068" t="str">
        <f t="shared" si="131"/>
        <v>Non-Senior</v>
      </c>
    </row>
    <row r="2069" spans="1:25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128"/>
        <v>61-72 Months</v>
      </c>
      <c r="W2069">
        <f t="shared" si="129"/>
        <v>0</v>
      </c>
      <c r="X2069">
        <f t="shared" si="130"/>
        <v>0</v>
      </c>
      <c r="Y2069" t="str">
        <f t="shared" si="131"/>
        <v>Senior Citizen</v>
      </c>
    </row>
    <row r="2070" spans="1:25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128"/>
        <v>37-48 Months</v>
      </c>
      <c r="W2070">
        <f t="shared" si="129"/>
        <v>0</v>
      </c>
      <c r="X2070">
        <f t="shared" si="130"/>
        <v>0</v>
      </c>
      <c r="Y2070" t="str">
        <f t="shared" si="131"/>
        <v>Non-Senior</v>
      </c>
    </row>
    <row r="2071" spans="1:25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128"/>
        <v>0-12 Months</v>
      </c>
      <c r="W2071">
        <f t="shared" si="129"/>
        <v>1</v>
      </c>
      <c r="X2071">
        <f t="shared" si="130"/>
        <v>95.6</v>
      </c>
      <c r="Y2071" t="str">
        <f t="shared" si="131"/>
        <v>Non-Senior</v>
      </c>
    </row>
    <row r="2072" spans="1:25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128"/>
        <v>49-60 Months</v>
      </c>
      <c r="W2072">
        <f t="shared" si="129"/>
        <v>1</v>
      </c>
      <c r="X2072">
        <f t="shared" si="130"/>
        <v>59.75</v>
      </c>
      <c r="Y2072" t="str">
        <f t="shared" si="131"/>
        <v>Non-Senior</v>
      </c>
    </row>
    <row r="2073" spans="1:25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128"/>
        <v>61-72 Months</v>
      </c>
      <c r="W2073">
        <f t="shared" si="129"/>
        <v>0</v>
      </c>
      <c r="X2073">
        <f t="shared" si="130"/>
        <v>0</v>
      </c>
      <c r="Y2073" t="str">
        <f t="shared" si="131"/>
        <v>Non-Senior</v>
      </c>
    </row>
    <row r="2074" spans="1:25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7082</v>
      </c>
      <c r="J2074" t="s">
        <v>7084</v>
      </c>
      <c r="K2074" t="s">
        <v>46</v>
      </c>
      <c r="L2074" t="s">
        <v>7084</v>
      </c>
      <c r="M2074" t="s">
        <v>7084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128"/>
        <v>37-48 Months</v>
      </c>
      <c r="W2074">
        <f t="shared" si="129"/>
        <v>0</v>
      </c>
      <c r="X2074">
        <f t="shared" si="130"/>
        <v>0</v>
      </c>
      <c r="Y2074" t="str">
        <f t="shared" si="131"/>
        <v>Non-Senior</v>
      </c>
    </row>
    <row r="2075" spans="1:25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7082</v>
      </c>
      <c r="J2075" t="s">
        <v>7084</v>
      </c>
      <c r="K2075" t="s">
        <v>46</v>
      </c>
      <c r="L2075" t="s">
        <v>7084</v>
      </c>
      <c r="M2075" t="s">
        <v>7084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128"/>
        <v>13-24 Months</v>
      </c>
      <c r="W2075">
        <f t="shared" si="129"/>
        <v>0</v>
      </c>
      <c r="X2075">
        <f t="shared" si="130"/>
        <v>0</v>
      </c>
      <c r="Y2075" t="str">
        <f t="shared" si="131"/>
        <v>Non-Senior</v>
      </c>
    </row>
    <row r="2076" spans="1:25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128"/>
        <v>37-48 Months</v>
      </c>
      <c r="W2076">
        <f t="shared" si="129"/>
        <v>1</v>
      </c>
      <c r="X2076">
        <f t="shared" si="130"/>
        <v>108.15</v>
      </c>
      <c r="Y2076" t="str">
        <f t="shared" si="131"/>
        <v>Senior Citizen</v>
      </c>
    </row>
    <row r="2077" spans="1:25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128"/>
        <v>49-60 Months</v>
      </c>
      <c r="W2077">
        <f t="shared" si="129"/>
        <v>0</v>
      </c>
      <c r="X2077">
        <f t="shared" si="130"/>
        <v>0</v>
      </c>
      <c r="Y2077" t="str">
        <f t="shared" si="131"/>
        <v>Senior Citizen</v>
      </c>
    </row>
    <row r="2078" spans="1:25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128"/>
        <v>13-24 Months</v>
      </c>
      <c r="W2078">
        <f t="shared" si="129"/>
        <v>0</v>
      </c>
      <c r="X2078">
        <f t="shared" si="130"/>
        <v>0</v>
      </c>
      <c r="Y2078" t="str">
        <f t="shared" si="131"/>
        <v>Non-Senior</v>
      </c>
    </row>
    <row r="2079" spans="1:25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128"/>
        <v>0-12 Months</v>
      </c>
      <c r="W2079">
        <f t="shared" si="129"/>
        <v>1</v>
      </c>
      <c r="X2079">
        <f t="shared" si="130"/>
        <v>71.349999999999994</v>
      </c>
      <c r="Y2079" t="str">
        <f t="shared" si="131"/>
        <v>Non-Senior</v>
      </c>
    </row>
    <row r="2080" spans="1:25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128"/>
        <v>13-24 Months</v>
      </c>
      <c r="W2080">
        <f t="shared" si="129"/>
        <v>0</v>
      </c>
      <c r="X2080">
        <f t="shared" si="130"/>
        <v>0</v>
      </c>
      <c r="Y2080" t="str">
        <f t="shared" si="131"/>
        <v>Non-Senior</v>
      </c>
    </row>
    <row r="2081" spans="1:25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128"/>
        <v>61-72 Months</v>
      </c>
      <c r="W2081">
        <f t="shared" si="129"/>
        <v>0</v>
      </c>
      <c r="X2081">
        <f t="shared" si="130"/>
        <v>0</v>
      </c>
      <c r="Y2081" t="str">
        <f t="shared" si="131"/>
        <v>Non-Senior</v>
      </c>
    </row>
    <row r="2082" spans="1:25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128"/>
        <v>61-72 Months</v>
      </c>
      <c r="W2082">
        <f t="shared" si="129"/>
        <v>0</v>
      </c>
      <c r="X2082">
        <f t="shared" si="130"/>
        <v>0</v>
      </c>
      <c r="Y2082" t="str">
        <f t="shared" si="131"/>
        <v>Senior Citizen</v>
      </c>
    </row>
    <row r="2083" spans="1:25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128"/>
        <v>13-24 Months</v>
      </c>
      <c r="W2083">
        <f t="shared" si="129"/>
        <v>0</v>
      </c>
      <c r="X2083">
        <f t="shared" si="130"/>
        <v>0</v>
      </c>
      <c r="Y2083" t="str">
        <f t="shared" si="131"/>
        <v>Non-Senior</v>
      </c>
    </row>
    <row r="2084" spans="1:25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7082</v>
      </c>
      <c r="J2084" t="s">
        <v>7084</v>
      </c>
      <c r="K2084" t="s">
        <v>46</v>
      </c>
      <c r="L2084" t="s">
        <v>7084</v>
      </c>
      <c r="M2084" t="s">
        <v>7084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128"/>
        <v>13-24 Months</v>
      </c>
      <c r="W2084">
        <f t="shared" si="129"/>
        <v>0</v>
      </c>
      <c r="X2084">
        <f t="shared" si="130"/>
        <v>0</v>
      </c>
      <c r="Y2084" t="str">
        <f t="shared" si="131"/>
        <v>Non-Senior</v>
      </c>
    </row>
    <row r="2085" spans="1:25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7082</v>
      </c>
      <c r="J2085" t="s">
        <v>7084</v>
      </c>
      <c r="K2085" t="s">
        <v>46</v>
      </c>
      <c r="L2085" t="s">
        <v>7084</v>
      </c>
      <c r="M2085" t="s">
        <v>7084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128"/>
        <v>0-12 Months</v>
      </c>
      <c r="W2085">
        <f t="shared" si="129"/>
        <v>1</v>
      </c>
      <c r="X2085">
        <f t="shared" si="130"/>
        <v>20.149999999999999</v>
      </c>
      <c r="Y2085" t="str">
        <f t="shared" si="131"/>
        <v>Non-Senior</v>
      </c>
    </row>
    <row r="2086" spans="1:25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128"/>
        <v>0-12 Months</v>
      </c>
      <c r="W2086">
        <f t="shared" si="129"/>
        <v>1</v>
      </c>
      <c r="X2086">
        <f t="shared" si="130"/>
        <v>69.75</v>
      </c>
      <c r="Y2086" t="str">
        <f t="shared" si="131"/>
        <v>Non-Senior</v>
      </c>
    </row>
    <row r="2087" spans="1:25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128"/>
        <v>25-36 Months</v>
      </c>
      <c r="W2087">
        <f t="shared" si="129"/>
        <v>1</v>
      </c>
      <c r="X2087">
        <f t="shared" si="130"/>
        <v>93.2</v>
      </c>
      <c r="Y2087" t="str">
        <f t="shared" si="131"/>
        <v>Senior Citizen</v>
      </c>
    </row>
    <row r="2088" spans="1:25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128"/>
        <v>13-24 Months</v>
      </c>
      <c r="W2088">
        <f t="shared" si="129"/>
        <v>1</v>
      </c>
      <c r="X2088">
        <f t="shared" si="130"/>
        <v>80.849999999999994</v>
      </c>
      <c r="Y2088" t="str">
        <f t="shared" si="131"/>
        <v>Non-Senior</v>
      </c>
    </row>
    <row r="2089" spans="1:25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128"/>
        <v>0-12 Months</v>
      </c>
      <c r="W2089">
        <f t="shared" si="129"/>
        <v>1</v>
      </c>
      <c r="X2089">
        <f t="shared" si="130"/>
        <v>33.65</v>
      </c>
      <c r="Y2089" t="str">
        <f t="shared" si="131"/>
        <v>Non-Senior</v>
      </c>
    </row>
    <row r="2090" spans="1:25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128"/>
        <v>25-36 Months</v>
      </c>
      <c r="W2090">
        <f t="shared" si="129"/>
        <v>0</v>
      </c>
      <c r="X2090">
        <f t="shared" si="130"/>
        <v>0</v>
      </c>
      <c r="Y2090" t="str">
        <f t="shared" si="131"/>
        <v>Non-Senior</v>
      </c>
    </row>
    <row r="2091" spans="1:25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128"/>
        <v>49-60 Months</v>
      </c>
      <c r="W2091">
        <f t="shared" si="129"/>
        <v>0</v>
      </c>
      <c r="X2091">
        <f t="shared" si="130"/>
        <v>0</v>
      </c>
      <c r="Y2091" t="str">
        <f t="shared" si="131"/>
        <v>Non-Senior</v>
      </c>
    </row>
    <row r="2092" spans="1:25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128"/>
        <v>37-48 Months</v>
      </c>
      <c r="W2092">
        <f t="shared" si="129"/>
        <v>0</v>
      </c>
      <c r="X2092">
        <f t="shared" si="130"/>
        <v>0</v>
      </c>
      <c r="Y2092" t="str">
        <f t="shared" si="131"/>
        <v>Non-Senior</v>
      </c>
    </row>
    <row r="2093" spans="1:25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7082</v>
      </c>
      <c r="J2093" t="s">
        <v>7084</v>
      </c>
      <c r="K2093" t="s">
        <v>46</v>
      </c>
      <c r="L2093" t="s">
        <v>7084</v>
      </c>
      <c r="M2093" t="s">
        <v>7084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128"/>
        <v>49-60 Months</v>
      </c>
      <c r="W2093">
        <f t="shared" si="129"/>
        <v>0</v>
      </c>
      <c r="X2093">
        <f t="shared" si="130"/>
        <v>0</v>
      </c>
      <c r="Y2093" t="str">
        <f t="shared" si="131"/>
        <v>Non-Senior</v>
      </c>
    </row>
    <row r="2094" spans="1:25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128"/>
        <v>61-72 Months</v>
      </c>
      <c r="W2094">
        <f t="shared" si="129"/>
        <v>0</v>
      </c>
      <c r="X2094">
        <f t="shared" si="130"/>
        <v>0</v>
      </c>
      <c r="Y2094" t="str">
        <f t="shared" si="131"/>
        <v>Non-Senior</v>
      </c>
    </row>
    <row r="2095" spans="1:25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7082</v>
      </c>
      <c r="J2095" t="s">
        <v>7084</v>
      </c>
      <c r="K2095" t="s">
        <v>46</v>
      </c>
      <c r="L2095" t="s">
        <v>7084</v>
      </c>
      <c r="M2095" t="s">
        <v>7084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128"/>
        <v>0-12 Months</v>
      </c>
      <c r="W2095">
        <f t="shared" si="129"/>
        <v>0</v>
      </c>
      <c r="X2095">
        <f t="shared" si="130"/>
        <v>0</v>
      </c>
      <c r="Y2095" t="str">
        <f t="shared" si="131"/>
        <v>Non-Senior</v>
      </c>
    </row>
    <row r="2096" spans="1:25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7082</v>
      </c>
      <c r="J2096" t="s">
        <v>7084</v>
      </c>
      <c r="K2096" t="s">
        <v>46</v>
      </c>
      <c r="L2096" t="s">
        <v>7084</v>
      </c>
      <c r="M2096" t="s">
        <v>7084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128"/>
        <v>13-24 Months</v>
      </c>
      <c r="W2096">
        <f t="shared" si="129"/>
        <v>0</v>
      </c>
      <c r="X2096">
        <f t="shared" si="130"/>
        <v>0</v>
      </c>
      <c r="Y2096" t="str">
        <f t="shared" si="131"/>
        <v>Non-Senior</v>
      </c>
    </row>
    <row r="2097" spans="1:25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128"/>
        <v>0-12 Months</v>
      </c>
      <c r="W2097">
        <f t="shared" si="129"/>
        <v>1</v>
      </c>
      <c r="X2097">
        <f t="shared" si="130"/>
        <v>79.95</v>
      </c>
      <c r="Y2097" t="str">
        <f t="shared" si="131"/>
        <v>Non-Senior</v>
      </c>
    </row>
    <row r="2098" spans="1:25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7082</v>
      </c>
      <c r="J2098" t="s">
        <v>7084</v>
      </c>
      <c r="K2098" t="s">
        <v>46</v>
      </c>
      <c r="L2098" t="s">
        <v>7084</v>
      </c>
      <c r="M2098" t="s">
        <v>7084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128"/>
        <v>0-12 Months</v>
      </c>
      <c r="W2098">
        <f t="shared" si="129"/>
        <v>1</v>
      </c>
      <c r="X2098">
        <f t="shared" si="130"/>
        <v>19.3</v>
      </c>
      <c r="Y2098" t="str">
        <f t="shared" si="131"/>
        <v>Non-Senior</v>
      </c>
    </row>
    <row r="2099" spans="1:25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128"/>
        <v>0-12 Months</v>
      </c>
      <c r="W2099">
        <f t="shared" si="129"/>
        <v>0</v>
      </c>
      <c r="X2099">
        <f t="shared" si="130"/>
        <v>0</v>
      </c>
      <c r="Y2099" t="str">
        <f t="shared" si="131"/>
        <v>Non-Senior</v>
      </c>
    </row>
    <row r="2100" spans="1:25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128"/>
        <v>0-12 Months</v>
      </c>
      <c r="W2100">
        <f t="shared" si="129"/>
        <v>0</v>
      </c>
      <c r="X2100">
        <f t="shared" si="130"/>
        <v>0</v>
      </c>
      <c r="Y2100" t="str">
        <f t="shared" si="131"/>
        <v>Non-Senior</v>
      </c>
    </row>
    <row r="2101" spans="1:25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128"/>
        <v>37-48 Months</v>
      </c>
      <c r="W2101">
        <f t="shared" si="129"/>
        <v>0</v>
      </c>
      <c r="X2101">
        <f t="shared" si="130"/>
        <v>0</v>
      </c>
      <c r="Y2101" t="str">
        <f t="shared" si="131"/>
        <v>Non-Senior</v>
      </c>
    </row>
    <row r="2102" spans="1:25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128"/>
        <v>61-72 Months</v>
      </c>
      <c r="W2102">
        <f t="shared" si="129"/>
        <v>0</v>
      </c>
      <c r="X2102">
        <f t="shared" si="130"/>
        <v>0</v>
      </c>
      <c r="Y2102" t="str">
        <f t="shared" si="131"/>
        <v>Non-Senior</v>
      </c>
    </row>
    <row r="2103" spans="1:25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128"/>
        <v>37-48 Months</v>
      </c>
      <c r="W2103">
        <f t="shared" si="129"/>
        <v>1</v>
      </c>
      <c r="X2103">
        <f t="shared" si="130"/>
        <v>99.2</v>
      </c>
      <c r="Y2103" t="str">
        <f t="shared" si="131"/>
        <v>Non-Senior</v>
      </c>
    </row>
    <row r="2104" spans="1:25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128"/>
        <v>13-24 Months</v>
      </c>
      <c r="W2104">
        <f t="shared" si="129"/>
        <v>0</v>
      </c>
      <c r="X2104">
        <f t="shared" si="130"/>
        <v>0</v>
      </c>
      <c r="Y2104" t="str">
        <f t="shared" si="131"/>
        <v>Non-Senior</v>
      </c>
    </row>
    <row r="2105" spans="1:25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128"/>
        <v>0-12 Months</v>
      </c>
      <c r="W2105">
        <f t="shared" si="129"/>
        <v>0</v>
      </c>
      <c r="X2105">
        <f t="shared" si="130"/>
        <v>0</v>
      </c>
      <c r="Y2105" t="str">
        <f t="shared" si="131"/>
        <v>Senior Citizen</v>
      </c>
    </row>
    <row r="2106" spans="1:25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128"/>
        <v>0-12 Months</v>
      </c>
      <c r="W2106">
        <f t="shared" si="129"/>
        <v>1</v>
      </c>
      <c r="X2106">
        <f t="shared" si="130"/>
        <v>85.2</v>
      </c>
      <c r="Y2106" t="str">
        <f t="shared" si="131"/>
        <v>Non-Senior</v>
      </c>
    </row>
    <row r="2107" spans="1:25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128"/>
        <v>0-12 Months</v>
      </c>
      <c r="W2107">
        <f t="shared" si="129"/>
        <v>1</v>
      </c>
      <c r="X2107">
        <f t="shared" si="130"/>
        <v>75.25</v>
      </c>
      <c r="Y2107" t="str">
        <f t="shared" si="131"/>
        <v>Non-Senior</v>
      </c>
    </row>
    <row r="2108" spans="1:25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128"/>
        <v>49-60 Months</v>
      </c>
      <c r="W2108">
        <f t="shared" si="129"/>
        <v>0</v>
      </c>
      <c r="X2108">
        <f t="shared" si="130"/>
        <v>0</v>
      </c>
      <c r="Y2108" t="str">
        <f t="shared" si="131"/>
        <v>Non-Senior</v>
      </c>
    </row>
    <row r="2109" spans="1:25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128"/>
        <v>25-36 Months</v>
      </c>
      <c r="W2109">
        <f t="shared" si="129"/>
        <v>0</v>
      </c>
      <c r="X2109">
        <f t="shared" si="130"/>
        <v>0</v>
      </c>
      <c r="Y2109" t="str">
        <f t="shared" si="131"/>
        <v>Non-Senior</v>
      </c>
    </row>
    <row r="2110" spans="1:25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128"/>
        <v>37-48 Months</v>
      </c>
      <c r="W2110">
        <f t="shared" si="129"/>
        <v>0</v>
      </c>
      <c r="X2110">
        <f t="shared" si="130"/>
        <v>0</v>
      </c>
      <c r="Y2110" t="str">
        <f t="shared" si="131"/>
        <v>Non-Senior</v>
      </c>
    </row>
    <row r="2111" spans="1:25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7082</v>
      </c>
      <c r="J2111" t="s">
        <v>7084</v>
      </c>
      <c r="K2111" t="s">
        <v>46</v>
      </c>
      <c r="L2111" t="s">
        <v>7084</v>
      </c>
      <c r="M2111" t="s">
        <v>7084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128"/>
        <v>25-36 Months</v>
      </c>
      <c r="W2111">
        <f t="shared" si="129"/>
        <v>0</v>
      </c>
      <c r="X2111">
        <f t="shared" si="130"/>
        <v>0</v>
      </c>
      <c r="Y2111" t="str">
        <f t="shared" si="131"/>
        <v>Non-Senior</v>
      </c>
    </row>
    <row r="2112" spans="1:25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7082</v>
      </c>
      <c r="J2112" t="s">
        <v>7084</v>
      </c>
      <c r="K2112" t="s">
        <v>46</v>
      </c>
      <c r="L2112" t="s">
        <v>7084</v>
      </c>
      <c r="M2112" t="s">
        <v>7084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128"/>
        <v>0-12 Months</v>
      </c>
      <c r="W2112">
        <f t="shared" si="129"/>
        <v>0</v>
      </c>
      <c r="X2112">
        <f t="shared" si="130"/>
        <v>0</v>
      </c>
      <c r="Y2112" t="str">
        <f t="shared" si="131"/>
        <v>Non-Senior</v>
      </c>
    </row>
    <row r="2113" spans="1:25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7082</v>
      </c>
      <c r="J2113" t="s">
        <v>7084</v>
      </c>
      <c r="K2113" t="s">
        <v>46</v>
      </c>
      <c r="L2113" t="s">
        <v>7084</v>
      </c>
      <c r="M2113" t="s">
        <v>7084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128"/>
        <v>25-36 Months</v>
      </c>
      <c r="W2113">
        <f t="shared" si="129"/>
        <v>0</v>
      </c>
      <c r="X2113">
        <f t="shared" si="130"/>
        <v>0</v>
      </c>
      <c r="Y2113" t="str">
        <f t="shared" si="131"/>
        <v>Non-Senior</v>
      </c>
    </row>
    <row r="2114" spans="1:25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si="128"/>
        <v>25-36 Months</v>
      </c>
      <c r="W2114">
        <f t="shared" si="129"/>
        <v>0</v>
      </c>
      <c r="X2114">
        <f t="shared" si="130"/>
        <v>0</v>
      </c>
      <c r="Y2114" t="str">
        <f t="shared" si="131"/>
        <v>Non-Senior</v>
      </c>
    </row>
    <row r="2115" spans="1:25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ref="V2115:V2178" si="132">IF(F2115&lt;=12,"0-12 Months",IF(F2115&lt;=24,"13-24 Months",IF(F2115&lt;=36,"25-36 Months",IF(F2115&lt;=48,"37-48 Months",IF(F2115&lt;=60,"49-60 Months","61-72 Months")))))</f>
        <v>37-48 Months</v>
      </c>
      <c r="W2115">
        <f t="shared" ref="W2115:W2178" si="133">IF(U2115="Yes",1,0)</f>
        <v>0</v>
      </c>
      <c r="X2115">
        <f t="shared" ref="X2115:X2178" si="134">IF(U2115="Yes",S2115,0)</f>
        <v>0</v>
      </c>
      <c r="Y2115" t="str">
        <f t="shared" ref="Y2115:Y2178" si="135">IF(C2115=1,"Senior Citizen","Non-Senior")</f>
        <v>Non-Senior</v>
      </c>
    </row>
    <row r="2116" spans="1:25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132"/>
        <v>37-48 Months</v>
      </c>
      <c r="W2116">
        <f t="shared" si="133"/>
        <v>0</v>
      </c>
      <c r="X2116">
        <f t="shared" si="134"/>
        <v>0</v>
      </c>
      <c r="Y2116" t="str">
        <f t="shared" si="135"/>
        <v>Non-Senior</v>
      </c>
    </row>
    <row r="2117" spans="1:25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132"/>
        <v>61-72 Months</v>
      </c>
      <c r="W2117">
        <f t="shared" si="133"/>
        <v>0</v>
      </c>
      <c r="X2117">
        <f t="shared" si="134"/>
        <v>0</v>
      </c>
      <c r="Y2117" t="str">
        <f t="shared" si="135"/>
        <v>Non-Senior</v>
      </c>
    </row>
    <row r="2118" spans="1:25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132"/>
        <v>0-12 Months</v>
      </c>
      <c r="W2118">
        <f t="shared" si="133"/>
        <v>1</v>
      </c>
      <c r="X2118">
        <f t="shared" si="134"/>
        <v>54.35</v>
      </c>
      <c r="Y2118" t="str">
        <f t="shared" si="135"/>
        <v>Non-Senior</v>
      </c>
    </row>
    <row r="2119" spans="1:25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132"/>
        <v>61-72 Months</v>
      </c>
      <c r="W2119">
        <f t="shared" si="133"/>
        <v>0</v>
      </c>
      <c r="X2119">
        <f t="shared" si="134"/>
        <v>0</v>
      </c>
      <c r="Y2119" t="str">
        <f t="shared" si="135"/>
        <v>Non-Senior</v>
      </c>
    </row>
    <row r="2120" spans="1:25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132"/>
        <v>13-24 Months</v>
      </c>
      <c r="W2120">
        <f t="shared" si="133"/>
        <v>0</v>
      </c>
      <c r="X2120">
        <f t="shared" si="134"/>
        <v>0</v>
      </c>
      <c r="Y2120" t="str">
        <f t="shared" si="135"/>
        <v>Non-Senior</v>
      </c>
    </row>
    <row r="2121" spans="1:25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7082</v>
      </c>
      <c r="J2121" t="s">
        <v>7084</v>
      </c>
      <c r="K2121" t="s">
        <v>46</v>
      </c>
      <c r="L2121" t="s">
        <v>7084</v>
      </c>
      <c r="M2121" t="s">
        <v>7084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132"/>
        <v>37-48 Months</v>
      </c>
      <c r="W2121">
        <f t="shared" si="133"/>
        <v>0</v>
      </c>
      <c r="X2121">
        <f t="shared" si="134"/>
        <v>0</v>
      </c>
      <c r="Y2121" t="str">
        <f t="shared" si="135"/>
        <v>Non-Senior</v>
      </c>
    </row>
    <row r="2122" spans="1:25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7082</v>
      </c>
      <c r="J2122" t="s">
        <v>7084</v>
      </c>
      <c r="K2122" t="s">
        <v>46</v>
      </c>
      <c r="L2122" t="s">
        <v>7084</v>
      </c>
      <c r="M2122" t="s">
        <v>7084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132"/>
        <v>49-60 Months</v>
      </c>
      <c r="W2122">
        <f t="shared" si="133"/>
        <v>0</v>
      </c>
      <c r="X2122">
        <f t="shared" si="134"/>
        <v>0</v>
      </c>
      <c r="Y2122" t="str">
        <f t="shared" si="135"/>
        <v>Non-Senior</v>
      </c>
    </row>
    <row r="2123" spans="1:25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7082</v>
      </c>
      <c r="J2123" t="s">
        <v>7084</v>
      </c>
      <c r="K2123" t="s">
        <v>46</v>
      </c>
      <c r="L2123" t="s">
        <v>7084</v>
      </c>
      <c r="M2123" t="s">
        <v>7084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132"/>
        <v>0-12 Months</v>
      </c>
      <c r="W2123">
        <f t="shared" si="133"/>
        <v>0</v>
      </c>
      <c r="X2123">
        <f t="shared" si="134"/>
        <v>0</v>
      </c>
      <c r="Y2123" t="str">
        <f t="shared" si="135"/>
        <v>Non-Senior</v>
      </c>
    </row>
    <row r="2124" spans="1:25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132"/>
        <v>0-12 Months</v>
      </c>
      <c r="W2124">
        <f t="shared" si="133"/>
        <v>0</v>
      </c>
      <c r="X2124">
        <f t="shared" si="134"/>
        <v>0</v>
      </c>
      <c r="Y2124" t="str">
        <f t="shared" si="135"/>
        <v>Non-Senior</v>
      </c>
    </row>
    <row r="2125" spans="1:25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132"/>
        <v>25-36 Months</v>
      </c>
      <c r="W2125">
        <f t="shared" si="133"/>
        <v>0</v>
      </c>
      <c r="X2125">
        <f t="shared" si="134"/>
        <v>0</v>
      </c>
      <c r="Y2125" t="str">
        <f t="shared" si="135"/>
        <v>Non-Senior</v>
      </c>
    </row>
    <row r="2126" spans="1:25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132"/>
        <v>0-12 Months</v>
      </c>
      <c r="W2126">
        <f t="shared" si="133"/>
        <v>1</v>
      </c>
      <c r="X2126">
        <f t="shared" si="134"/>
        <v>24.95</v>
      </c>
      <c r="Y2126" t="str">
        <f t="shared" si="135"/>
        <v>Non-Senior</v>
      </c>
    </row>
    <row r="2127" spans="1:25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132"/>
        <v>61-72 Months</v>
      </c>
      <c r="W2127">
        <f t="shared" si="133"/>
        <v>0</v>
      </c>
      <c r="X2127">
        <f t="shared" si="134"/>
        <v>0</v>
      </c>
      <c r="Y2127" t="str">
        <f t="shared" si="135"/>
        <v>Non-Senior</v>
      </c>
    </row>
    <row r="2128" spans="1:25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132"/>
        <v>0-12 Months</v>
      </c>
      <c r="W2128">
        <f t="shared" si="133"/>
        <v>0</v>
      </c>
      <c r="X2128">
        <f t="shared" si="134"/>
        <v>0</v>
      </c>
      <c r="Y2128" t="str">
        <f t="shared" si="135"/>
        <v>Non-Senior</v>
      </c>
    </row>
    <row r="2129" spans="1:25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132"/>
        <v>37-48 Months</v>
      </c>
      <c r="W2129">
        <f t="shared" si="133"/>
        <v>1</v>
      </c>
      <c r="X2129">
        <f t="shared" si="134"/>
        <v>42.35</v>
      </c>
      <c r="Y2129" t="str">
        <f t="shared" si="135"/>
        <v>Non-Senior</v>
      </c>
    </row>
    <row r="2130" spans="1:25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132"/>
        <v>37-48 Months</v>
      </c>
      <c r="W2130">
        <f t="shared" si="133"/>
        <v>0</v>
      </c>
      <c r="X2130">
        <f t="shared" si="134"/>
        <v>0</v>
      </c>
      <c r="Y2130" t="str">
        <f t="shared" si="135"/>
        <v>Non-Senior</v>
      </c>
    </row>
    <row r="2131" spans="1:25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132"/>
        <v>0-12 Months</v>
      </c>
      <c r="W2131">
        <f t="shared" si="133"/>
        <v>1</v>
      </c>
      <c r="X2131">
        <f t="shared" si="134"/>
        <v>75.3</v>
      </c>
      <c r="Y2131" t="str">
        <f t="shared" si="135"/>
        <v>Non-Senior</v>
      </c>
    </row>
    <row r="2132" spans="1:25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132"/>
        <v>49-60 Months</v>
      </c>
      <c r="W2132">
        <f t="shared" si="133"/>
        <v>1</v>
      </c>
      <c r="X2132">
        <f t="shared" si="134"/>
        <v>94.8</v>
      </c>
      <c r="Y2132" t="str">
        <f t="shared" si="135"/>
        <v>Non-Senior</v>
      </c>
    </row>
    <row r="2133" spans="1:25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132"/>
        <v>37-48 Months</v>
      </c>
      <c r="W2133">
        <f t="shared" si="133"/>
        <v>0</v>
      </c>
      <c r="X2133">
        <f t="shared" si="134"/>
        <v>0</v>
      </c>
      <c r="Y2133" t="str">
        <f t="shared" si="135"/>
        <v>Non-Senior</v>
      </c>
    </row>
    <row r="2134" spans="1:25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7082</v>
      </c>
      <c r="J2134" t="s">
        <v>7084</v>
      </c>
      <c r="K2134" t="s">
        <v>46</v>
      </c>
      <c r="L2134" t="s">
        <v>7084</v>
      </c>
      <c r="M2134" t="s">
        <v>7084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132"/>
        <v>13-24 Months</v>
      </c>
      <c r="W2134">
        <f t="shared" si="133"/>
        <v>0</v>
      </c>
      <c r="X2134">
        <f t="shared" si="134"/>
        <v>0</v>
      </c>
      <c r="Y2134" t="str">
        <f t="shared" si="135"/>
        <v>Non-Senior</v>
      </c>
    </row>
    <row r="2135" spans="1:25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132"/>
        <v>0-12 Months</v>
      </c>
      <c r="W2135">
        <f t="shared" si="133"/>
        <v>1</v>
      </c>
      <c r="X2135">
        <f t="shared" si="134"/>
        <v>70.55</v>
      </c>
      <c r="Y2135" t="str">
        <f t="shared" si="135"/>
        <v>Senior Citizen</v>
      </c>
    </row>
    <row r="2136" spans="1:25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7082</v>
      </c>
      <c r="J2136" t="s">
        <v>7084</v>
      </c>
      <c r="K2136" t="s">
        <v>46</v>
      </c>
      <c r="L2136" t="s">
        <v>7084</v>
      </c>
      <c r="M2136" t="s">
        <v>7084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132"/>
        <v>0-12 Months</v>
      </c>
      <c r="W2136">
        <f t="shared" si="133"/>
        <v>0</v>
      </c>
      <c r="X2136">
        <f t="shared" si="134"/>
        <v>0</v>
      </c>
      <c r="Y2136" t="str">
        <f t="shared" si="135"/>
        <v>Non-Senior</v>
      </c>
    </row>
    <row r="2137" spans="1:25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132"/>
        <v>49-60 Months</v>
      </c>
      <c r="W2137">
        <f t="shared" si="133"/>
        <v>0</v>
      </c>
      <c r="X2137">
        <f t="shared" si="134"/>
        <v>0</v>
      </c>
      <c r="Y2137" t="str">
        <f t="shared" si="135"/>
        <v>Non-Senior</v>
      </c>
    </row>
    <row r="2138" spans="1:25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132"/>
        <v>13-24 Months</v>
      </c>
      <c r="W2138">
        <f t="shared" si="133"/>
        <v>0</v>
      </c>
      <c r="X2138">
        <f t="shared" si="134"/>
        <v>0</v>
      </c>
      <c r="Y2138" t="str">
        <f t="shared" si="135"/>
        <v>Non-Senior</v>
      </c>
    </row>
    <row r="2139" spans="1:25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7082</v>
      </c>
      <c r="J2139" t="s">
        <v>7084</v>
      </c>
      <c r="K2139" t="s">
        <v>46</v>
      </c>
      <c r="L2139" t="s">
        <v>7084</v>
      </c>
      <c r="M2139" t="s">
        <v>7084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132"/>
        <v>0-12 Months</v>
      </c>
      <c r="W2139">
        <f t="shared" si="133"/>
        <v>0</v>
      </c>
      <c r="X2139">
        <f t="shared" si="134"/>
        <v>0</v>
      </c>
      <c r="Y2139" t="str">
        <f t="shared" si="135"/>
        <v>Non-Senior</v>
      </c>
    </row>
    <row r="2140" spans="1:25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132"/>
        <v>49-60 Months</v>
      </c>
      <c r="W2140">
        <f t="shared" si="133"/>
        <v>0</v>
      </c>
      <c r="X2140">
        <f t="shared" si="134"/>
        <v>0</v>
      </c>
      <c r="Y2140" t="str">
        <f t="shared" si="135"/>
        <v>Non-Senior</v>
      </c>
    </row>
    <row r="2141" spans="1:25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132"/>
        <v>0-12 Months</v>
      </c>
      <c r="W2141">
        <f t="shared" si="133"/>
        <v>0</v>
      </c>
      <c r="X2141">
        <f t="shared" si="134"/>
        <v>0</v>
      </c>
      <c r="Y2141" t="str">
        <f t="shared" si="135"/>
        <v>Non-Senior</v>
      </c>
    </row>
    <row r="2142" spans="1:25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132"/>
        <v>25-36 Months</v>
      </c>
      <c r="W2142">
        <f t="shared" si="133"/>
        <v>1</v>
      </c>
      <c r="X2142">
        <f t="shared" si="134"/>
        <v>86.15</v>
      </c>
      <c r="Y2142" t="str">
        <f t="shared" si="135"/>
        <v>Non-Senior</v>
      </c>
    </row>
    <row r="2143" spans="1:25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7082</v>
      </c>
      <c r="J2143" t="s">
        <v>7084</v>
      </c>
      <c r="K2143" t="s">
        <v>46</v>
      </c>
      <c r="L2143" t="s">
        <v>7084</v>
      </c>
      <c r="M2143" t="s">
        <v>7084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132"/>
        <v>13-24 Months</v>
      </c>
      <c r="W2143">
        <f t="shared" si="133"/>
        <v>0</v>
      </c>
      <c r="X2143">
        <f t="shared" si="134"/>
        <v>0</v>
      </c>
      <c r="Y2143" t="str">
        <f t="shared" si="135"/>
        <v>Non-Senior</v>
      </c>
    </row>
    <row r="2144" spans="1:25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132"/>
        <v>13-24 Months</v>
      </c>
      <c r="W2144">
        <f t="shared" si="133"/>
        <v>0</v>
      </c>
      <c r="X2144">
        <f t="shared" si="134"/>
        <v>0</v>
      </c>
      <c r="Y2144" t="str">
        <f t="shared" si="135"/>
        <v>Non-Senior</v>
      </c>
    </row>
    <row r="2145" spans="1:25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132"/>
        <v>25-36 Months</v>
      </c>
      <c r="W2145">
        <f t="shared" si="133"/>
        <v>0</v>
      </c>
      <c r="X2145">
        <f t="shared" si="134"/>
        <v>0</v>
      </c>
      <c r="Y2145" t="str">
        <f t="shared" si="135"/>
        <v>Senior Citizen</v>
      </c>
    </row>
    <row r="2146" spans="1:25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132"/>
        <v>0-12 Months</v>
      </c>
      <c r="W2146">
        <f t="shared" si="133"/>
        <v>0</v>
      </c>
      <c r="X2146">
        <f t="shared" si="134"/>
        <v>0</v>
      </c>
      <c r="Y2146" t="str">
        <f t="shared" si="135"/>
        <v>Non-Senior</v>
      </c>
    </row>
    <row r="2147" spans="1:25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132"/>
        <v>0-12 Months</v>
      </c>
      <c r="W2147">
        <f t="shared" si="133"/>
        <v>0</v>
      </c>
      <c r="X2147">
        <f t="shared" si="134"/>
        <v>0</v>
      </c>
      <c r="Y2147" t="str">
        <f t="shared" si="135"/>
        <v>Non-Senior</v>
      </c>
    </row>
    <row r="2148" spans="1:25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132"/>
        <v>61-72 Months</v>
      </c>
      <c r="W2148">
        <f t="shared" si="133"/>
        <v>0</v>
      </c>
      <c r="X2148">
        <f t="shared" si="134"/>
        <v>0</v>
      </c>
      <c r="Y2148" t="str">
        <f t="shared" si="135"/>
        <v>Non-Senior</v>
      </c>
    </row>
    <row r="2149" spans="1:25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7082</v>
      </c>
      <c r="J2149" t="s">
        <v>7084</v>
      </c>
      <c r="K2149" t="s">
        <v>46</v>
      </c>
      <c r="L2149" t="s">
        <v>7084</v>
      </c>
      <c r="M2149" t="s">
        <v>7084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132"/>
        <v>13-24 Months</v>
      </c>
      <c r="W2149">
        <f t="shared" si="133"/>
        <v>0</v>
      </c>
      <c r="X2149">
        <f t="shared" si="134"/>
        <v>0</v>
      </c>
      <c r="Y2149" t="str">
        <f t="shared" si="135"/>
        <v>Non-Senior</v>
      </c>
    </row>
    <row r="2150" spans="1:25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7082</v>
      </c>
      <c r="J2150" t="s">
        <v>7084</v>
      </c>
      <c r="K2150" t="s">
        <v>46</v>
      </c>
      <c r="L2150" t="s">
        <v>7084</v>
      </c>
      <c r="M2150" t="s">
        <v>7084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132"/>
        <v>0-12 Months</v>
      </c>
      <c r="W2150">
        <f t="shared" si="133"/>
        <v>0</v>
      </c>
      <c r="X2150">
        <f t="shared" si="134"/>
        <v>0</v>
      </c>
      <c r="Y2150" t="str">
        <f t="shared" si="135"/>
        <v>Non-Senior</v>
      </c>
    </row>
    <row r="2151" spans="1:25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132"/>
        <v>37-48 Months</v>
      </c>
      <c r="W2151">
        <f t="shared" si="133"/>
        <v>0</v>
      </c>
      <c r="X2151">
        <f t="shared" si="134"/>
        <v>0</v>
      </c>
      <c r="Y2151" t="str">
        <f t="shared" si="135"/>
        <v>Non-Senior</v>
      </c>
    </row>
    <row r="2152" spans="1:25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132"/>
        <v>13-24 Months</v>
      </c>
      <c r="W2152">
        <f t="shared" si="133"/>
        <v>0</v>
      </c>
      <c r="X2152">
        <f t="shared" si="134"/>
        <v>0</v>
      </c>
      <c r="Y2152" t="str">
        <f t="shared" si="135"/>
        <v>Non-Senior</v>
      </c>
    </row>
    <row r="2153" spans="1:25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7082</v>
      </c>
      <c r="J2153" t="s">
        <v>7084</v>
      </c>
      <c r="K2153" t="s">
        <v>46</v>
      </c>
      <c r="L2153" t="s">
        <v>7084</v>
      </c>
      <c r="M2153" t="s">
        <v>7084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132"/>
        <v>61-72 Months</v>
      </c>
      <c r="W2153">
        <f t="shared" si="133"/>
        <v>0</v>
      </c>
      <c r="X2153">
        <f t="shared" si="134"/>
        <v>0</v>
      </c>
      <c r="Y2153" t="str">
        <f t="shared" si="135"/>
        <v>Non-Senior</v>
      </c>
    </row>
    <row r="2154" spans="1:25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132"/>
        <v>0-12 Months</v>
      </c>
      <c r="W2154">
        <f t="shared" si="133"/>
        <v>0</v>
      </c>
      <c r="X2154">
        <f t="shared" si="134"/>
        <v>0</v>
      </c>
      <c r="Y2154" t="str">
        <f t="shared" si="135"/>
        <v>Non-Senior</v>
      </c>
    </row>
    <row r="2155" spans="1:25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132"/>
        <v>25-36 Months</v>
      </c>
      <c r="W2155">
        <f t="shared" si="133"/>
        <v>0</v>
      </c>
      <c r="X2155">
        <f t="shared" si="134"/>
        <v>0</v>
      </c>
      <c r="Y2155" t="str">
        <f t="shared" si="135"/>
        <v>Non-Senior</v>
      </c>
    </row>
    <row r="2156" spans="1:25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7082</v>
      </c>
      <c r="J2156" t="s">
        <v>7084</v>
      </c>
      <c r="K2156" t="s">
        <v>46</v>
      </c>
      <c r="L2156" t="s">
        <v>7084</v>
      </c>
      <c r="M2156" t="s">
        <v>7084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132"/>
        <v>13-24 Months</v>
      </c>
      <c r="W2156">
        <f t="shared" si="133"/>
        <v>0</v>
      </c>
      <c r="X2156">
        <f t="shared" si="134"/>
        <v>0</v>
      </c>
      <c r="Y2156" t="str">
        <f t="shared" si="135"/>
        <v>Non-Senior</v>
      </c>
    </row>
    <row r="2157" spans="1:25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132"/>
        <v>25-36 Months</v>
      </c>
      <c r="W2157">
        <f t="shared" si="133"/>
        <v>1</v>
      </c>
      <c r="X2157">
        <f t="shared" si="134"/>
        <v>85</v>
      </c>
      <c r="Y2157" t="str">
        <f t="shared" si="135"/>
        <v>Non-Senior</v>
      </c>
    </row>
    <row r="2158" spans="1:25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132"/>
        <v>0-12 Months</v>
      </c>
      <c r="W2158">
        <f t="shared" si="133"/>
        <v>1</v>
      </c>
      <c r="X2158">
        <f t="shared" si="134"/>
        <v>80.55</v>
      </c>
      <c r="Y2158" t="str">
        <f t="shared" si="135"/>
        <v>Non-Senior</v>
      </c>
    </row>
    <row r="2159" spans="1:25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132"/>
        <v>49-60 Months</v>
      </c>
      <c r="W2159">
        <f t="shared" si="133"/>
        <v>0</v>
      </c>
      <c r="X2159">
        <f t="shared" si="134"/>
        <v>0</v>
      </c>
      <c r="Y2159" t="str">
        <f t="shared" si="135"/>
        <v>Non-Senior</v>
      </c>
    </row>
    <row r="2160" spans="1:25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132"/>
        <v>49-60 Months</v>
      </c>
      <c r="W2160">
        <f t="shared" si="133"/>
        <v>0</v>
      </c>
      <c r="X2160">
        <f t="shared" si="134"/>
        <v>0</v>
      </c>
      <c r="Y2160" t="str">
        <f t="shared" si="135"/>
        <v>Non-Senior</v>
      </c>
    </row>
    <row r="2161" spans="1:25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7082</v>
      </c>
      <c r="J2161" t="s">
        <v>7084</v>
      </c>
      <c r="K2161" t="s">
        <v>46</v>
      </c>
      <c r="L2161" t="s">
        <v>7084</v>
      </c>
      <c r="M2161" t="s">
        <v>7084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132"/>
        <v>13-24 Months</v>
      </c>
      <c r="W2161">
        <f t="shared" si="133"/>
        <v>0</v>
      </c>
      <c r="X2161">
        <f t="shared" si="134"/>
        <v>0</v>
      </c>
      <c r="Y2161" t="str">
        <f t="shared" si="135"/>
        <v>Non-Senior</v>
      </c>
    </row>
    <row r="2162" spans="1:25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132"/>
        <v>61-72 Months</v>
      </c>
      <c r="W2162">
        <f t="shared" si="133"/>
        <v>0</v>
      </c>
      <c r="X2162">
        <f t="shared" si="134"/>
        <v>0</v>
      </c>
      <c r="Y2162" t="str">
        <f t="shared" si="135"/>
        <v>Non-Senior</v>
      </c>
    </row>
    <row r="2163" spans="1:25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132"/>
        <v>0-12 Months</v>
      </c>
      <c r="W2163">
        <f t="shared" si="133"/>
        <v>1</v>
      </c>
      <c r="X2163">
        <f t="shared" si="134"/>
        <v>75.8</v>
      </c>
      <c r="Y2163" t="str">
        <f t="shared" si="135"/>
        <v>Non-Senior</v>
      </c>
    </row>
    <row r="2164" spans="1:25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132"/>
        <v>25-36 Months</v>
      </c>
      <c r="W2164">
        <f t="shared" si="133"/>
        <v>0</v>
      </c>
      <c r="X2164">
        <f t="shared" si="134"/>
        <v>0</v>
      </c>
      <c r="Y2164" t="str">
        <f t="shared" si="135"/>
        <v>Non-Senior</v>
      </c>
    </row>
    <row r="2165" spans="1:25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132"/>
        <v>25-36 Months</v>
      </c>
      <c r="W2165">
        <f t="shared" si="133"/>
        <v>1</v>
      </c>
      <c r="X2165">
        <f t="shared" si="134"/>
        <v>98.5</v>
      </c>
      <c r="Y2165" t="str">
        <f t="shared" si="135"/>
        <v>Senior Citizen</v>
      </c>
    </row>
    <row r="2166" spans="1:25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132"/>
        <v>61-72 Months</v>
      </c>
      <c r="W2166">
        <f t="shared" si="133"/>
        <v>0</v>
      </c>
      <c r="X2166">
        <f t="shared" si="134"/>
        <v>0</v>
      </c>
      <c r="Y2166" t="str">
        <f t="shared" si="135"/>
        <v>Non-Senior</v>
      </c>
    </row>
    <row r="2167" spans="1:25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7082</v>
      </c>
      <c r="J2167" t="s">
        <v>7084</v>
      </c>
      <c r="K2167" t="s">
        <v>46</v>
      </c>
      <c r="L2167" t="s">
        <v>7084</v>
      </c>
      <c r="M2167" t="s">
        <v>7084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132"/>
        <v>13-24 Months</v>
      </c>
      <c r="W2167">
        <f t="shared" si="133"/>
        <v>0</v>
      </c>
      <c r="X2167">
        <f t="shared" si="134"/>
        <v>0</v>
      </c>
      <c r="Y2167" t="str">
        <f t="shared" si="135"/>
        <v>Non-Senior</v>
      </c>
    </row>
    <row r="2168" spans="1:25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132"/>
        <v>49-60 Months</v>
      </c>
      <c r="W2168">
        <f t="shared" si="133"/>
        <v>0</v>
      </c>
      <c r="X2168">
        <f t="shared" si="134"/>
        <v>0</v>
      </c>
      <c r="Y2168" t="str">
        <f t="shared" si="135"/>
        <v>Senior Citizen</v>
      </c>
    </row>
    <row r="2169" spans="1:25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132"/>
        <v>13-24 Months</v>
      </c>
      <c r="W2169">
        <f t="shared" si="133"/>
        <v>1</v>
      </c>
      <c r="X2169">
        <f t="shared" si="134"/>
        <v>95.25</v>
      </c>
      <c r="Y2169" t="str">
        <f t="shared" si="135"/>
        <v>Senior Citizen</v>
      </c>
    </row>
    <row r="2170" spans="1:25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132"/>
        <v>0-12 Months</v>
      </c>
      <c r="W2170">
        <f t="shared" si="133"/>
        <v>1</v>
      </c>
      <c r="X2170">
        <f t="shared" si="134"/>
        <v>74.400000000000006</v>
      </c>
      <c r="Y2170" t="str">
        <f t="shared" si="135"/>
        <v>Senior Citizen</v>
      </c>
    </row>
    <row r="2171" spans="1:25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132"/>
        <v>61-72 Months</v>
      </c>
      <c r="W2171">
        <f t="shared" si="133"/>
        <v>0</v>
      </c>
      <c r="X2171">
        <f t="shared" si="134"/>
        <v>0</v>
      </c>
      <c r="Y2171" t="str">
        <f t="shared" si="135"/>
        <v>Non-Senior</v>
      </c>
    </row>
    <row r="2172" spans="1:25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132"/>
        <v>13-24 Months</v>
      </c>
      <c r="W2172">
        <f t="shared" si="133"/>
        <v>0</v>
      </c>
      <c r="X2172">
        <f t="shared" si="134"/>
        <v>0</v>
      </c>
      <c r="Y2172" t="str">
        <f t="shared" si="135"/>
        <v>Non-Senior</v>
      </c>
    </row>
    <row r="2173" spans="1:25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132"/>
        <v>0-12 Months</v>
      </c>
      <c r="W2173">
        <f t="shared" si="133"/>
        <v>0</v>
      </c>
      <c r="X2173">
        <f t="shared" si="134"/>
        <v>0</v>
      </c>
      <c r="Y2173" t="str">
        <f t="shared" si="135"/>
        <v>Non-Senior</v>
      </c>
    </row>
    <row r="2174" spans="1:25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132"/>
        <v>0-12 Months</v>
      </c>
      <c r="W2174">
        <f t="shared" si="133"/>
        <v>0</v>
      </c>
      <c r="X2174">
        <f t="shared" si="134"/>
        <v>0</v>
      </c>
      <c r="Y2174" t="str">
        <f t="shared" si="135"/>
        <v>Non-Senior</v>
      </c>
    </row>
    <row r="2175" spans="1:25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132"/>
        <v>0-12 Months</v>
      </c>
      <c r="W2175">
        <f t="shared" si="133"/>
        <v>0</v>
      </c>
      <c r="X2175">
        <f t="shared" si="134"/>
        <v>0</v>
      </c>
      <c r="Y2175" t="str">
        <f t="shared" si="135"/>
        <v>Non-Senior</v>
      </c>
    </row>
    <row r="2176" spans="1:25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7082</v>
      </c>
      <c r="J2176" t="s">
        <v>7084</v>
      </c>
      <c r="K2176" t="s">
        <v>46</v>
      </c>
      <c r="L2176" t="s">
        <v>7084</v>
      </c>
      <c r="M2176" t="s">
        <v>7084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132"/>
        <v>13-24 Months</v>
      </c>
      <c r="W2176">
        <f t="shared" si="133"/>
        <v>0</v>
      </c>
      <c r="X2176">
        <f t="shared" si="134"/>
        <v>0</v>
      </c>
      <c r="Y2176" t="str">
        <f t="shared" si="135"/>
        <v>Non-Senior</v>
      </c>
    </row>
    <row r="2177" spans="1:25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132"/>
        <v>25-36 Months</v>
      </c>
      <c r="W2177">
        <f t="shared" si="133"/>
        <v>1</v>
      </c>
      <c r="X2177">
        <f t="shared" si="134"/>
        <v>85.15</v>
      </c>
      <c r="Y2177" t="str">
        <f t="shared" si="135"/>
        <v>Non-Senior</v>
      </c>
    </row>
    <row r="2178" spans="1:25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7082</v>
      </c>
      <c r="J2178" t="s">
        <v>7084</v>
      </c>
      <c r="K2178" t="s">
        <v>46</v>
      </c>
      <c r="L2178" t="s">
        <v>7084</v>
      </c>
      <c r="M2178" t="s">
        <v>7084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si="132"/>
        <v>61-72 Months</v>
      </c>
      <c r="W2178">
        <f t="shared" si="133"/>
        <v>0</v>
      </c>
      <c r="X2178">
        <f t="shared" si="134"/>
        <v>0</v>
      </c>
      <c r="Y2178" t="str">
        <f t="shared" si="135"/>
        <v>Non-Senior</v>
      </c>
    </row>
    <row r="2179" spans="1:25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ref="V2179:V2242" si="136">IF(F2179&lt;=12,"0-12 Months",IF(F2179&lt;=24,"13-24 Months",IF(F2179&lt;=36,"25-36 Months",IF(F2179&lt;=48,"37-48 Months",IF(F2179&lt;=60,"49-60 Months","61-72 Months")))))</f>
        <v>61-72 Months</v>
      </c>
      <c r="W2179">
        <f t="shared" ref="W2179:W2242" si="137">IF(U2179="Yes",1,0)</f>
        <v>0</v>
      </c>
      <c r="X2179">
        <f t="shared" ref="X2179:X2242" si="138">IF(U2179="Yes",S2179,0)</f>
        <v>0</v>
      </c>
      <c r="Y2179" t="str">
        <f t="shared" ref="Y2179:Y2242" si="139">IF(C2179=1,"Senior Citizen","Non-Senior")</f>
        <v>Senior Citizen</v>
      </c>
    </row>
    <row r="2180" spans="1:25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7082</v>
      </c>
      <c r="J2180" t="s">
        <v>7084</v>
      </c>
      <c r="K2180" t="s">
        <v>46</v>
      </c>
      <c r="L2180" t="s">
        <v>7084</v>
      </c>
      <c r="M2180" t="s">
        <v>7084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136"/>
        <v>49-60 Months</v>
      </c>
      <c r="W2180">
        <f t="shared" si="137"/>
        <v>0</v>
      </c>
      <c r="X2180">
        <f t="shared" si="138"/>
        <v>0</v>
      </c>
      <c r="Y2180" t="str">
        <f t="shared" si="139"/>
        <v>Non-Senior</v>
      </c>
    </row>
    <row r="2181" spans="1:25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7082</v>
      </c>
      <c r="J2181" t="s">
        <v>7084</v>
      </c>
      <c r="K2181" t="s">
        <v>46</v>
      </c>
      <c r="L2181" t="s">
        <v>7084</v>
      </c>
      <c r="M2181" t="s">
        <v>7084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136"/>
        <v>0-12 Months</v>
      </c>
      <c r="W2181">
        <f t="shared" si="137"/>
        <v>0</v>
      </c>
      <c r="X2181">
        <f t="shared" si="138"/>
        <v>0</v>
      </c>
      <c r="Y2181" t="str">
        <f t="shared" si="139"/>
        <v>Non-Senior</v>
      </c>
    </row>
    <row r="2182" spans="1:25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136"/>
        <v>61-72 Months</v>
      </c>
      <c r="W2182">
        <f t="shared" si="137"/>
        <v>0</v>
      </c>
      <c r="X2182">
        <f t="shared" si="138"/>
        <v>0</v>
      </c>
      <c r="Y2182" t="str">
        <f t="shared" si="139"/>
        <v>Senior Citizen</v>
      </c>
    </row>
    <row r="2183" spans="1:25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136"/>
        <v>49-60 Months</v>
      </c>
      <c r="W2183">
        <f t="shared" si="137"/>
        <v>0</v>
      </c>
      <c r="X2183">
        <f t="shared" si="138"/>
        <v>0</v>
      </c>
      <c r="Y2183" t="str">
        <f t="shared" si="139"/>
        <v>Non-Senior</v>
      </c>
    </row>
    <row r="2184" spans="1:25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136"/>
        <v>49-60 Months</v>
      </c>
      <c r="W2184">
        <f t="shared" si="137"/>
        <v>0</v>
      </c>
      <c r="X2184">
        <f t="shared" si="138"/>
        <v>0</v>
      </c>
      <c r="Y2184" t="str">
        <f t="shared" si="139"/>
        <v>Non-Senior</v>
      </c>
    </row>
    <row r="2185" spans="1:25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136"/>
        <v>0-12 Months</v>
      </c>
      <c r="W2185">
        <f t="shared" si="137"/>
        <v>0</v>
      </c>
      <c r="X2185">
        <f t="shared" si="138"/>
        <v>0</v>
      </c>
      <c r="Y2185" t="str">
        <f t="shared" si="139"/>
        <v>Non-Senior</v>
      </c>
    </row>
    <row r="2186" spans="1:25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136"/>
        <v>0-12 Months</v>
      </c>
      <c r="W2186">
        <f t="shared" si="137"/>
        <v>1</v>
      </c>
      <c r="X2186">
        <f t="shared" si="138"/>
        <v>88.55</v>
      </c>
      <c r="Y2186" t="str">
        <f t="shared" si="139"/>
        <v>Senior Citizen</v>
      </c>
    </row>
    <row r="2187" spans="1:25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136"/>
        <v>13-24 Months</v>
      </c>
      <c r="W2187">
        <f t="shared" si="137"/>
        <v>1</v>
      </c>
      <c r="X2187">
        <f t="shared" si="138"/>
        <v>54.75</v>
      </c>
      <c r="Y2187" t="str">
        <f t="shared" si="139"/>
        <v>Non-Senior</v>
      </c>
    </row>
    <row r="2188" spans="1:25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7082</v>
      </c>
      <c r="J2188" t="s">
        <v>7084</v>
      </c>
      <c r="K2188" t="s">
        <v>46</v>
      </c>
      <c r="L2188" t="s">
        <v>7084</v>
      </c>
      <c r="M2188" t="s">
        <v>7084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136"/>
        <v>37-48 Months</v>
      </c>
      <c r="W2188">
        <f t="shared" si="137"/>
        <v>0</v>
      </c>
      <c r="X2188">
        <f t="shared" si="138"/>
        <v>0</v>
      </c>
      <c r="Y2188" t="str">
        <f t="shared" si="139"/>
        <v>Non-Senior</v>
      </c>
    </row>
    <row r="2189" spans="1:25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136"/>
        <v>61-72 Months</v>
      </c>
      <c r="W2189">
        <f t="shared" si="137"/>
        <v>0</v>
      </c>
      <c r="X2189">
        <f t="shared" si="138"/>
        <v>0</v>
      </c>
      <c r="Y2189" t="str">
        <f t="shared" si="139"/>
        <v>Non-Senior</v>
      </c>
    </row>
    <row r="2190" spans="1:25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136"/>
        <v>25-36 Months</v>
      </c>
      <c r="W2190">
        <f t="shared" si="137"/>
        <v>0</v>
      </c>
      <c r="X2190">
        <f t="shared" si="138"/>
        <v>0</v>
      </c>
      <c r="Y2190" t="str">
        <f t="shared" si="139"/>
        <v>Non-Senior</v>
      </c>
    </row>
    <row r="2191" spans="1:25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7082</v>
      </c>
      <c r="J2191" t="s">
        <v>7084</v>
      </c>
      <c r="K2191" t="s">
        <v>46</v>
      </c>
      <c r="L2191" t="s">
        <v>7084</v>
      </c>
      <c r="M2191" t="s">
        <v>7084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136"/>
        <v>61-72 Months</v>
      </c>
      <c r="W2191">
        <f t="shared" si="137"/>
        <v>0</v>
      </c>
      <c r="X2191">
        <f t="shared" si="138"/>
        <v>0</v>
      </c>
      <c r="Y2191" t="str">
        <f t="shared" si="139"/>
        <v>Non-Senior</v>
      </c>
    </row>
    <row r="2192" spans="1:25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136"/>
        <v>61-72 Months</v>
      </c>
      <c r="W2192">
        <f t="shared" si="137"/>
        <v>0</v>
      </c>
      <c r="X2192">
        <f t="shared" si="138"/>
        <v>0</v>
      </c>
      <c r="Y2192" t="str">
        <f t="shared" si="139"/>
        <v>Non-Senior</v>
      </c>
    </row>
    <row r="2193" spans="1:25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136"/>
        <v>0-12 Months</v>
      </c>
      <c r="W2193">
        <f t="shared" si="137"/>
        <v>1</v>
      </c>
      <c r="X2193">
        <f t="shared" si="138"/>
        <v>91.3</v>
      </c>
      <c r="Y2193" t="str">
        <f t="shared" si="139"/>
        <v>Senior Citizen</v>
      </c>
    </row>
    <row r="2194" spans="1:25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136"/>
        <v>49-60 Months</v>
      </c>
      <c r="W2194">
        <f t="shared" si="137"/>
        <v>0</v>
      </c>
      <c r="X2194">
        <f t="shared" si="138"/>
        <v>0</v>
      </c>
      <c r="Y2194" t="str">
        <f t="shared" si="139"/>
        <v>Senior Citizen</v>
      </c>
    </row>
    <row r="2195" spans="1:25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7082</v>
      </c>
      <c r="J2195" t="s">
        <v>7084</v>
      </c>
      <c r="K2195" t="s">
        <v>46</v>
      </c>
      <c r="L2195" t="s">
        <v>7084</v>
      </c>
      <c r="M2195" t="s">
        <v>7084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136"/>
        <v>49-60 Months</v>
      </c>
      <c r="W2195">
        <f t="shared" si="137"/>
        <v>0</v>
      </c>
      <c r="X2195">
        <f t="shared" si="138"/>
        <v>0</v>
      </c>
      <c r="Y2195" t="str">
        <f t="shared" si="139"/>
        <v>Non-Senior</v>
      </c>
    </row>
    <row r="2196" spans="1:25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136"/>
        <v>0-12 Months</v>
      </c>
      <c r="W2196">
        <f t="shared" si="137"/>
        <v>1</v>
      </c>
      <c r="X2196">
        <f t="shared" si="138"/>
        <v>79.5</v>
      </c>
      <c r="Y2196" t="str">
        <f t="shared" si="139"/>
        <v>Non-Senior</v>
      </c>
    </row>
    <row r="2197" spans="1:25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7082</v>
      </c>
      <c r="J2197" t="s">
        <v>7084</v>
      </c>
      <c r="K2197" t="s">
        <v>46</v>
      </c>
      <c r="L2197" t="s">
        <v>7084</v>
      </c>
      <c r="M2197" t="s">
        <v>7084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136"/>
        <v>25-36 Months</v>
      </c>
      <c r="W2197">
        <f t="shared" si="137"/>
        <v>0</v>
      </c>
      <c r="X2197">
        <f t="shared" si="138"/>
        <v>0</v>
      </c>
      <c r="Y2197" t="str">
        <f t="shared" si="139"/>
        <v>Non-Senior</v>
      </c>
    </row>
    <row r="2198" spans="1:25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7082</v>
      </c>
      <c r="J2198" t="s">
        <v>7084</v>
      </c>
      <c r="K2198" t="s">
        <v>46</v>
      </c>
      <c r="L2198" t="s">
        <v>7084</v>
      </c>
      <c r="M2198" t="s">
        <v>7084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136"/>
        <v>13-24 Months</v>
      </c>
      <c r="W2198">
        <f t="shared" si="137"/>
        <v>0</v>
      </c>
      <c r="X2198">
        <f t="shared" si="138"/>
        <v>0</v>
      </c>
      <c r="Y2198" t="str">
        <f t="shared" si="139"/>
        <v>Non-Senior</v>
      </c>
    </row>
    <row r="2199" spans="1:25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136"/>
        <v>61-72 Months</v>
      </c>
      <c r="W2199">
        <f t="shared" si="137"/>
        <v>0</v>
      </c>
      <c r="X2199">
        <f t="shared" si="138"/>
        <v>0</v>
      </c>
      <c r="Y2199" t="str">
        <f t="shared" si="139"/>
        <v>Non-Senior</v>
      </c>
    </row>
    <row r="2200" spans="1:25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136"/>
        <v>13-24 Months</v>
      </c>
      <c r="W2200">
        <f t="shared" si="137"/>
        <v>0</v>
      </c>
      <c r="X2200">
        <f t="shared" si="138"/>
        <v>0</v>
      </c>
      <c r="Y2200" t="str">
        <f t="shared" si="139"/>
        <v>Non-Senior</v>
      </c>
    </row>
    <row r="2201" spans="1:25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7082</v>
      </c>
      <c r="J2201" t="s">
        <v>7084</v>
      </c>
      <c r="K2201" t="s">
        <v>46</v>
      </c>
      <c r="L2201" t="s">
        <v>7084</v>
      </c>
      <c r="M2201" t="s">
        <v>7084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136"/>
        <v>49-60 Months</v>
      </c>
      <c r="W2201">
        <f t="shared" si="137"/>
        <v>0</v>
      </c>
      <c r="X2201">
        <f t="shared" si="138"/>
        <v>0</v>
      </c>
      <c r="Y2201" t="str">
        <f t="shared" si="139"/>
        <v>Non-Senior</v>
      </c>
    </row>
    <row r="2202" spans="1:25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136"/>
        <v>13-24 Months</v>
      </c>
      <c r="W2202">
        <f t="shared" si="137"/>
        <v>0</v>
      </c>
      <c r="X2202">
        <f t="shared" si="138"/>
        <v>0</v>
      </c>
      <c r="Y2202" t="str">
        <f t="shared" si="139"/>
        <v>Non-Senior</v>
      </c>
    </row>
    <row r="2203" spans="1:25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136"/>
        <v>25-36 Months</v>
      </c>
      <c r="W2203">
        <f t="shared" si="137"/>
        <v>0</v>
      </c>
      <c r="X2203">
        <f t="shared" si="138"/>
        <v>0</v>
      </c>
      <c r="Y2203" t="str">
        <f t="shared" si="139"/>
        <v>Non-Senior</v>
      </c>
    </row>
    <row r="2204" spans="1:25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136"/>
        <v>0-12 Months</v>
      </c>
      <c r="W2204">
        <f t="shared" si="137"/>
        <v>1</v>
      </c>
      <c r="X2204">
        <f t="shared" si="138"/>
        <v>70.099999999999994</v>
      </c>
      <c r="Y2204" t="str">
        <f t="shared" si="139"/>
        <v>Senior Citizen</v>
      </c>
    </row>
    <row r="2205" spans="1:25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136"/>
        <v>61-72 Months</v>
      </c>
      <c r="W2205">
        <f t="shared" si="137"/>
        <v>0</v>
      </c>
      <c r="X2205">
        <f t="shared" si="138"/>
        <v>0</v>
      </c>
      <c r="Y2205" t="str">
        <f t="shared" si="139"/>
        <v>Non-Senior</v>
      </c>
    </row>
    <row r="2206" spans="1:25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136"/>
        <v>61-72 Months</v>
      </c>
      <c r="W2206">
        <f t="shared" si="137"/>
        <v>1</v>
      </c>
      <c r="X2206">
        <f t="shared" si="138"/>
        <v>111.3</v>
      </c>
      <c r="Y2206" t="str">
        <f t="shared" si="139"/>
        <v>Non-Senior</v>
      </c>
    </row>
    <row r="2207" spans="1:25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136"/>
        <v>25-36 Months</v>
      </c>
      <c r="W2207">
        <f t="shared" si="137"/>
        <v>0</v>
      </c>
      <c r="X2207">
        <f t="shared" si="138"/>
        <v>0</v>
      </c>
      <c r="Y2207" t="str">
        <f t="shared" si="139"/>
        <v>Senior Citizen</v>
      </c>
    </row>
    <row r="2208" spans="1:25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136"/>
        <v>49-60 Months</v>
      </c>
      <c r="W2208">
        <f t="shared" si="137"/>
        <v>1</v>
      </c>
      <c r="X2208">
        <f t="shared" si="138"/>
        <v>95.25</v>
      </c>
      <c r="Y2208" t="str">
        <f t="shared" si="139"/>
        <v>Senior Citizen</v>
      </c>
    </row>
    <row r="2209" spans="1:25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136"/>
        <v>0-12 Months</v>
      </c>
      <c r="W2209">
        <f t="shared" si="137"/>
        <v>1</v>
      </c>
      <c r="X2209">
        <f t="shared" si="138"/>
        <v>86.25</v>
      </c>
      <c r="Y2209" t="str">
        <f t="shared" si="139"/>
        <v>Non-Senior</v>
      </c>
    </row>
    <row r="2210" spans="1:25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136"/>
        <v>0-12 Months</v>
      </c>
      <c r="W2210">
        <f t="shared" si="137"/>
        <v>1</v>
      </c>
      <c r="X2210">
        <f t="shared" si="138"/>
        <v>100.8</v>
      </c>
      <c r="Y2210" t="str">
        <f t="shared" si="139"/>
        <v>Senior Citizen</v>
      </c>
    </row>
    <row r="2211" spans="1:25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7082</v>
      </c>
      <c r="J2211" t="s">
        <v>7084</v>
      </c>
      <c r="K2211" t="s">
        <v>46</v>
      </c>
      <c r="L2211" t="s">
        <v>7084</v>
      </c>
      <c r="M2211" t="s">
        <v>7084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136"/>
        <v>0-12 Months</v>
      </c>
      <c r="W2211">
        <f t="shared" si="137"/>
        <v>0</v>
      </c>
      <c r="X2211">
        <f t="shared" si="138"/>
        <v>0</v>
      </c>
      <c r="Y2211" t="str">
        <f t="shared" si="139"/>
        <v>Non-Senior</v>
      </c>
    </row>
    <row r="2212" spans="1:25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136"/>
        <v>61-72 Months</v>
      </c>
      <c r="W2212">
        <f t="shared" si="137"/>
        <v>0</v>
      </c>
      <c r="X2212">
        <f t="shared" si="138"/>
        <v>0</v>
      </c>
      <c r="Y2212" t="str">
        <f t="shared" si="139"/>
        <v>Non-Senior</v>
      </c>
    </row>
    <row r="2213" spans="1:25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136"/>
        <v>49-60 Months</v>
      </c>
      <c r="W2213">
        <f t="shared" si="137"/>
        <v>0</v>
      </c>
      <c r="X2213">
        <f t="shared" si="138"/>
        <v>0</v>
      </c>
      <c r="Y2213" t="str">
        <f t="shared" si="139"/>
        <v>Non-Senior</v>
      </c>
    </row>
    <row r="2214" spans="1:25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7082</v>
      </c>
      <c r="J2214" t="s">
        <v>7084</v>
      </c>
      <c r="K2214" t="s">
        <v>46</v>
      </c>
      <c r="L2214" t="s">
        <v>7084</v>
      </c>
      <c r="M2214" t="s">
        <v>7084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136"/>
        <v>0-12 Months</v>
      </c>
      <c r="W2214">
        <f t="shared" si="137"/>
        <v>0</v>
      </c>
      <c r="X2214">
        <f t="shared" si="138"/>
        <v>0</v>
      </c>
      <c r="Y2214" t="str">
        <f t="shared" si="139"/>
        <v>Non-Senior</v>
      </c>
    </row>
    <row r="2215" spans="1:25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7082</v>
      </c>
      <c r="J2215" t="s">
        <v>7084</v>
      </c>
      <c r="K2215" t="s">
        <v>46</v>
      </c>
      <c r="L2215" t="s">
        <v>7084</v>
      </c>
      <c r="M2215" t="s">
        <v>7084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136"/>
        <v>0-12 Months</v>
      </c>
      <c r="W2215">
        <f t="shared" si="137"/>
        <v>0</v>
      </c>
      <c r="X2215">
        <f t="shared" si="138"/>
        <v>0</v>
      </c>
      <c r="Y2215" t="str">
        <f t="shared" si="139"/>
        <v>Non-Senior</v>
      </c>
    </row>
    <row r="2216" spans="1:25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136"/>
        <v>13-24 Months</v>
      </c>
      <c r="W2216">
        <f t="shared" si="137"/>
        <v>1</v>
      </c>
      <c r="X2216">
        <f t="shared" si="138"/>
        <v>86.3</v>
      </c>
      <c r="Y2216" t="str">
        <f t="shared" si="139"/>
        <v>Non-Senior</v>
      </c>
    </row>
    <row r="2217" spans="1:25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136"/>
        <v>61-72 Months</v>
      </c>
      <c r="W2217">
        <f t="shared" si="137"/>
        <v>0</v>
      </c>
      <c r="X2217">
        <f t="shared" si="138"/>
        <v>0</v>
      </c>
      <c r="Y2217" t="str">
        <f t="shared" si="139"/>
        <v>Non-Senior</v>
      </c>
    </row>
    <row r="2218" spans="1:25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136"/>
        <v>61-72 Months</v>
      </c>
      <c r="W2218">
        <f t="shared" si="137"/>
        <v>0</v>
      </c>
      <c r="X2218">
        <f t="shared" si="138"/>
        <v>0</v>
      </c>
      <c r="Y2218" t="str">
        <f t="shared" si="139"/>
        <v>Senior Citizen</v>
      </c>
    </row>
    <row r="2219" spans="1:25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136"/>
        <v>61-72 Months</v>
      </c>
      <c r="W2219">
        <f t="shared" si="137"/>
        <v>0</v>
      </c>
      <c r="X2219">
        <f t="shared" si="138"/>
        <v>0</v>
      </c>
      <c r="Y2219" t="str">
        <f t="shared" si="139"/>
        <v>Non-Senior</v>
      </c>
    </row>
    <row r="2220" spans="1:25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136"/>
        <v>61-72 Months</v>
      </c>
      <c r="W2220">
        <f t="shared" si="137"/>
        <v>0</v>
      </c>
      <c r="X2220">
        <f t="shared" si="138"/>
        <v>0</v>
      </c>
      <c r="Y2220" t="str">
        <f t="shared" si="139"/>
        <v>Non-Senior</v>
      </c>
    </row>
    <row r="2221" spans="1:25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136"/>
        <v>13-24 Months</v>
      </c>
      <c r="W2221">
        <f t="shared" si="137"/>
        <v>0</v>
      </c>
      <c r="X2221">
        <f t="shared" si="138"/>
        <v>0</v>
      </c>
      <c r="Y2221" t="str">
        <f t="shared" si="139"/>
        <v>Senior Citizen</v>
      </c>
    </row>
    <row r="2222" spans="1:25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136"/>
        <v>61-72 Months</v>
      </c>
      <c r="W2222">
        <f t="shared" si="137"/>
        <v>0</v>
      </c>
      <c r="X2222">
        <f t="shared" si="138"/>
        <v>0</v>
      </c>
      <c r="Y2222" t="str">
        <f t="shared" si="139"/>
        <v>Non-Senior</v>
      </c>
    </row>
    <row r="2223" spans="1:25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136"/>
        <v>61-72 Months</v>
      </c>
      <c r="W2223">
        <f t="shared" si="137"/>
        <v>0</v>
      </c>
      <c r="X2223">
        <f t="shared" si="138"/>
        <v>0</v>
      </c>
      <c r="Y2223" t="str">
        <f t="shared" si="139"/>
        <v>Non-Senior</v>
      </c>
    </row>
    <row r="2224" spans="1:25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136"/>
        <v>37-48 Months</v>
      </c>
      <c r="W2224">
        <f t="shared" si="137"/>
        <v>0</v>
      </c>
      <c r="X2224">
        <f t="shared" si="138"/>
        <v>0</v>
      </c>
      <c r="Y2224" t="str">
        <f t="shared" si="139"/>
        <v>Non-Senior</v>
      </c>
    </row>
    <row r="2225" spans="1:25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136"/>
        <v>25-36 Months</v>
      </c>
      <c r="W2225">
        <f t="shared" si="137"/>
        <v>1</v>
      </c>
      <c r="X2225">
        <f t="shared" si="138"/>
        <v>89.95</v>
      </c>
      <c r="Y2225" t="str">
        <f t="shared" si="139"/>
        <v>Non-Senior</v>
      </c>
    </row>
    <row r="2226" spans="1:25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136"/>
        <v>13-24 Months</v>
      </c>
      <c r="W2226">
        <f t="shared" si="137"/>
        <v>1</v>
      </c>
      <c r="X2226">
        <f t="shared" si="138"/>
        <v>76.45</v>
      </c>
      <c r="Y2226" t="str">
        <f t="shared" si="139"/>
        <v>Senior Citizen</v>
      </c>
    </row>
    <row r="2227" spans="1:25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136"/>
        <v>25-36 Months</v>
      </c>
      <c r="W2227">
        <f t="shared" si="137"/>
        <v>0</v>
      </c>
      <c r="X2227">
        <f t="shared" si="138"/>
        <v>0</v>
      </c>
      <c r="Y2227" t="str">
        <f t="shared" si="139"/>
        <v>Non-Senior</v>
      </c>
    </row>
    <row r="2228" spans="1:25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136"/>
        <v>13-24 Months</v>
      </c>
      <c r="W2228">
        <f t="shared" si="137"/>
        <v>0</v>
      </c>
      <c r="X2228">
        <f t="shared" si="138"/>
        <v>0</v>
      </c>
      <c r="Y2228" t="str">
        <f t="shared" si="139"/>
        <v>Non-Senior</v>
      </c>
    </row>
    <row r="2229" spans="1:25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7082</v>
      </c>
      <c r="J2229" t="s">
        <v>7084</v>
      </c>
      <c r="K2229" t="s">
        <v>46</v>
      </c>
      <c r="L2229" t="s">
        <v>7084</v>
      </c>
      <c r="M2229" t="s">
        <v>7084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136"/>
        <v>49-60 Months</v>
      </c>
      <c r="W2229">
        <f t="shared" si="137"/>
        <v>0</v>
      </c>
      <c r="X2229">
        <f t="shared" si="138"/>
        <v>0</v>
      </c>
      <c r="Y2229" t="str">
        <f t="shared" si="139"/>
        <v>Non-Senior</v>
      </c>
    </row>
    <row r="2230" spans="1:25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136"/>
        <v>61-72 Months</v>
      </c>
      <c r="W2230">
        <f t="shared" si="137"/>
        <v>0</v>
      </c>
      <c r="X2230">
        <f t="shared" si="138"/>
        <v>0</v>
      </c>
      <c r="Y2230" t="str">
        <f t="shared" si="139"/>
        <v>Senior Citizen</v>
      </c>
    </row>
    <row r="2231" spans="1:25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136"/>
        <v>0-12 Months</v>
      </c>
      <c r="W2231">
        <f t="shared" si="137"/>
        <v>0</v>
      </c>
      <c r="X2231">
        <f t="shared" si="138"/>
        <v>0</v>
      </c>
      <c r="Y2231" t="str">
        <f t="shared" si="139"/>
        <v>Non-Senior</v>
      </c>
    </row>
    <row r="2232" spans="1:25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7082</v>
      </c>
      <c r="J2232" t="s">
        <v>7084</v>
      </c>
      <c r="K2232" t="s">
        <v>46</v>
      </c>
      <c r="L2232" t="s">
        <v>7084</v>
      </c>
      <c r="M2232" t="s">
        <v>7084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136"/>
        <v>37-48 Months</v>
      </c>
      <c r="W2232">
        <f t="shared" si="137"/>
        <v>0</v>
      </c>
      <c r="X2232">
        <f t="shared" si="138"/>
        <v>0</v>
      </c>
      <c r="Y2232" t="str">
        <f t="shared" si="139"/>
        <v>Non-Senior</v>
      </c>
    </row>
    <row r="2233" spans="1:25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136"/>
        <v>0-12 Months</v>
      </c>
      <c r="W2233">
        <f t="shared" si="137"/>
        <v>1</v>
      </c>
      <c r="X2233">
        <f t="shared" si="138"/>
        <v>70</v>
      </c>
      <c r="Y2233" t="str">
        <f t="shared" si="139"/>
        <v>Non-Senior</v>
      </c>
    </row>
    <row r="2234" spans="1:25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7082</v>
      </c>
      <c r="J2234" t="s">
        <v>7084</v>
      </c>
      <c r="K2234" t="s">
        <v>46</v>
      </c>
      <c r="L2234" t="s">
        <v>7084</v>
      </c>
      <c r="M2234" t="s">
        <v>7084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136"/>
        <v>25-36 Months</v>
      </c>
      <c r="W2234">
        <f t="shared" si="137"/>
        <v>0</v>
      </c>
      <c r="X2234">
        <f t="shared" si="138"/>
        <v>0</v>
      </c>
      <c r="Y2234" t="str">
        <f t="shared" si="139"/>
        <v>Non-Senior</v>
      </c>
    </row>
    <row r="2235" spans="1:25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136"/>
        <v>49-60 Months</v>
      </c>
      <c r="W2235">
        <f t="shared" si="137"/>
        <v>0</v>
      </c>
      <c r="X2235">
        <f t="shared" si="138"/>
        <v>0</v>
      </c>
      <c r="Y2235" t="str">
        <f t="shared" si="139"/>
        <v>Non-Senior</v>
      </c>
    </row>
    <row r="2236" spans="1:25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136"/>
        <v>13-24 Months</v>
      </c>
      <c r="W2236">
        <f t="shared" si="137"/>
        <v>0</v>
      </c>
      <c r="X2236">
        <f t="shared" si="138"/>
        <v>0</v>
      </c>
      <c r="Y2236" t="str">
        <f t="shared" si="139"/>
        <v>Non-Senior</v>
      </c>
    </row>
    <row r="2237" spans="1:25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136"/>
        <v>37-48 Months</v>
      </c>
      <c r="W2237">
        <f t="shared" si="137"/>
        <v>0</v>
      </c>
      <c r="X2237">
        <f t="shared" si="138"/>
        <v>0</v>
      </c>
      <c r="Y2237" t="str">
        <f t="shared" si="139"/>
        <v>Non-Senior</v>
      </c>
    </row>
    <row r="2238" spans="1:25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136"/>
        <v>0-12 Months</v>
      </c>
      <c r="W2238">
        <f t="shared" si="137"/>
        <v>0</v>
      </c>
      <c r="X2238">
        <f t="shared" si="138"/>
        <v>0</v>
      </c>
      <c r="Y2238" t="str">
        <f t="shared" si="139"/>
        <v>Senior Citizen</v>
      </c>
    </row>
    <row r="2239" spans="1:25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136"/>
        <v>25-36 Months</v>
      </c>
      <c r="W2239">
        <f t="shared" si="137"/>
        <v>0</v>
      </c>
      <c r="X2239">
        <f t="shared" si="138"/>
        <v>0</v>
      </c>
      <c r="Y2239" t="str">
        <f t="shared" si="139"/>
        <v>Non-Senior</v>
      </c>
    </row>
    <row r="2240" spans="1:25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136"/>
        <v>0-12 Months</v>
      </c>
      <c r="W2240">
        <f t="shared" si="137"/>
        <v>0</v>
      </c>
      <c r="X2240">
        <f t="shared" si="138"/>
        <v>0</v>
      </c>
      <c r="Y2240" t="str">
        <f t="shared" si="139"/>
        <v>Non-Senior</v>
      </c>
    </row>
    <row r="2241" spans="1:25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136"/>
        <v>61-72 Months</v>
      </c>
      <c r="W2241">
        <f t="shared" si="137"/>
        <v>0</v>
      </c>
      <c r="X2241">
        <f t="shared" si="138"/>
        <v>0</v>
      </c>
      <c r="Y2241" t="str">
        <f t="shared" si="139"/>
        <v>Non-Senior</v>
      </c>
    </row>
    <row r="2242" spans="1:25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si="136"/>
        <v>61-72 Months</v>
      </c>
      <c r="W2242">
        <f t="shared" si="137"/>
        <v>0</v>
      </c>
      <c r="X2242">
        <f t="shared" si="138"/>
        <v>0</v>
      </c>
      <c r="Y2242" t="str">
        <f t="shared" si="139"/>
        <v>Senior Citizen</v>
      </c>
    </row>
    <row r="2243" spans="1:25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7082</v>
      </c>
      <c r="J2243" t="s">
        <v>7084</v>
      </c>
      <c r="K2243" t="s">
        <v>46</v>
      </c>
      <c r="L2243" t="s">
        <v>7084</v>
      </c>
      <c r="M2243" t="s">
        <v>7084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ref="V2243:V2306" si="140">IF(F2243&lt;=12,"0-12 Months",IF(F2243&lt;=24,"13-24 Months",IF(F2243&lt;=36,"25-36 Months",IF(F2243&lt;=48,"37-48 Months",IF(F2243&lt;=60,"49-60 Months","61-72 Months")))))</f>
        <v>49-60 Months</v>
      </c>
      <c r="W2243">
        <f t="shared" ref="W2243:W2306" si="141">IF(U2243="Yes",1,0)</f>
        <v>0</v>
      </c>
      <c r="X2243">
        <f t="shared" ref="X2243:X2306" si="142">IF(U2243="Yes",S2243,0)</f>
        <v>0</v>
      </c>
      <c r="Y2243" t="str">
        <f t="shared" ref="Y2243:Y2306" si="143">IF(C2243=1,"Senior Citizen","Non-Senior")</f>
        <v>Non-Senior</v>
      </c>
    </row>
    <row r="2244" spans="1:25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7082</v>
      </c>
      <c r="J2244" t="s">
        <v>7084</v>
      </c>
      <c r="K2244" t="s">
        <v>46</v>
      </c>
      <c r="L2244" t="s">
        <v>7084</v>
      </c>
      <c r="M2244" t="s">
        <v>7084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140"/>
        <v>37-48 Months</v>
      </c>
      <c r="W2244">
        <f t="shared" si="141"/>
        <v>0</v>
      </c>
      <c r="X2244">
        <f t="shared" si="142"/>
        <v>0</v>
      </c>
      <c r="Y2244" t="str">
        <f t="shared" si="143"/>
        <v>Non-Senior</v>
      </c>
    </row>
    <row r="2245" spans="1:25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140"/>
        <v>61-72 Months</v>
      </c>
      <c r="W2245">
        <f t="shared" si="141"/>
        <v>0</v>
      </c>
      <c r="X2245">
        <f t="shared" si="142"/>
        <v>0</v>
      </c>
      <c r="Y2245" t="str">
        <f t="shared" si="143"/>
        <v>Senior Citizen</v>
      </c>
    </row>
    <row r="2246" spans="1:25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140"/>
        <v>25-36 Months</v>
      </c>
      <c r="W2246">
        <f t="shared" si="141"/>
        <v>1</v>
      </c>
      <c r="X2246">
        <f t="shared" si="142"/>
        <v>64.400000000000006</v>
      </c>
      <c r="Y2246" t="str">
        <f t="shared" si="143"/>
        <v>Non-Senior</v>
      </c>
    </row>
    <row r="2247" spans="1:25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140"/>
        <v>61-72 Months</v>
      </c>
      <c r="W2247">
        <f t="shared" si="141"/>
        <v>0</v>
      </c>
      <c r="X2247">
        <f t="shared" si="142"/>
        <v>0</v>
      </c>
      <c r="Y2247" t="str">
        <f t="shared" si="143"/>
        <v>Non-Senior</v>
      </c>
    </row>
    <row r="2248" spans="1:25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140"/>
        <v>0-12 Months</v>
      </c>
      <c r="W2248">
        <f t="shared" si="141"/>
        <v>1</v>
      </c>
      <c r="X2248">
        <f t="shared" si="142"/>
        <v>102.45</v>
      </c>
      <c r="Y2248" t="str">
        <f t="shared" si="143"/>
        <v>Non-Senior</v>
      </c>
    </row>
    <row r="2249" spans="1:25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7082</v>
      </c>
      <c r="J2249" t="s">
        <v>7084</v>
      </c>
      <c r="K2249" t="s">
        <v>46</v>
      </c>
      <c r="L2249" t="s">
        <v>7084</v>
      </c>
      <c r="M2249" t="s">
        <v>7084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140"/>
        <v>37-48 Months</v>
      </c>
      <c r="W2249">
        <f t="shared" si="141"/>
        <v>0</v>
      </c>
      <c r="X2249">
        <f t="shared" si="142"/>
        <v>0</v>
      </c>
      <c r="Y2249" t="str">
        <f t="shared" si="143"/>
        <v>Non-Senior</v>
      </c>
    </row>
    <row r="2250" spans="1:25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140"/>
        <v>25-36 Months</v>
      </c>
      <c r="W2250">
        <f t="shared" si="141"/>
        <v>0</v>
      </c>
      <c r="X2250">
        <f t="shared" si="142"/>
        <v>0</v>
      </c>
      <c r="Y2250" t="str">
        <f t="shared" si="143"/>
        <v>Non-Senior</v>
      </c>
    </row>
    <row r="2251" spans="1:25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140"/>
        <v>0-12 Months</v>
      </c>
      <c r="W2251">
        <f t="shared" si="141"/>
        <v>0</v>
      </c>
      <c r="X2251">
        <f t="shared" si="142"/>
        <v>0</v>
      </c>
      <c r="Y2251" t="str">
        <f t="shared" si="143"/>
        <v>Non-Senior</v>
      </c>
    </row>
    <row r="2252" spans="1:25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7082</v>
      </c>
      <c r="J2252" t="s">
        <v>7084</v>
      </c>
      <c r="K2252" t="s">
        <v>46</v>
      </c>
      <c r="L2252" t="s">
        <v>7084</v>
      </c>
      <c r="M2252" t="s">
        <v>7084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140"/>
        <v>13-24 Months</v>
      </c>
      <c r="W2252">
        <f t="shared" si="141"/>
        <v>0</v>
      </c>
      <c r="X2252">
        <f t="shared" si="142"/>
        <v>0</v>
      </c>
      <c r="Y2252" t="str">
        <f t="shared" si="143"/>
        <v>Non-Senior</v>
      </c>
    </row>
    <row r="2253" spans="1:25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140"/>
        <v>0-12 Months</v>
      </c>
      <c r="W2253">
        <f t="shared" si="141"/>
        <v>0</v>
      </c>
      <c r="X2253">
        <f t="shared" si="142"/>
        <v>0</v>
      </c>
      <c r="Y2253" t="str">
        <f t="shared" si="143"/>
        <v>Non-Senior</v>
      </c>
    </row>
    <row r="2254" spans="1:25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7082</v>
      </c>
      <c r="J2254" t="s">
        <v>7084</v>
      </c>
      <c r="K2254" t="s">
        <v>46</v>
      </c>
      <c r="L2254" t="s">
        <v>7084</v>
      </c>
      <c r="M2254" t="s">
        <v>7084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140"/>
        <v>61-72 Months</v>
      </c>
      <c r="W2254">
        <f t="shared" si="141"/>
        <v>0</v>
      </c>
      <c r="X2254">
        <f t="shared" si="142"/>
        <v>0</v>
      </c>
      <c r="Y2254" t="str">
        <f t="shared" si="143"/>
        <v>Non-Senior</v>
      </c>
    </row>
    <row r="2255" spans="1:25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140"/>
        <v>61-72 Months</v>
      </c>
      <c r="W2255">
        <f t="shared" si="141"/>
        <v>0</v>
      </c>
      <c r="X2255">
        <f t="shared" si="142"/>
        <v>0</v>
      </c>
      <c r="Y2255" t="str">
        <f t="shared" si="143"/>
        <v>Senior Citizen</v>
      </c>
    </row>
    <row r="2256" spans="1:25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140"/>
        <v>61-72 Months</v>
      </c>
      <c r="W2256">
        <f t="shared" si="141"/>
        <v>0</v>
      </c>
      <c r="X2256">
        <f t="shared" si="142"/>
        <v>0</v>
      </c>
      <c r="Y2256" t="str">
        <f t="shared" si="143"/>
        <v>Senior Citizen</v>
      </c>
    </row>
    <row r="2257" spans="1:25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140"/>
        <v>0-12 Months</v>
      </c>
      <c r="W2257">
        <f t="shared" si="141"/>
        <v>0</v>
      </c>
      <c r="X2257">
        <f t="shared" si="142"/>
        <v>0</v>
      </c>
      <c r="Y2257" t="str">
        <f t="shared" si="143"/>
        <v>Non-Senior</v>
      </c>
    </row>
    <row r="2258" spans="1:25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140"/>
        <v>13-24 Months</v>
      </c>
      <c r="W2258">
        <f t="shared" si="141"/>
        <v>0</v>
      </c>
      <c r="X2258">
        <f t="shared" si="142"/>
        <v>0</v>
      </c>
      <c r="Y2258" t="str">
        <f t="shared" si="143"/>
        <v>Non-Senior</v>
      </c>
    </row>
    <row r="2259" spans="1:25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140"/>
        <v>49-60 Months</v>
      </c>
      <c r="W2259">
        <f t="shared" si="141"/>
        <v>0</v>
      </c>
      <c r="X2259">
        <f t="shared" si="142"/>
        <v>0</v>
      </c>
      <c r="Y2259" t="str">
        <f t="shared" si="143"/>
        <v>Non-Senior</v>
      </c>
    </row>
    <row r="2260" spans="1:25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140"/>
        <v>49-60 Months</v>
      </c>
      <c r="W2260">
        <f t="shared" si="141"/>
        <v>0</v>
      </c>
      <c r="X2260">
        <f t="shared" si="142"/>
        <v>0</v>
      </c>
      <c r="Y2260" t="str">
        <f t="shared" si="143"/>
        <v>Non-Senior</v>
      </c>
    </row>
    <row r="2261" spans="1:25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7082</v>
      </c>
      <c r="J2261" t="s">
        <v>7084</v>
      </c>
      <c r="K2261" t="s">
        <v>46</v>
      </c>
      <c r="L2261" t="s">
        <v>7084</v>
      </c>
      <c r="M2261" t="s">
        <v>7084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140"/>
        <v>0-12 Months</v>
      </c>
      <c r="W2261">
        <f t="shared" si="141"/>
        <v>0</v>
      </c>
      <c r="X2261">
        <f t="shared" si="142"/>
        <v>0</v>
      </c>
      <c r="Y2261" t="str">
        <f t="shared" si="143"/>
        <v>Non-Senior</v>
      </c>
    </row>
    <row r="2262" spans="1:25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140"/>
        <v>0-12 Months</v>
      </c>
      <c r="W2262">
        <f t="shared" si="141"/>
        <v>1</v>
      </c>
      <c r="X2262">
        <f t="shared" si="142"/>
        <v>80.099999999999994</v>
      </c>
      <c r="Y2262" t="str">
        <f t="shared" si="143"/>
        <v>Non-Senior</v>
      </c>
    </row>
    <row r="2263" spans="1:25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140"/>
        <v>49-60 Months</v>
      </c>
      <c r="W2263">
        <f t="shared" si="141"/>
        <v>0</v>
      </c>
      <c r="X2263">
        <f t="shared" si="142"/>
        <v>0</v>
      </c>
      <c r="Y2263" t="str">
        <f t="shared" si="143"/>
        <v>Non-Senior</v>
      </c>
    </row>
    <row r="2264" spans="1:25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140"/>
        <v>0-12 Months</v>
      </c>
      <c r="W2264">
        <f t="shared" si="141"/>
        <v>1</v>
      </c>
      <c r="X2264">
        <f t="shared" si="142"/>
        <v>80.2</v>
      </c>
      <c r="Y2264" t="str">
        <f t="shared" si="143"/>
        <v>Non-Senior</v>
      </c>
    </row>
    <row r="2265" spans="1:25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140"/>
        <v>0-12 Months</v>
      </c>
      <c r="W2265">
        <f t="shared" si="141"/>
        <v>1</v>
      </c>
      <c r="X2265">
        <f t="shared" si="142"/>
        <v>98.15</v>
      </c>
      <c r="Y2265" t="str">
        <f t="shared" si="143"/>
        <v>Non-Senior</v>
      </c>
    </row>
    <row r="2266" spans="1:25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140"/>
        <v>61-72 Months</v>
      </c>
      <c r="W2266">
        <f t="shared" si="141"/>
        <v>0</v>
      </c>
      <c r="X2266">
        <f t="shared" si="142"/>
        <v>0</v>
      </c>
      <c r="Y2266" t="str">
        <f t="shared" si="143"/>
        <v>Non-Senior</v>
      </c>
    </row>
    <row r="2267" spans="1:25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140"/>
        <v>0-12 Months</v>
      </c>
      <c r="W2267">
        <f t="shared" si="141"/>
        <v>1</v>
      </c>
      <c r="X2267">
        <f t="shared" si="142"/>
        <v>112.95</v>
      </c>
      <c r="Y2267" t="str">
        <f t="shared" si="143"/>
        <v>Non-Senior</v>
      </c>
    </row>
    <row r="2268" spans="1:25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140"/>
        <v>49-60 Months</v>
      </c>
      <c r="W2268">
        <f t="shared" si="141"/>
        <v>0</v>
      </c>
      <c r="X2268">
        <f t="shared" si="142"/>
        <v>0</v>
      </c>
      <c r="Y2268" t="str">
        <f t="shared" si="143"/>
        <v>Senior Citizen</v>
      </c>
    </row>
    <row r="2269" spans="1:25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140"/>
        <v>61-72 Months</v>
      </c>
      <c r="W2269">
        <f t="shared" si="141"/>
        <v>0</v>
      </c>
      <c r="X2269">
        <f t="shared" si="142"/>
        <v>0</v>
      </c>
      <c r="Y2269" t="str">
        <f t="shared" si="143"/>
        <v>Non-Senior</v>
      </c>
    </row>
    <row r="2270" spans="1:25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7082</v>
      </c>
      <c r="J2270" t="s">
        <v>7084</v>
      </c>
      <c r="K2270" t="s">
        <v>46</v>
      </c>
      <c r="L2270" t="s">
        <v>7084</v>
      </c>
      <c r="M2270" t="s">
        <v>7084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140"/>
        <v>37-48 Months</v>
      </c>
      <c r="W2270">
        <f t="shared" si="141"/>
        <v>0</v>
      </c>
      <c r="X2270">
        <f t="shared" si="142"/>
        <v>0</v>
      </c>
      <c r="Y2270" t="str">
        <f t="shared" si="143"/>
        <v>Non-Senior</v>
      </c>
    </row>
    <row r="2271" spans="1:25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140"/>
        <v>0-12 Months</v>
      </c>
      <c r="W2271">
        <f t="shared" si="141"/>
        <v>1</v>
      </c>
      <c r="X2271">
        <f t="shared" si="142"/>
        <v>70.900000000000006</v>
      </c>
      <c r="Y2271" t="str">
        <f t="shared" si="143"/>
        <v>Non-Senior</v>
      </c>
    </row>
    <row r="2272" spans="1:25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140"/>
        <v>0-12 Months</v>
      </c>
      <c r="W2272">
        <f t="shared" si="141"/>
        <v>1</v>
      </c>
      <c r="X2272">
        <f t="shared" si="142"/>
        <v>86.85</v>
      </c>
      <c r="Y2272" t="str">
        <f t="shared" si="143"/>
        <v>Senior Citizen</v>
      </c>
    </row>
    <row r="2273" spans="1:25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140"/>
        <v>37-48 Months</v>
      </c>
      <c r="W2273">
        <f t="shared" si="141"/>
        <v>0</v>
      </c>
      <c r="X2273">
        <f t="shared" si="142"/>
        <v>0</v>
      </c>
      <c r="Y2273" t="str">
        <f t="shared" si="143"/>
        <v>Senior Citizen</v>
      </c>
    </row>
    <row r="2274" spans="1:25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140"/>
        <v>0-12 Months</v>
      </c>
      <c r="W2274">
        <f t="shared" si="141"/>
        <v>0</v>
      </c>
      <c r="X2274">
        <f t="shared" si="142"/>
        <v>0</v>
      </c>
      <c r="Y2274" t="str">
        <f t="shared" si="143"/>
        <v>Non-Senior</v>
      </c>
    </row>
    <row r="2275" spans="1:25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7082</v>
      </c>
      <c r="J2275" t="s">
        <v>7084</v>
      </c>
      <c r="K2275" t="s">
        <v>46</v>
      </c>
      <c r="L2275" t="s">
        <v>7084</v>
      </c>
      <c r="M2275" t="s">
        <v>7084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140"/>
        <v>25-36 Months</v>
      </c>
      <c r="W2275">
        <f t="shared" si="141"/>
        <v>0</v>
      </c>
      <c r="X2275">
        <f t="shared" si="142"/>
        <v>0</v>
      </c>
      <c r="Y2275" t="str">
        <f t="shared" si="143"/>
        <v>Non-Senior</v>
      </c>
    </row>
    <row r="2276" spans="1:25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140"/>
        <v>13-24 Months</v>
      </c>
      <c r="W2276">
        <f t="shared" si="141"/>
        <v>1</v>
      </c>
      <c r="X2276">
        <f t="shared" si="142"/>
        <v>99.85</v>
      </c>
      <c r="Y2276" t="str">
        <f t="shared" si="143"/>
        <v>Non-Senior</v>
      </c>
    </row>
    <row r="2277" spans="1:25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140"/>
        <v>0-12 Months</v>
      </c>
      <c r="W2277">
        <f t="shared" si="141"/>
        <v>1</v>
      </c>
      <c r="X2277">
        <f t="shared" si="142"/>
        <v>74.5</v>
      </c>
      <c r="Y2277" t="str">
        <f t="shared" si="143"/>
        <v>Non-Senior</v>
      </c>
    </row>
    <row r="2278" spans="1:25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140"/>
        <v>37-48 Months</v>
      </c>
      <c r="W2278">
        <f t="shared" si="141"/>
        <v>0</v>
      </c>
      <c r="X2278">
        <f t="shared" si="142"/>
        <v>0</v>
      </c>
      <c r="Y2278" t="str">
        <f t="shared" si="143"/>
        <v>Senior Citizen</v>
      </c>
    </row>
    <row r="2279" spans="1:25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140"/>
        <v>61-72 Months</v>
      </c>
      <c r="W2279">
        <f t="shared" si="141"/>
        <v>1</v>
      </c>
      <c r="X2279">
        <f t="shared" si="142"/>
        <v>109.15</v>
      </c>
      <c r="Y2279" t="str">
        <f t="shared" si="143"/>
        <v>Non-Senior</v>
      </c>
    </row>
    <row r="2280" spans="1:25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140"/>
        <v>0-12 Months</v>
      </c>
      <c r="W2280">
        <f t="shared" si="141"/>
        <v>0</v>
      </c>
      <c r="X2280">
        <f t="shared" si="142"/>
        <v>0</v>
      </c>
      <c r="Y2280" t="str">
        <f t="shared" si="143"/>
        <v>Senior Citizen</v>
      </c>
    </row>
    <row r="2281" spans="1:25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7082</v>
      </c>
      <c r="J2281" t="s">
        <v>7084</v>
      </c>
      <c r="K2281" t="s">
        <v>46</v>
      </c>
      <c r="L2281" t="s">
        <v>7084</v>
      </c>
      <c r="M2281" t="s">
        <v>7084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140"/>
        <v>61-72 Months</v>
      </c>
      <c r="W2281">
        <f t="shared" si="141"/>
        <v>0</v>
      </c>
      <c r="X2281">
        <f t="shared" si="142"/>
        <v>0</v>
      </c>
      <c r="Y2281" t="str">
        <f t="shared" si="143"/>
        <v>Senior Citizen</v>
      </c>
    </row>
    <row r="2282" spans="1:25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140"/>
        <v>0-12 Months</v>
      </c>
      <c r="W2282">
        <f t="shared" si="141"/>
        <v>0</v>
      </c>
      <c r="X2282">
        <f t="shared" si="142"/>
        <v>0</v>
      </c>
      <c r="Y2282" t="str">
        <f t="shared" si="143"/>
        <v>Senior Citizen</v>
      </c>
    </row>
    <row r="2283" spans="1:25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140"/>
        <v>13-24 Months</v>
      </c>
      <c r="W2283">
        <f t="shared" si="141"/>
        <v>1</v>
      </c>
      <c r="X2283">
        <f t="shared" si="142"/>
        <v>65.2</v>
      </c>
      <c r="Y2283" t="str">
        <f t="shared" si="143"/>
        <v>Non-Senior</v>
      </c>
    </row>
    <row r="2284" spans="1:25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140"/>
        <v>61-72 Months</v>
      </c>
      <c r="W2284">
        <f t="shared" si="141"/>
        <v>1</v>
      </c>
      <c r="X2284">
        <f t="shared" si="142"/>
        <v>99.5</v>
      </c>
      <c r="Y2284" t="str">
        <f t="shared" si="143"/>
        <v>Senior Citizen</v>
      </c>
    </row>
    <row r="2285" spans="1:25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140"/>
        <v>0-12 Months</v>
      </c>
      <c r="W2285">
        <f t="shared" si="141"/>
        <v>1</v>
      </c>
      <c r="X2285">
        <f t="shared" si="142"/>
        <v>71.55</v>
      </c>
      <c r="Y2285" t="str">
        <f t="shared" si="143"/>
        <v>Non-Senior</v>
      </c>
    </row>
    <row r="2286" spans="1:25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140"/>
        <v>0-12 Months</v>
      </c>
      <c r="W2286">
        <f t="shared" si="141"/>
        <v>0</v>
      </c>
      <c r="X2286">
        <f t="shared" si="142"/>
        <v>0</v>
      </c>
      <c r="Y2286" t="str">
        <f t="shared" si="143"/>
        <v>Non-Senior</v>
      </c>
    </row>
    <row r="2287" spans="1:25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140"/>
        <v>49-60 Months</v>
      </c>
      <c r="W2287">
        <f t="shared" si="141"/>
        <v>1</v>
      </c>
      <c r="X2287">
        <f t="shared" si="142"/>
        <v>93.9</v>
      </c>
      <c r="Y2287" t="str">
        <f t="shared" si="143"/>
        <v>Non-Senior</v>
      </c>
    </row>
    <row r="2288" spans="1:25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140"/>
        <v>0-12 Months</v>
      </c>
      <c r="W2288">
        <f t="shared" si="141"/>
        <v>0</v>
      </c>
      <c r="X2288">
        <f t="shared" si="142"/>
        <v>0</v>
      </c>
      <c r="Y2288" t="str">
        <f t="shared" si="143"/>
        <v>Senior Citizen</v>
      </c>
    </row>
    <row r="2289" spans="1:25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140"/>
        <v>61-72 Months</v>
      </c>
      <c r="W2289">
        <f t="shared" si="141"/>
        <v>1</v>
      </c>
      <c r="X2289">
        <f t="shared" si="142"/>
        <v>108.4</v>
      </c>
      <c r="Y2289" t="str">
        <f t="shared" si="143"/>
        <v>Senior Citizen</v>
      </c>
    </row>
    <row r="2290" spans="1:25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140"/>
        <v>0-12 Months</v>
      </c>
      <c r="W2290">
        <f t="shared" si="141"/>
        <v>0</v>
      </c>
      <c r="X2290">
        <f t="shared" si="142"/>
        <v>0</v>
      </c>
      <c r="Y2290" t="str">
        <f t="shared" si="143"/>
        <v>Non-Senior</v>
      </c>
    </row>
    <row r="2291" spans="1:25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140"/>
        <v>61-72 Months</v>
      </c>
      <c r="W2291">
        <f t="shared" si="141"/>
        <v>0</v>
      </c>
      <c r="X2291">
        <f t="shared" si="142"/>
        <v>0</v>
      </c>
      <c r="Y2291" t="str">
        <f t="shared" si="143"/>
        <v>Non-Senior</v>
      </c>
    </row>
    <row r="2292" spans="1:25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140"/>
        <v>13-24 Months</v>
      </c>
      <c r="W2292">
        <f t="shared" si="141"/>
        <v>1</v>
      </c>
      <c r="X2292">
        <f t="shared" si="142"/>
        <v>48.75</v>
      </c>
      <c r="Y2292" t="str">
        <f t="shared" si="143"/>
        <v>Non-Senior</v>
      </c>
    </row>
    <row r="2293" spans="1:25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140"/>
        <v>0-12 Months</v>
      </c>
      <c r="W2293">
        <f t="shared" si="141"/>
        <v>1</v>
      </c>
      <c r="X2293">
        <f t="shared" si="142"/>
        <v>85.65</v>
      </c>
      <c r="Y2293" t="str">
        <f t="shared" si="143"/>
        <v>Non-Senior</v>
      </c>
    </row>
    <row r="2294" spans="1:25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140"/>
        <v>49-60 Months</v>
      </c>
      <c r="W2294">
        <f t="shared" si="141"/>
        <v>0</v>
      </c>
      <c r="X2294">
        <f t="shared" si="142"/>
        <v>0</v>
      </c>
      <c r="Y2294" t="str">
        <f t="shared" si="143"/>
        <v>Non-Senior</v>
      </c>
    </row>
    <row r="2295" spans="1:25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140"/>
        <v>61-72 Months</v>
      </c>
      <c r="W2295">
        <f t="shared" si="141"/>
        <v>0</v>
      </c>
      <c r="X2295">
        <f t="shared" si="142"/>
        <v>0</v>
      </c>
      <c r="Y2295" t="str">
        <f t="shared" si="143"/>
        <v>Non-Senior</v>
      </c>
    </row>
    <row r="2296" spans="1:25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140"/>
        <v>0-12 Months</v>
      </c>
      <c r="W2296">
        <f t="shared" si="141"/>
        <v>1</v>
      </c>
      <c r="X2296">
        <f t="shared" si="142"/>
        <v>106.7</v>
      </c>
      <c r="Y2296" t="str">
        <f t="shared" si="143"/>
        <v>Non-Senior</v>
      </c>
    </row>
    <row r="2297" spans="1:25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140"/>
        <v>0-12 Months</v>
      </c>
      <c r="W2297">
        <f t="shared" si="141"/>
        <v>1</v>
      </c>
      <c r="X2297">
        <f t="shared" si="142"/>
        <v>25.15</v>
      </c>
      <c r="Y2297" t="str">
        <f t="shared" si="143"/>
        <v>Non-Senior</v>
      </c>
    </row>
    <row r="2298" spans="1:25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140"/>
        <v>0-12 Months</v>
      </c>
      <c r="W2298">
        <f t="shared" si="141"/>
        <v>0</v>
      </c>
      <c r="X2298">
        <f t="shared" si="142"/>
        <v>0</v>
      </c>
      <c r="Y2298" t="str">
        <f t="shared" si="143"/>
        <v>Senior Citizen</v>
      </c>
    </row>
    <row r="2299" spans="1:25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140"/>
        <v>49-60 Months</v>
      </c>
      <c r="W2299">
        <f t="shared" si="141"/>
        <v>1</v>
      </c>
      <c r="X2299">
        <f t="shared" si="142"/>
        <v>110.35</v>
      </c>
      <c r="Y2299" t="str">
        <f t="shared" si="143"/>
        <v>Non-Senior</v>
      </c>
    </row>
    <row r="2300" spans="1:25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140"/>
        <v>61-72 Months</v>
      </c>
      <c r="W2300">
        <f t="shared" si="141"/>
        <v>0</v>
      </c>
      <c r="X2300">
        <f t="shared" si="142"/>
        <v>0</v>
      </c>
      <c r="Y2300" t="str">
        <f t="shared" si="143"/>
        <v>Non-Senior</v>
      </c>
    </row>
    <row r="2301" spans="1:25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140"/>
        <v>37-48 Months</v>
      </c>
      <c r="W2301">
        <f t="shared" si="141"/>
        <v>0</v>
      </c>
      <c r="X2301">
        <f t="shared" si="142"/>
        <v>0</v>
      </c>
      <c r="Y2301" t="str">
        <f t="shared" si="143"/>
        <v>Non-Senior</v>
      </c>
    </row>
    <row r="2302" spans="1:25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140"/>
        <v>37-48 Months</v>
      </c>
      <c r="W2302">
        <f t="shared" si="141"/>
        <v>1</v>
      </c>
      <c r="X2302">
        <f t="shared" si="142"/>
        <v>103.25</v>
      </c>
      <c r="Y2302" t="str">
        <f t="shared" si="143"/>
        <v>Non-Senior</v>
      </c>
    </row>
    <row r="2303" spans="1:25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140"/>
        <v>0-12 Months</v>
      </c>
      <c r="W2303">
        <f t="shared" si="141"/>
        <v>0</v>
      </c>
      <c r="X2303">
        <f t="shared" si="142"/>
        <v>0</v>
      </c>
      <c r="Y2303" t="str">
        <f t="shared" si="143"/>
        <v>Non-Senior</v>
      </c>
    </row>
    <row r="2304" spans="1:25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140"/>
        <v>61-72 Months</v>
      </c>
      <c r="W2304">
        <f t="shared" si="141"/>
        <v>0</v>
      </c>
      <c r="X2304">
        <f t="shared" si="142"/>
        <v>0</v>
      </c>
      <c r="Y2304" t="str">
        <f t="shared" si="143"/>
        <v>Non-Senior</v>
      </c>
    </row>
    <row r="2305" spans="1:25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140"/>
        <v>0-12 Months</v>
      </c>
      <c r="W2305">
        <f t="shared" si="141"/>
        <v>1</v>
      </c>
      <c r="X2305">
        <f t="shared" si="142"/>
        <v>47.8</v>
      </c>
      <c r="Y2305" t="str">
        <f t="shared" si="143"/>
        <v>Non-Senior</v>
      </c>
    </row>
    <row r="2306" spans="1:25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si="140"/>
        <v>61-72 Months</v>
      </c>
      <c r="W2306">
        <f t="shared" si="141"/>
        <v>0</v>
      </c>
      <c r="X2306">
        <f t="shared" si="142"/>
        <v>0</v>
      </c>
      <c r="Y2306" t="str">
        <f t="shared" si="143"/>
        <v>Non-Senior</v>
      </c>
    </row>
    <row r="2307" spans="1:25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ref="V2307:V2370" si="144">IF(F2307&lt;=12,"0-12 Months",IF(F2307&lt;=24,"13-24 Months",IF(F2307&lt;=36,"25-36 Months",IF(F2307&lt;=48,"37-48 Months",IF(F2307&lt;=60,"49-60 Months","61-72 Months")))))</f>
        <v>25-36 Months</v>
      </c>
      <c r="W2307">
        <f t="shared" ref="W2307:W2370" si="145">IF(U2307="Yes",1,0)</f>
        <v>0</v>
      </c>
      <c r="X2307">
        <f t="shared" ref="X2307:X2370" si="146">IF(U2307="Yes",S2307,0)</f>
        <v>0</v>
      </c>
      <c r="Y2307" t="str">
        <f t="shared" ref="Y2307:Y2370" si="147">IF(C2307=1,"Senior Citizen","Non-Senior")</f>
        <v>Non-Senior</v>
      </c>
    </row>
    <row r="2308" spans="1:25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144"/>
        <v>0-12 Months</v>
      </c>
      <c r="W2308">
        <f t="shared" si="145"/>
        <v>0</v>
      </c>
      <c r="X2308">
        <f t="shared" si="146"/>
        <v>0</v>
      </c>
      <c r="Y2308" t="str">
        <f t="shared" si="147"/>
        <v>Non-Senior</v>
      </c>
    </row>
    <row r="2309" spans="1:25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144"/>
        <v>0-12 Months</v>
      </c>
      <c r="W2309">
        <f t="shared" si="145"/>
        <v>0</v>
      </c>
      <c r="X2309">
        <f t="shared" si="146"/>
        <v>0</v>
      </c>
      <c r="Y2309" t="str">
        <f t="shared" si="147"/>
        <v>Non-Senior</v>
      </c>
    </row>
    <row r="2310" spans="1:25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144"/>
        <v>61-72 Months</v>
      </c>
      <c r="W2310">
        <f t="shared" si="145"/>
        <v>0</v>
      </c>
      <c r="X2310">
        <f t="shared" si="146"/>
        <v>0</v>
      </c>
      <c r="Y2310" t="str">
        <f t="shared" si="147"/>
        <v>Non-Senior</v>
      </c>
    </row>
    <row r="2311" spans="1:25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144"/>
        <v>49-60 Months</v>
      </c>
      <c r="W2311">
        <f t="shared" si="145"/>
        <v>0</v>
      </c>
      <c r="X2311">
        <f t="shared" si="146"/>
        <v>0</v>
      </c>
      <c r="Y2311" t="str">
        <f t="shared" si="147"/>
        <v>Non-Senior</v>
      </c>
    </row>
    <row r="2312" spans="1:25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144"/>
        <v>61-72 Months</v>
      </c>
      <c r="W2312">
        <f t="shared" si="145"/>
        <v>0</v>
      </c>
      <c r="X2312">
        <f t="shared" si="146"/>
        <v>0</v>
      </c>
      <c r="Y2312" t="str">
        <f t="shared" si="147"/>
        <v>Non-Senior</v>
      </c>
    </row>
    <row r="2313" spans="1:25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144"/>
        <v>37-48 Months</v>
      </c>
      <c r="W2313">
        <f t="shared" si="145"/>
        <v>0</v>
      </c>
      <c r="X2313">
        <f t="shared" si="146"/>
        <v>0</v>
      </c>
      <c r="Y2313" t="str">
        <f t="shared" si="147"/>
        <v>Senior Citizen</v>
      </c>
    </row>
    <row r="2314" spans="1:25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7082</v>
      </c>
      <c r="J2314" t="s">
        <v>7084</v>
      </c>
      <c r="K2314" t="s">
        <v>46</v>
      </c>
      <c r="L2314" t="s">
        <v>7084</v>
      </c>
      <c r="M2314" t="s">
        <v>7084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144"/>
        <v>13-24 Months</v>
      </c>
      <c r="W2314">
        <f t="shared" si="145"/>
        <v>0</v>
      </c>
      <c r="X2314">
        <f t="shared" si="146"/>
        <v>0</v>
      </c>
      <c r="Y2314" t="str">
        <f t="shared" si="147"/>
        <v>Non-Senior</v>
      </c>
    </row>
    <row r="2315" spans="1:25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144"/>
        <v>37-48 Months</v>
      </c>
      <c r="W2315">
        <f t="shared" si="145"/>
        <v>0</v>
      </c>
      <c r="X2315">
        <f t="shared" si="146"/>
        <v>0</v>
      </c>
      <c r="Y2315" t="str">
        <f t="shared" si="147"/>
        <v>Non-Senior</v>
      </c>
    </row>
    <row r="2316" spans="1:25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144"/>
        <v>61-72 Months</v>
      </c>
      <c r="W2316">
        <f t="shared" si="145"/>
        <v>0</v>
      </c>
      <c r="X2316">
        <f t="shared" si="146"/>
        <v>0</v>
      </c>
      <c r="Y2316" t="str">
        <f t="shared" si="147"/>
        <v>Non-Senior</v>
      </c>
    </row>
    <row r="2317" spans="1:25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144"/>
        <v>25-36 Months</v>
      </c>
      <c r="W2317">
        <f t="shared" si="145"/>
        <v>0</v>
      </c>
      <c r="X2317">
        <f t="shared" si="146"/>
        <v>0</v>
      </c>
      <c r="Y2317" t="str">
        <f t="shared" si="147"/>
        <v>Non-Senior</v>
      </c>
    </row>
    <row r="2318" spans="1:25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7082</v>
      </c>
      <c r="J2318" t="s">
        <v>7084</v>
      </c>
      <c r="K2318" t="s">
        <v>46</v>
      </c>
      <c r="L2318" t="s">
        <v>7084</v>
      </c>
      <c r="M2318" t="s">
        <v>7084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144"/>
        <v>0-12 Months</v>
      </c>
      <c r="W2318">
        <f t="shared" si="145"/>
        <v>0</v>
      </c>
      <c r="X2318">
        <f t="shared" si="146"/>
        <v>0</v>
      </c>
      <c r="Y2318" t="str">
        <f t="shared" si="147"/>
        <v>Non-Senior</v>
      </c>
    </row>
    <row r="2319" spans="1:25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7082</v>
      </c>
      <c r="J2319" t="s">
        <v>7084</v>
      </c>
      <c r="K2319" t="s">
        <v>46</v>
      </c>
      <c r="L2319" t="s">
        <v>7084</v>
      </c>
      <c r="M2319" t="s">
        <v>7084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144"/>
        <v>49-60 Months</v>
      </c>
      <c r="W2319">
        <f t="shared" si="145"/>
        <v>0</v>
      </c>
      <c r="X2319">
        <f t="shared" si="146"/>
        <v>0</v>
      </c>
      <c r="Y2319" t="str">
        <f t="shared" si="147"/>
        <v>Non-Senior</v>
      </c>
    </row>
    <row r="2320" spans="1:25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144"/>
        <v>61-72 Months</v>
      </c>
      <c r="W2320">
        <f t="shared" si="145"/>
        <v>0</v>
      </c>
      <c r="X2320">
        <f t="shared" si="146"/>
        <v>0</v>
      </c>
      <c r="Y2320" t="str">
        <f t="shared" si="147"/>
        <v>Non-Senior</v>
      </c>
    </row>
    <row r="2321" spans="1:25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144"/>
        <v>0-12 Months</v>
      </c>
      <c r="W2321">
        <f t="shared" si="145"/>
        <v>0</v>
      </c>
      <c r="X2321">
        <f t="shared" si="146"/>
        <v>0</v>
      </c>
      <c r="Y2321" t="str">
        <f t="shared" si="147"/>
        <v>Non-Senior</v>
      </c>
    </row>
    <row r="2322" spans="1:25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144"/>
        <v>61-72 Months</v>
      </c>
      <c r="W2322">
        <f t="shared" si="145"/>
        <v>0</v>
      </c>
      <c r="X2322">
        <f t="shared" si="146"/>
        <v>0</v>
      </c>
      <c r="Y2322" t="str">
        <f t="shared" si="147"/>
        <v>Non-Senior</v>
      </c>
    </row>
    <row r="2323" spans="1:25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144"/>
        <v>61-72 Months</v>
      </c>
      <c r="W2323">
        <f t="shared" si="145"/>
        <v>0</v>
      </c>
      <c r="X2323">
        <f t="shared" si="146"/>
        <v>0</v>
      </c>
      <c r="Y2323" t="str">
        <f t="shared" si="147"/>
        <v>Senior Citizen</v>
      </c>
    </row>
    <row r="2324" spans="1:25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7082</v>
      </c>
      <c r="J2324" t="s">
        <v>7084</v>
      </c>
      <c r="K2324" t="s">
        <v>46</v>
      </c>
      <c r="L2324" t="s">
        <v>7084</v>
      </c>
      <c r="M2324" t="s">
        <v>7084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144"/>
        <v>49-60 Months</v>
      </c>
      <c r="W2324">
        <f t="shared" si="145"/>
        <v>0</v>
      </c>
      <c r="X2324">
        <f t="shared" si="146"/>
        <v>0</v>
      </c>
      <c r="Y2324" t="str">
        <f t="shared" si="147"/>
        <v>Non-Senior</v>
      </c>
    </row>
    <row r="2325" spans="1:25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144"/>
        <v>25-36 Months</v>
      </c>
      <c r="W2325">
        <f t="shared" si="145"/>
        <v>1</v>
      </c>
      <c r="X2325">
        <f t="shared" si="146"/>
        <v>98.6</v>
      </c>
      <c r="Y2325" t="str">
        <f t="shared" si="147"/>
        <v>Non-Senior</v>
      </c>
    </row>
    <row r="2326" spans="1:25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144"/>
        <v>13-24 Months</v>
      </c>
      <c r="W2326">
        <f t="shared" si="145"/>
        <v>1</v>
      </c>
      <c r="X2326">
        <f t="shared" si="146"/>
        <v>83.05</v>
      </c>
      <c r="Y2326" t="str">
        <f t="shared" si="147"/>
        <v>Senior Citizen</v>
      </c>
    </row>
    <row r="2327" spans="1:25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7082</v>
      </c>
      <c r="J2327" t="s">
        <v>7084</v>
      </c>
      <c r="K2327" t="s">
        <v>46</v>
      </c>
      <c r="L2327" t="s">
        <v>7084</v>
      </c>
      <c r="M2327" t="s">
        <v>7084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144"/>
        <v>0-12 Months</v>
      </c>
      <c r="W2327">
        <f t="shared" si="145"/>
        <v>0</v>
      </c>
      <c r="X2327">
        <f t="shared" si="146"/>
        <v>0</v>
      </c>
      <c r="Y2327" t="str">
        <f t="shared" si="147"/>
        <v>Non-Senior</v>
      </c>
    </row>
    <row r="2328" spans="1:25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144"/>
        <v>61-72 Months</v>
      </c>
      <c r="W2328">
        <f t="shared" si="145"/>
        <v>0</v>
      </c>
      <c r="X2328">
        <f t="shared" si="146"/>
        <v>0</v>
      </c>
      <c r="Y2328" t="str">
        <f t="shared" si="147"/>
        <v>Non-Senior</v>
      </c>
    </row>
    <row r="2329" spans="1:25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144"/>
        <v>25-36 Months</v>
      </c>
      <c r="W2329">
        <f t="shared" si="145"/>
        <v>0</v>
      </c>
      <c r="X2329">
        <f t="shared" si="146"/>
        <v>0</v>
      </c>
      <c r="Y2329" t="str">
        <f t="shared" si="147"/>
        <v>Senior Citizen</v>
      </c>
    </row>
    <row r="2330" spans="1:25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144"/>
        <v>25-36 Months</v>
      </c>
      <c r="W2330">
        <f t="shared" si="145"/>
        <v>0</v>
      </c>
      <c r="X2330">
        <f t="shared" si="146"/>
        <v>0</v>
      </c>
      <c r="Y2330" t="str">
        <f t="shared" si="147"/>
        <v>Senior Citizen</v>
      </c>
    </row>
    <row r="2331" spans="1:25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144"/>
        <v>49-60 Months</v>
      </c>
      <c r="W2331">
        <f t="shared" si="145"/>
        <v>0</v>
      </c>
      <c r="X2331">
        <f t="shared" si="146"/>
        <v>0</v>
      </c>
      <c r="Y2331" t="str">
        <f t="shared" si="147"/>
        <v>Non-Senior</v>
      </c>
    </row>
    <row r="2332" spans="1:25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144"/>
        <v>25-36 Months</v>
      </c>
      <c r="W2332">
        <f t="shared" si="145"/>
        <v>0</v>
      </c>
      <c r="X2332">
        <f t="shared" si="146"/>
        <v>0</v>
      </c>
      <c r="Y2332" t="str">
        <f t="shared" si="147"/>
        <v>Non-Senior</v>
      </c>
    </row>
    <row r="2333" spans="1:25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7082</v>
      </c>
      <c r="J2333" t="s">
        <v>7084</v>
      </c>
      <c r="K2333" t="s">
        <v>46</v>
      </c>
      <c r="L2333" t="s">
        <v>7084</v>
      </c>
      <c r="M2333" t="s">
        <v>7084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144"/>
        <v>25-36 Months</v>
      </c>
      <c r="W2333">
        <f t="shared" si="145"/>
        <v>0</v>
      </c>
      <c r="X2333">
        <f t="shared" si="146"/>
        <v>0</v>
      </c>
      <c r="Y2333" t="str">
        <f t="shared" si="147"/>
        <v>Non-Senior</v>
      </c>
    </row>
    <row r="2334" spans="1:25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144"/>
        <v>37-48 Months</v>
      </c>
      <c r="W2334">
        <f t="shared" si="145"/>
        <v>0</v>
      </c>
      <c r="X2334">
        <f t="shared" si="146"/>
        <v>0</v>
      </c>
      <c r="Y2334" t="str">
        <f t="shared" si="147"/>
        <v>Non-Senior</v>
      </c>
    </row>
    <row r="2335" spans="1:25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144"/>
        <v>49-60 Months</v>
      </c>
      <c r="W2335">
        <f t="shared" si="145"/>
        <v>0</v>
      </c>
      <c r="X2335">
        <f t="shared" si="146"/>
        <v>0</v>
      </c>
      <c r="Y2335" t="str">
        <f t="shared" si="147"/>
        <v>Non-Senior</v>
      </c>
    </row>
    <row r="2336" spans="1:25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144"/>
        <v>13-24 Months</v>
      </c>
      <c r="W2336">
        <f t="shared" si="145"/>
        <v>0</v>
      </c>
      <c r="X2336">
        <f t="shared" si="146"/>
        <v>0</v>
      </c>
      <c r="Y2336" t="str">
        <f t="shared" si="147"/>
        <v>Senior Citizen</v>
      </c>
    </row>
    <row r="2337" spans="1:25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144"/>
        <v>0-12 Months</v>
      </c>
      <c r="W2337">
        <f t="shared" si="145"/>
        <v>0</v>
      </c>
      <c r="X2337">
        <f t="shared" si="146"/>
        <v>0</v>
      </c>
      <c r="Y2337" t="str">
        <f t="shared" si="147"/>
        <v>Non-Senior</v>
      </c>
    </row>
    <row r="2338" spans="1:25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144"/>
        <v>13-24 Months</v>
      </c>
      <c r="W2338">
        <f t="shared" si="145"/>
        <v>1</v>
      </c>
      <c r="X2338">
        <f t="shared" si="146"/>
        <v>70.400000000000006</v>
      </c>
      <c r="Y2338" t="str">
        <f t="shared" si="147"/>
        <v>Non-Senior</v>
      </c>
    </row>
    <row r="2339" spans="1:25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144"/>
        <v>49-60 Months</v>
      </c>
      <c r="W2339">
        <f t="shared" si="145"/>
        <v>1</v>
      </c>
      <c r="X2339">
        <f t="shared" si="146"/>
        <v>104.75</v>
      </c>
      <c r="Y2339" t="str">
        <f t="shared" si="147"/>
        <v>Senior Citizen</v>
      </c>
    </row>
    <row r="2340" spans="1:25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7082</v>
      </c>
      <c r="J2340" t="s">
        <v>7084</v>
      </c>
      <c r="K2340" t="s">
        <v>46</v>
      </c>
      <c r="L2340" t="s">
        <v>7084</v>
      </c>
      <c r="M2340" t="s">
        <v>7084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144"/>
        <v>61-72 Months</v>
      </c>
      <c r="W2340">
        <f t="shared" si="145"/>
        <v>0</v>
      </c>
      <c r="X2340">
        <f t="shared" si="146"/>
        <v>0</v>
      </c>
      <c r="Y2340" t="str">
        <f t="shared" si="147"/>
        <v>Non-Senior</v>
      </c>
    </row>
    <row r="2341" spans="1:25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144"/>
        <v>13-24 Months</v>
      </c>
      <c r="W2341">
        <f t="shared" si="145"/>
        <v>1</v>
      </c>
      <c r="X2341">
        <f t="shared" si="146"/>
        <v>94.25</v>
      </c>
      <c r="Y2341" t="str">
        <f t="shared" si="147"/>
        <v>Senior Citizen</v>
      </c>
    </row>
    <row r="2342" spans="1:25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144"/>
        <v>37-48 Months</v>
      </c>
      <c r="W2342">
        <f t="shared" si="145"/>
        <v>0</v>
      </c>
      <c r="X2342">
        <f t="shared" si="146"/>
        <v>0</v>
      </c>
      <c r="Y2342" t="str">
        <f t="shared" si="147"/>
        <v>Non-Senior</v>
      </c>
    </row>
    <row r="2343" spans="1:25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144"/>
        <v>61-72 Months</v>
      </c>
      <c r="W2343">
        <f t="shared" si="145"/>
        <v>0</v>
      </c>
      <c r="X2343">
        <f t="shared" si="146"/>
        <v>0</v>
      </c>
      <c r="Y2343" t="str">
        <f t="shared" si="147"/>
        <v>Non-Senior</v>
      </c>
    </row>
    <row r="2344" spans="1:25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144"/>
        <v>25-36 Months</v>
      </c>
      <c r="W2344">
        <f t="shared" si="145"/>
        <v>0</v>
      </c>
      <c r="X2344">
        <f t="shared" si="146"/>
        <v>0</v>
      </c>
      <c r="Y2344" t="str">
        <f t="shared" si="147"/>
        <v>Non-Senior</v>
      </c>
    </row>
    <row r="2345" spans="1:25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144"/>
        <v>0-12 Months</v>
      </c>
      <c r="W2345">
        <f t="shared" si="145"/>
        <v>0</v>
      </c>
      <c r="X2345">
        <f t="shared" si="146"/>
        <v>0</v>
      </c>
      <c r="Y2345" t="str">
        <f t="shared" si="147"/>
        <v>Non-Senior</v>
      </c>
    </row>
    <row r="2346" spans="1:25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144"/>
        <v>13-24 Months</v>
      </c>
      <c r="W2346">
        <f t="shared" si="145"/>
        <v>0</v>
      </c>
      <c r="X2346">
        <f t="shared" si="146"/>
        <v>0</v>
      </c>
      <c r="Y2346" t="str">
        <f t="shared" si="147"/>
        <v>Senior Citizen</v>
      </c>
    </row>
    <row r="2347" spans="1:25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7082</v>
      </c>
      <c r="J2347" t="s">
        <v>7084</v>
      </c>
      <c r="K2347" t="s">
        <v>46</v>
      </c>
      <c r="L2347" t="s">
        <v>7084</v>
      </c>
      <c r="M2347" t="s">
        <v>7084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144"/>
        <v>0-12 Months</v>
      </c>
      <c r="W2347">
        <f t="shared" si="145"/>
        <v>0</v>
      </c>
      <c r="X2347">
        <f t="shared" si="146"/>
        <v>0</v>
      </c>
      <c r="Y2347" t="str">
        <f t="shared" si="147"/>
        <v>Non-Senior</v>
      </c>
    </row>
    <row r="2348" spans="1:25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144"/>
        <v>61-72 Months</v>
      </c>
      <c r="W2348">
        <f t="shared" si="145"/>
        <v>0</v>
      </c>
      <c r="X2348">
        <f t="shared" si="146"/>
        <v>0</v>
      </c>
      <c r="Y2348" t="str">
        <f t="shared" si="147"/>
        <v>Non-Senior</v>
      </c>
    </row>
    <row r="2349" spans="1:25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7082</v>
      </c>
      <c r="J2349" t="s">
        <v>7084</v>
      </c>
      <c r="K2349" t="s">
        <v>46</v>
      </c>
      <c r="L2349" t="s">
        <v>7084</v>
      </c>
      <c r="M2349" t="s">
        <v>7084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144"/>
        <v>0-12 Months</v>
      </c>
      <c r="W2349">
        <f t="shared" si="145"/>
        <v>0</v>
      </c>
      <c r="X2349">
        <f t="shared" si="146"/>
        <v>0</v>
      </c>
      <c r="Y2349" t="str">
        <f t="shared" si="147"/>
        <v>Non-Senior</v>
      </c>
    </row>
    <row r="2350" spans="1:25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144"/>
        <v>61-72 Months</v>
      </c>
      <c r="W2350">
        <f t="shared" si="145"/>
        <v>0</v>
      </c>
      <c r="X2350">
        <f t="shared" si="146"/>
        <v>0</v>
      </c>
      <c r="Y2350" t="str">
        <f t="shared" si="147"/>
        <v>Non-Senior</v>
      </c>
    </row>
    <row r="2351" spans="1:25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144"/>
        <v>61-72 Months</v>
      </c>
      <c r="W2351">
        <f t="shared" si="145"/>
        <v>0</v>
      </c>
      <c r="X2351">
        <f t="shared" si="146"/>
        <v>0</v>
      </c>
      <c r="Y2351" t="str">
        <f t="shared" si="147"/>
        <v>Non-Senior</v>
      </c>
    </row>
    <row r="2352" spans="1:25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144"/>
        <v>0-12 Months</v>
      </c>
      <c r="W2352">
        <f t="shared" si="145"/>
        <v>0</v>
      </c>
      <c r="X2352">
        <f t="shared" si="146"/>
        <v>0</v>
      </c>
      <c r="Y2352" t="str">
        <f t="shared" si="147"/>
        <v>Non-Senior</v>
      </c>
    </row>
    <row r="2353" spans="1:25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144"/>
        <v>49-60 Months</v>
      </c>
      <c r="W2353">
        <f t="shared" si="145"/>
        <v>0</v>
      </c>
      <c r="X2353">
        <f t="shared" si="146"/>
        <v>0</v>
      </c>
      <c r="Y2353" t="str">
        <f t="shared" si="147"/>
        <v>Non-Senior</v>
      </c>
    </row>
    <row r="2354" spans="1:25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7082</v>
      </c>
      <c r="J2354" t="s">
        <v>7084</v>
      </c>
      <c r="K2354" t="s">
        <v>46</v>
      </c>
      <c r="L2354" t="s">
        <v>7084</v>
      </c>
      <c r="M2354" t="s">
        <v>7084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144"/>
        <v>0-12 Months</v>
      </c>
      <c r="W2354">
        <f t="shared" si="145"/>
        <v>0</v>
      </c>
      <c r="X2354">
        <f t="shared" si="146"/>
        <v>0</v>
      </c>
      <c r="Y2354" t="str">
        <f t="shared" si="147"/>
        <v>Non-Senior</v>
      </c>
    </row>
    <row r="2355" spans="1:25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144"/>
        <v>0-12 Months</v>
      </c>
      <c r="W2355">
        <f t="shared" si="145"/>
        <v>0</v>
      </c>
      <c r="X2355">
        <f t="shared" si="146"/>
        <v>0</v>
      </c>
      <c r="Y2355" t="str">
        <f t="shared" si="147"/>
        <v>Non-Senior</v>
      </c>
    </row>
    <row r="2356" spans="1:25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7082</v>
      </c>
      <c r="J2356" t="s">
        <v>7084</v>
      </c>
      <c r="K2356" t="s">
        <v>46</v>
      </c>
      <c r="L2356" t="s">
        <v>7084</v>
      </c>
      <c r="M2356" t="s">
        <v>7084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144"/>
        <v>0-12 Months</v>
      </c>
      <c r="W2356">
        <f t="shared" si="145"/>
        <v>0</v>
      </c>
      <c r="X2356">
        <f t="shared" si="146"/>
        <v>0</v>
      </c>
      <c r="Y2356" t="str">
        <f t="shared" si="147"/>
        <v>Non-Senior</v>
      </c>
    </row>
    <row r="2357" spans="1:25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144"/>
        <v>61-72 Months</v>
      </c>
      <c r="W2357">
        <f t="shared" si="145"/>
        <v>0</v>
      </c>
      <c r="X2357">
        <f t="shared" si="146"/>
        <v>0</v>
      </c>
      <c r="Y2357" t="str">
        <f t="shared" si="147"/>
        <v>Non-Senior</v>
      </c>
    </row>
    <row r="2358" spans="1:25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144"/>
        <v>37-48 Months</v>
      </c>
      <c r="W2358">
        <f t="shared" si="145"/>
        <v>0</v>
      </c>
      <c r="X2358">
        <f t="shared" si="146"/>
        <v>0</v>
      </c>
      <c r="Y2358" t="str">
        <f t="shared" si="147"/>
        <v>Non-Senior</v>
      </c>
    </row>
    <row r="2359" spans="1:25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144"/>
        <v>61-72 Months</v>
      </c>
      <c r="W2359">
        <f t="shared" si="145"/>
        <v>0</v>
      </c>
      <c r="X2359">
        <f t="shared" si="146"/>
        <v>0</v>
      </c>
      <c r="Y2359" t="str">
        <f t="shared" si="147"/>
        <v>Non-Senior</v>
      </c>
    </row>
    <row r="2360" spans="1:25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7082</v>
      </c>
      <c r="J2360" t="s">
        <v>7084</v>
      </c>
      <c r="K2360" t="s">
        <v>46</v>
      </c>
      <c r="L2360" t="s">
        <v>7084</v>
      </c>
      <c r="M2360" t="s">
        <v>7084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144"/>
        <v>49-60 Months</v>
      </c>
      <c r="W2360">
        <f t="shared" si="145"/>
        <v>0</v>
      </c>
      <c r="X2360">
        <f t="shared" si="146"/>
        <v>0</v>
      </c>
      <c r="Y2360" t="str">
        <f t="shared" si="147"/>
        <v>Non-Senior</v>
      </c>
    </row>
    <row r="2361" spans="1:25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144"/>
        <v>25-36 Months</v>
      </c>
      <c r="W2361">
        <f t="shared" si="145"/>
        <v>0</v>
      </c>
      <c r="X2361">
        <f t="shared" si="146"/>
        <v>0</v>
      </c>
      <c r="Y2361" t="str">
        <f t="shared" si="147"/>
        <v>Non-Senior</v>
      </c>
    </row>
    <row r="2362" spans="1:25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7082</v>
      </c>
      <c r="J2362" t="s">
        <v>7084</v>
      </c>
      <c r="K2362" t="s">
        <v>46</v>
      </c>
      <c r="L2362" t="s">
        <v>7084</v>
      </c>
      <c r="M2362" t="s">
        <v>7084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144"/>
        <v>61-72 Months</v>
      </c>
      <c r="W2362">
        <f t="shared" si="145"/>
        <v>0</v>
      </c>
      <c r="X2362">
        <f t="shared" si="146"/>
        <v>0</v>
      </c>
      <c r="Y2362" t="str">
        <f t="shared" si="147"/>
        <v>Non-Senior</v>
      </c>
    </row>
    <row r="2363" spans="1:25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144"/>
        <v>0-12 Months</v>
      </c>
      <c r="W2363">
        <f t="shared" si="145"/>
        <v>1</v>
      </c>
      <c r="X2363">
        <f t="shared" si="146"/>
        <v>45.95</v>
      </c>
      <c r="Y2363" t="str">
        <f t="shared" si="147"/>
        <v>Non-Senior</v>
      </c>
    </row>
    <row r="2364" spans="1:25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144"/>
        <v>49-60 Months</v>
      </c>
      <c r="W2364">
        <f t="shared" si="145"/>
        <v>0</v>
      </c>
      <c r="X2364">
        <f t="shared" si="146"/>
        <v>0</v>
      </c>
      <c r="Y2364" t="str">
        <f t="shared" si="147"/>
        <v>Non-Senior</v>
      </c>
    </row>
    <row r="2365" spans="1:25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144"/>
        <v>0-12 Months</v>
      </c>
      <c r="W2365">
        <f t="shared" si="145"/>
        <v>0</v>
      </c>
      <c r="X2365">
        <f t="shared" si="146"/>
        <v>0</v>
      </c>
      <c r="Y2365" t="str">
        <f t="shared" si="147"/>
        <v>Non-Senior</v>
      </c>
    </row>
    <row r="2366" spans="1:25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144"/>
        <v>13-24 Months</v>
      </c>
      <c r="W2366">
        <f t="shared" si="145"/>
        <v>0</v>
      </c>
      <c r="X2366">
        <f t="shared" si="146"/>
        <v>0</v>
      </c>
      <c r="Y2366" t="str">
        <f t="shared" si="147"/>
        <v>Non-Senior</v>
      </c>
    </row>
    <row r="2367" spans="1:25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144"/>
        <v>13-24 Months</v>
      </c>
      <c r="W2367">
        <f t="shared" si="145"/>
        <v>0</v>
      </c>
      <c r="X2367">
        <f t="shared" si="146"/>
        <v>0</v>
      </c>
      <c r="Y2367" t="str">
        <f t="shared" si="147"/>
        <v>Senior Citizen</v>
      </c>
    </row>
    <row r="2368" spans="1:25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144"/>
        <v>0-12 Months</v>
      </c>
      <c r="W2368">
        <f t="shared" si="145"/>
        <v>1</v>
      </c>
      <c r="X2368">
        <f t="shared" si="146"/>
        <v>70.150000000000006</v>
      </c>
      <c r="Y2368" t="str">
        <f t="shared" si="147"/>
        <v>Senior Citizen</v>
      </c>
    </row>
    <row r="2369" spans="1:25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144"/>
        <v>0-12 Months</v>
      </c>
      <c r="W2369">
        <f t="shared" si="145"/>
        <v>1</v>
      </c>
      <c r="X2369">
        <f t="shared" si="146"/>
        <v>85.55</v>
      </c>
      <c r="Y2369" t="str">
        <f t="shared" si="147"/>
        <v>Non-Senior</v>
      </c>
    </row>
    <row r="2370" spans="1:25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si="144"/>
        <v>61-72 Months</v>
      </c>
      <c r="W2370">
        <f t="shared" si="145"/>
        <v>0</v>
      </c>
      <c r="X2370">
        <f t="shared" si="146"/>
        <v>0</v>
      </c>
      <c r="Y2370" t="str">
        <f t="shared" si="147"/>
        <v>Non-Senior</v>
      </c>
    </row>
    <row r="2371" spans="1:25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ref="V2371:V2434" si="148">IF(F2371&lt;=12,"0-12 Months",IF(F2371&lt;=24,"13-24 Months",IF(F2371&lt;=36,"25-36 Months",IF(F2371&lt;=48,"37-48 Months",IF(F2371&lt;=60,"49-60 Months","61-72 Months")))))</f>
        <v>61-72 Months</v>
      </c>
      <c r="W2371">
        <f t="shared" ref="W2371:W2434" si="149">IF(U2371="Yes",1,0)</f>
        <v>0</v>
      </c>
      <c r="X2371">
        <f t="shared" ref="X2371:X2434" si="150">IF(U2371="Yes",S2371,0)</f>
        <v>0</v>
      </c>
      <c r="Y2371" t="str">
        <f t="shared" ref="Y2371:Y2434" si="151">IF(C2371=1,"Senior Citizen","Non-Senior")</f>
        <v>Non-Senior</v>
      </c>
    </row>
    <row r="2372" spans="1:25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148"/>
        <v>61-72 Months</v>
      </c>
      <c r="W2372">
        <f t="shared" si="149"/>
        <v>0</v>
      </c>
      <c r="X2372">
        <f t="shared" si="150"/>
        <v>0</v>
      </c>
      <c r="Y2372" t="str">
        <f t="shared" si="151"/>
        <v>Non-Senior</v>
      </c>
    </row>
    <row r="2373" spans="1:25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7082</v>
      </c>
      <c r="J2373" t="s">
        <v>7084</v>
      </c>
      <c r="K2373" t="s">
        <v>46</v>
      </c>
      <c r="L2373" t="s">
        <v>7084</v>
      </c>
      <c r="M2373" t="s">
        <v>7084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148"/>
        <v>0-12 Months</v>
      </c>
      <c r="W2373">
        <f t="shared" si="149"/>
        <v>0</v>
      </c>
      <c r="X2373">
        <f t="shared" si="150"/>
        <v>0</v>
      </c>
      <c r="Y2373" t="str">
        <f t="shared" si="151"/>
        <v>Non-Senior</v>
      </c>
    </row>
    <row r="2374" spans="1:25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148"/>
        <v>61-72 Months</v>
      </c>
      <c r="W2374">
        <f t="shared" si="149"/>
        <v>0</v>
      </c>
      <c r="X2374">
        <f t="shared" si="150"/>
        <v>0</v>
      </c>
      <c r="Y2374" t="str">
        <f t="shared" si="151"/>
        <v>Non-Senior</v>
      </c>
    </row>
    <row r="2375" spans="1:25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148"/>
        <v>61-72 Months</v>
      </c>
      <c r="W2375">
        <f t="shared" si="149"/>
        <v>0</v>
      </c>
      <c r="X2375">
        <f t="shared" si="150"/>
        <v>0</v>
      </c>
      <c r="Y2375" t="str">
        <f t="shared" si="151"/>
        <v>Non-Senior</v>
      </c>
    </row>
    <row r="2376" spans="1:25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7082</v>
      </c>
      <c r="J2376" t="s">
        <v>7084</v>
      </c>
      <c r="K2376" t="s">
        <v>46</v>
      </c>
      <c r="L2376" t="s">
        <v>7084</v>
      </c>
      <c r="M2376" t="s">
        <v>7084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148"/>
        <v>0-12 Months</v>
      </c>
      <c r="W2376">
        <f t="shared" si="149"/>
        <v>0</v>
      </c>
      <c r="X2376">
        <f t="shared" si="150"/>
        <v>0</v>
      </c>
      <c r="Y2376" t="str">
        <f t="shared" si="151"/>
        <v>Non-Senior</v>
      </c>
    </row>
    <row r="2377" spans="1:25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148"/>
        <v>61-72 Months</v>
      </c>
      <c r="W2377">
        <f t="shared" si="149"/>
        <v>0</v>
      </c>
      <c r="X2377">
        <f t="shared" si="150"/>
        <v>0</v>
      </c>
      <c r="Y2377" t="str">
        <f t="shared" si="151"/>
        <v>Senior Citizen</v>
      </c>
    </row>
    <row r="2378" spans="1:25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148"/>
        <v>0-12 Months</v>
      </c>
      <c r="W2378">
        <f t="shared" si="149"/>
        <v>0</v>
      </c>
      <c r="X2378">
        <f t="shared" si="150"/>
        <v>0</v>
      </c>
      <c r="Y2378" t="str">
        <f t="shared" si="151"/>
        <v>Non-Senior</v>
      </c>
    </row>
    <row r="2379" spans="1:25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148"/>
        <v>37-48 Months</v>
      </c>
      <c r="W2379">
        <f t="shared" si="149"/>
        <v>0</v>
      </c>
      <c r="X2379">
        <f t="shared" si="150"/>
        <v>0</v>
      </c>
      <c r="Y2379" t="str">
        <f t="shared" si="151"/>
        <v>Non-Senior</v>
      </c>
    </row>
    <row r="2380" spans="1:25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148"/>
        <v>25-36 Months</v>
      </c>
      <c r="W2380">
        <f t="shared" si="149"/>
        <v>1</v>
      </c>
      <c r="X2380">
        <f t="shared" si="150"/>
        <v>70.3</v>
      </c>
      <c r="Y2380" t="str">
        <f t="shared" si="151"/>
        <v>Non-Senior</v>
      </c>
    </row>
    <row r="2381" spans="1:25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148"/>
        <v>25-36 Months</v>
      </c>
      <c r="W2381">
        <f t="shared" si="149"/>
        <v>1</v>
      </c>
      <c r="X2381">
        <f t="shared" si="150"/>
        <v>106.35</v>
      </c>
      <c r="Y2381" t="str">
        <f t="shared" si="151"/>
        <v>Senior Citizen</v>
      </c>
    </row>
    <row r="2382" spans="1:25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148"/>
        <v>49-60 Months</v>
      </c>
      <c r="W2382">
        <f t="shared" si="149"/>
        <v>0</v>
      </c>
      <c r="X2382">
        <f t="shared" si="150"/>
        <v>0</v>
      </c>
      <c r="Y2382" t="str">
        <f t="shared" si="151"/>
        <v>Non-Senior</v>
      </c>
    </row>
    <row r="2383" spans="1:25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7082</v>
      </c>
      <c r="J2383" t="s">
        <v>7084</v>
      </c>
      <c r="K2383" t="s">
        <v>46</v>
      </c>
      <c r="L2383" t="s">
        <v>7084</v>
      </c>
      <c r="M2383" t="s">
        <v>7084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148"/>
        <v>0-12 Months</v>
      </c>
      <c r="W2383">
        <f t="shared" si="149"/>
        <v>0</v>
      </c>
      <c r="X2383">
        <f t="shared" si="150"/>
        <v>0</v>
      </c>
      <c r="Y2383" t="str">
        <f t="shared" si="151"/>
        <v>Non-Senior</v>
      </c>
    </row>
    <row r="2384" spans="1:25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148"/>
        <v>25-36 Months</v>
      </c>
      <c r="W2384">
        <f t="shared" si="149"/>
        <v>0</v>
      </c>
      <c r="X2384">
        <f t="shared" si="150"/>
        <v>0</v>
      </c>
      <c r="Y2384" t="str">
        <f t="shared" si="151"/>
        <v>Non-Senior</v>
      </c>
    </row>
    <row r="2385" spans="1:25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148"/>
        <v>13-24 Months</v>
      </c>
      <c r="W2385">
        <f t="shared" si="149"/>
        <v>0</v>
      </c>
      <c r="X2385">
        <f t="shared" si="150"/>
        <v>0</v>
      </c>
      <c r="Y2385" t="str">
        <f t="shared" si="151"/>
        <v>Non-Senior</v>
      </c>
    </row>
    <row r="2386" spans="1:25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148"/>
        <v>37-48 Months</v>
      </c>
      <c r="W2386">
        <f t="shared" si="149"/>
        <v>0</v>
      </c>
      <c r="X2386">
        <f t="shared" si="150"/>
        <v>0</v>
      </c>
      <c r="Y2386" t="str">
        <f t="shared" si="151"/>
        <v>Senior Citizen</v>
      </c>
    </row>
    <row r="2387" spans="1:25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148"/>
        <v>0-12 Months</v>
      </c>
      <c r="W2387">
        <f t="shared" si="149"/>
        <v>0</v>
      </c>
      <c r="X2387">
        <f t="shared" si="150"/>
        <v>0</v>
      </c>
      <c r="Y2387" t="str">
        <f t="shared" si="151"/>
        <v>Non-Senior</v>
      </c>
    </row>
    <row r="2388" spans="1:25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148"/>
        <v>37-48 Months</v>
      </c>
      <c r="W2388">
        <f t="shared" si="149"/>
        <v>0</v>
      </c>
      <c r="X2388">
        <f t="shared" si="150"/>
        <v>0</v>
      </c>
      <c r="Y2388" t="str">
        <f t="shared" si="151"/>
        <v>Non-Senior</v>
      </c>
    </row>
    <row r="2389" spans="1:25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148"/>
        <v>0-12 Months</v>
      </c>
      <c r="W2389">
        <f t="shared" si="149"/>
        <v>0</v>
      </c>
      <c r="X2389">
        <f t="shared" si="150"/>
        <v>0</v>
      </c>
      <c r="Y2389" t="str">
        <f t="shared" si="151"/>
        <v>Non-Senior</v>
      </c>
    </row>
    <row r="2390" spans="1:25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148"/>
        <v>0-12 Months</v>
      </c>
      <c r="W2390">
        <f t="shared" si="149"/>
        <v>0</v>
      </c>
      <c r="X2390">
        <f t="shared" si="150"/>
        <v>0</v>
      </c>
      <c r="Y2390" t="str">
        <f t="shared" si="151"/>
        <v>Non-Senior</v>
      </c>
    </row>
    <row r="2391" spans="1:25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148"/>
        <v>61-72 Months</v>
      </c>
      <c r="W2391">
        <f t="shared" si="149"/>
        <v>0</v>
      </c>
      <c r="X2391">
        <f t="shared" si="150"/>
        <v>0</v>
      </c>
      <c r="Y2391" t="str">
        <f t="shared" si="151"/>
        <v>Non-Senior</v>
      </c>
    </row>
    <row r="2392" spans="1:25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7082</v>
      </c>
      <c r="J2392" t="s">
        <v>7084</v>
      </c>
      <c r="K2392" t="s">
        <v>46</v>
      </c>
      <c r="L2392" t="s">
        <v>7084</v>
      </c>
      <c r="M2392" t="s">
        <v>7084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148"/>
        <v>0-12 Months</v>
      </c>
      <c r="W2392">
        <f t="shared" si="149"/>
        <v>0</v>
      </c>
      <c r="X2392">
        <f t="shared" si="150"/>
        <v>0</v>
      </c>
      <c r="Y2392" t="str">
        <f t="shared" si="151"/>
        <v>Non-Senior</v>
      </c>
    </row>
    <row r="2393" spans="1:25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148"/>
        <v>0-12 Months</v>
      </c>
      <c r="W2393">
        <f t="shared" si="149"/>
        <v>0</v>
      </c>
      <c r="X2393">
        <f t="shared" si="150"/>
        <v>0</v>
      </c>
      <c r="Y2393" t="str">
        <f t="shared" si="151"/>
        <v>Non-Senior</v>
      </c>
    </row>
    <row r="2394" spans="1:25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148"/>
        <v>13-24 Months</v>
      </c>
      <c r="W2394">
        <f t="shared" si="149"/>
        <v>0</v>
      </c>
      <c r="X2394">
        <f t="shared" si="150"/>
        <v>0</v>
      </c>
      <c r="Y2394" t="str">
        <f t="shared" si="151"/>
        <v>Non-Senior</v>
      </c>
    </row>
    <row r="2395" spans="1:25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148"/>
        <v>25-36 Months</v>
      </c>
      <c r="W2395">
        <f t="shared" si="149"/>
        <v>1</v>
      </c>
      <c r="X2395">
        <f t="shared" si="150"/>
        <v>103.7</v>
      </c>
      <c r="Y2395" t="str">
        <f t="shared" si="151"/>
        <v>Non-Senior</v>
      </c>
    </row>
    <row r="2396" spans="1:25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148"/>
        <v>61-72 Months</v>
      </c>
      <c r="W2396">
        <f t="shared" si="149"/>
        <v>0</v>
      </c>
      <c r="X2396">
        <f t="shared" si="150"/>
        <v>0</v>
      </c>
      <c r="Y2396" t="str">
        <f t="shared" si="151"/>
        <v>Non-Senior</v>
      </c>
    </row>
    <row r="2397" spans="1:25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148"/>
        <v>25-36 Months</v>
      </c>
      <c r="W2397">
        <f t="shared" si="149"/>
        <v>0</v>
      </c>
      <c r="X2397">
        <f t="shared" si="150"/>
        <v>0</v>
      </c>
      <c r="Y2397" t="str">
        <f t="shared" si="151"/>
        <v>Senior Citizen</v>
      </c>
    </row>
    <row r="2398" spans="1:25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148"/>
        <v>37-48 Months</v>
      </c>
      <c r="W2398">
        <f t="shared" si="149"/>
        <v>0</v>
      </c>
      <c r="X2398">
        <f t="shared" si="150"/>
        <v>0</v>
      </c>
      <c r="Y2398" t="str">
        <f t="shared" si="151"/>
        <v>Senior Citizen</v>
      </c>
    </row>
    <row r="2399" spans="1:25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148"/>
        <v>0-12 Months</v>
      </c>
      <c r="W2399">
        <f t="shared" si="149"/>
        <v>1</v>
      </c>
      <c r="X2399">
        <f t="shared" si="150"/>
        <v>88.35</v>
      </c>
      <c r="Y2399" t="str">
        <f t="shared" si="151"/>
        <v>Non-Senior</v>
      </c>
    </row>
    <row r="2400" spans="1:25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148"/>
        <v>0-12 Months</v>
      </c>
      <c r="W2400">
        <f t="shared" si="149"/>
        <v>0</v>
      </c>
      <c r="X2400">
        <f t="shared" si="150"/>
        <v>0</v>
      </c>
      <c r="Y2400" t="str">
        <f t="shared" si="151"/>
        <v>Non-Senior</v>
      </c>
    </row>
    <row r="2401" spans="1:25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148"/>
        <v>0-12 Months</v>
      </c>
      <c r="W2401">
        <f t="shared" si="149"/>
        <v>0</v>
      </c>
      <c r="X2401">
        <f t="shared" si="150"/>
        <v>0</v>
      </c>
      <c r="Y2401" t="str">
        <f t="shared" si="151"/>
        <v>Non-Senior</v>
      </c>
    </row>
    <row r="2402" spans="1:25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148"/>
        <v>0-12 Months</v>
      </c>
      <c r="W2402">
        <f t="shared" si="149"/>
        <v>0</v>
      </c>
      <c r="X2402">
        <f t="shared" si="150"/>
        <v>0</v>
      </c>
      <c r="Y2402" t="str">
        <f t="shared" si="151"/>
        <v>Non-Senior</v>
      </c>
    </row>
    <row r="2403" spans="1:25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148"/>
        <v>0-12 Months</v>
      </c>
      <c r="W2403">
        <f t="shared" si="149"/>
        <v>0</v>
      </c>
      <c r="X2403">
        <f t="shared" si="150"/>
        <v>0</v>
      </c>
      <c r="Y2403" t="str">
        <f t="shared" si="151"/>
        <v>Senior Citizen</v>
      </c>
    </row>
    <row r="2404" spans="1:25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7082</v>
      </c>
      <c r="J2404" t="s">
        <v>7084</v>
      </c>
      <c r="K2404" t="s">
        <v>46</v>
      </c>
      <c r="L2404" t="s">
        <v>7084</v>
      </c>
      <c r="M2404" t="s">
        <v>7084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148"/>
        <v>0-12 Months</v>
      </c>
      <c r="W2404">
        <f t="shared" si="149"/>
        <v>0</v>
      </c>
      <c r="X2404">
        <f t="shared" si="150"/>
        <v>0</v>
      </c>
      <c r="Y2404" t="str">
        <f t="shared" si="151"/>
        <v>Non-Senior</v>
      </c>
    </row>
    <row r="2405" spans="1:25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148"/>
        <v>61-72 Months</v>
      </c>
      <c r="W2405">
        <f t="shared" si="149"/>
        <v>0</v>
      </c>
      <c r="X2405">
        <f t="shared" si="150"/>
        <v>0</v>
      </c>
      <c r="Y2405" t="str">
        <f t="shared" si="151"/>
        <v>Non-Senior</v>
      </c>
    </row>
    <row r="2406" spans="1:25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148"/>
        <v>37-48 Months</v>
      </c>
      <c r="W2406">
        <f t="shared" si="149"/>
        <v>0</v>
      </c>
      <c r="X2406">
        <f t="shared" si="150"/>
        <v>0</v>
      </c>
      <c r="Y2406" t="str">
        <f t="shared" si="151"/>
        <v>Non-Senior</v>
      </c>
    </row>
    <row r="2407" spans="1:25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148"/>
        <v>0-12 Months</v>
      </c>
      <c r="W2407">
        <f t="shared" si="149"/>
        <v>1</v>
      </c>
      <c r="X2407">
        <f t="shared" si="150"/>
        <v>94.2</v>
      </c>
      <c r="Y2407" t="str">
        <f t="shared" si="151"/>
        <v>Non-Senior</v>
      </c>
    </row>
    <row r="2408" spans="1:25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148"/>
        <v>0-12 Months</v>
      </c>
      <c r="W2408">
        <f t="shared" si="149"/>
        <v>1</v>
      </c>
      <c r="X2408">
        <f t="shared" si="150"/>
        <v>96.25</v>
      </c>
      <c r="Y2408" t="str">
        <f t="shared" si="151"/>
        <v>Non-Senior</v>
      </c>
    </row>
    <row r="2409" spans="1:25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148"/>
        <v>0-12 Months</v>
      </c>
      <c r="W2409">
        <f t="shared" si="149"/>
        <v>1</v>
      </c>
      <c r="X2409">
        <f t="shared" si="150"/>
        <v>70.7</v>
      </c>
      <c r="Y2409" t="str">
        <f t="shared" si="151"/>
        <v>Non-Senior</v>
      </c>
    </row>
    <row r="2410" spans="1:25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7082</v>
      </c>
      <c r="J2410" t="s">
        <v>7084</v>
      </c>
      <c r="K2410" t="s">
        <v>46</v>
      </c>
      <c r="L2410" t="s">
        <v>7084</v>
      </c>
      <c r="M2410" t="s">
        <v>7084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148"/>
        <v>37-48 Months</v>
      </c>
      <c r="W2410">
        <f t="shared" si="149"/>
        <v>0</v>
      </c>
      <c r="X2410">
        <f t="shared" si="150"/>
        <v>0</v>
      </c>
      <c r="Y2410" t="str">
        <f t="shared" si="151"/>
        <v>Non-Senior</v>
      </c>
    </row>
    <row r="2411" spans="1:25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148"/>
        <v>25-36 Months</v>
      </c>
      <c r="W2411">
        <f t="shared" si="149"/>
        <v>0</v>
      </c>
      <c r="X2411">
        <f t="shared" si="150"/>
        <v>0</v>
      </c>
      <c r="Y2411" t="str">
        <f t="shared" si="151"/>
        <v>Non-Senior</v>
      </c>
    </row>
    <row r="2412" spans="1:25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148"/>
        <v>37-48 Months</v>
      </c>
      <c r="W2412">
        <f t="shared" si="149"/>
        <v>0</v>
      </c>
      <c r="X2412">
        <f t="shared" si="150"/>
        <v>0</v>
      </c>
      <c r="Y2412" t="str">
        <f t="shared" si="151"/>
        <v>Non-Senior</v>
      </c>
    </row>
    <row r="2413" spans="1:25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148"/>
        <v>49-60 Months</v>
      </c>
      <c r="W2413">
        <f t="shared" si="149"/>
        <v>0</v>
      </c>
      <c r="X2413">
        <f t="shared" si="150"/>
        <v>0</v>
      </c>
      <c r="Y2413" t="str">
        <f t="shared" si="151"/>
        <v>Non-Senior</v>
      </c>
    </row>
    <row r="2414" spans="1:25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148"/>
        <v>37-48 Months</v>
      </c>
      <c r="W2414">
        <f t="shared" si="149"/>
        <v>1</v>
      </c>
      <c r="X2414">
        <f t="shared" si="150"/>
        <v>33.549999999999997</v>
      </c>
      <c r="Y2414" t="str">
        <f t="shared" si="151"/>
        <v>Non-Senior</v>
      </c>
    </row>
    <row r="2415" spans="1:25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148"/>
        <v>0-12 Months</v>
      </c>
      <c r="W2415">
        <f t="shared" si="149"/>
        <v>0</v>
      </c>
      <c r="X2415">
        <f t="shared" si="150"/>
        <v>0</v>
      </c>
      <c r="Y2415" t="str">
        <f t="shared" si="151"/>
        <v>Non-Senior</v>
      </c>
    </row>
    <row r="2416" spans="1:25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7082</v>
      </c>
      <c r="J2416" t="s">
        <v>7084</v>
      </c>
      <c r="K2416" t="s">
        <v>46</v>
      </c>
      <c r="L2416" t="s">
        <v>7084</v>
      </c>
      <c r="M2416" t="s">
        <v>7084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148"/>
        <v>25-36 Months</v>
      </c>
      <c r="W2416">
        <f t="shared" si="149"/>
        <v>0</v>
      </c>
      <c r="X2416">
        <f t="shared" si="150"/>
        <v>0</v>
      </c>
      <c r="Y2416" t="str">
        <f t="shared" si="151"/>
        <v>Non-Senior</v>
      </c>
    </row>
    <row r="2417" spans="1:25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148"/>
        <v>37-48 Months</v>
      </c>
      <c r="W2417">
        <f t="shared" si="149"/>
        <v>1</v>
      </c>
      <c r="X2417">
        <f t="shared" si="150"/>
        <v>94.55</v>
      </c>
      <c r="Y2417" t="str">
        <f t="shared" si="151"/>
        <v>Senior Citizen</v>
      </c>
    </row>
    <row r="2418" spans="1:25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148"/>
        <v>25-36 Months</v>
      </c>
      <c r="W2418">
        <f t="shared" si="149"/>
        <v>0</v>
      </c>
      <c r="X2418">
        <f t="shared" si="150"/>
        <v>0</v>
      </c>
      <c r="Y2418" t="str">
        <f t="shared" si="151"/>
        <v>Non-Senior</v>
      </c>
    </row>
    <row r="2419" spans="1:25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148"/>
        <v>0-12 Months</v>
      </c>
      <c r="W2419">
        <f t="shared" si="149"/>
        <v>0</v>
      </c>
      <c r="X2419">
        <f t="shared" si="150"/>
        <v>0</v>
      </c>
      <c r="Y2419" t="str">
        <f t="shared" si="151"/>
        <v>Non-Senior</v>
      </c>
    </row>
    <row r="2420" spans="1:25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148"/>
        <v>25-36 Months</v>
      </c>
      <c r="W2420">
        <f t="shared" si="149"/>
        <v>0</v>
      </c>
      <c r="X2420">
        <f t="shared" si="150"/>
        <v>0</v>
      </c>
      <c r="Y2420" t="str">
        <f t="shared" si="151"/>
        <v>Senior Citizen</v>
      </c>
    </row>
    <row r="2421" spans="1:25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148"/>
        <v>0-12 Months</v>
      </c>
      <c r="W2421">
        <f t="shared" si="149"/>
        <v>0</v>
      </c>
      <c r="X2421">
        <f t="shared" si="150"/>
        <v>0</v>
      </c>
      <c r="Y2421" t="str">
        <f t="shared" si="151"/>
        <v>Non-Senior</v>
      </c>
    </row>
    <row r="2422" spans="1:25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148"/>
        <v>0-12 Months</v>
      </c>
      <c r="W2422">
        <f t="shared" si="149"/>
        <v>0</v>
      </c>
      <c r="X2422">
        <f t="shared" si="150"/>
        <v>0</v>
      </c>
      <c r="Y2422" t="str">
        <f t="shared" si="151"/>
        <v>Non-Senior</v>
      </c>
    </row>
    <row r="2423" spans="1:25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148"/>
        <v>61-72 Months</v>
      </c>
      <c r="W2423">
        <f t="shared" si="149"/>
        <v>0</v>
      </c>
      <c r="X2423">
        <f t="shared" si="150"/>
        <v>0</v>
      </c>
      <c r="Y2423" t="str">
        <f t="shared" si="151"/>
        <v>Non-Senior</v>
      </c>
    </row>
    <row r="2424" spans="1:25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148"/>
        <v>0-12 Months</v>
      </c>
      <c r="W2424">
        <f t="shared" si="149"/>
        <v>0</v>
      </c>
      <c r="X2424">
        <f t="shared" si="150"/>
        <v>0</v>
      </c>
      <c r="Y2424" t="str">
        <f t="shared" si="151"/>
        <v>Senior Citizen</v>
      </c>
    </row>
    <row r="2425" spans="1:25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7082</v>
      </c>
      <c r="J2425" t="s">
        <v>7084</v>
      </c>
      <c r="K2425" t="s">
        <v>46</v>
      </c>
      <c r="L2425" t="s">
        <v>7084</v>
      </c>
      <c r="M2425" t="s">
        <v>7084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148"/>
        <v>13-24 Months</v>
      </c>
      <c r="W2425">
        <f t="shared" si="149"/>
        <v>0</v>
      </c>
      <c r="X2425">
        <f t="shared" si="150"/>
        <v>0</v>
      </c>
      <c r="Y2425" t="str">
        <f t="shared" si="151"/>
        <v>Non-Senior</v>
      </c>
    </row>
    <row r="2426" spans="1:25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148"/>
        <v>49-60 Months</v>
      </c>
      <c r="W2426">
        <f t="shared" si="149"/>
        <v>1</v>
      </c>
      <c r="X2426">
        <f t="shared" si="150"/>
        <v>112.95</v>
      </c>
      <c r="Y2426" t="str">
        <f t="shared" si="151"/>
        <v>Non-Senior</v>
      </c>
    </row>
    <row r="2427" spans="1:25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7082</v>
      </c>
      <c r="J2427" t="s">
        <v>7084</v>
      </c>
      <c r="K2427" t="s">
        <v>46</v>
      </c>
      <c r="L2427" t="s">
        <v>7084</v>
      </c>
      <c r="M2427" t="s">
        <v>7084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148"/>
        <v>25-36 Months</v>
      </c>
      <c r="W2427">
        <f t="shared" si="149"/>
        <v>0</v>
      </c>
      <c r="X2427">
        <f t="shared" si="150"/>
        <v>0</v>
      </c>
      <c r="Y2427" t="str">
        <f t="shared" si="151"/>
        <v>Non-Senior</v>
      </c>
    </row>
    <row r="2428" spans="1:25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148"/>
        <v>13-24 Months</v>
      </c>
      <c r="W2428">
        <f t="shared" si="149"/>
        <v>0</v>
      </c>
      <c r="X2428">
        <f t="shared" si="150"/>
        <v>0</v>
      </c>
      <c r="Y2428" t="str">
        <f t="shared" si="151"/>
        <v>Non-Senior</v>
      </c>
    </row>
    <row r="2429" spans="1:25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148"/>
        <v>0-12 Months</v>
      </c>
      <c r="W2429">
        <f t="shared" si="149"/>
        <v>1</v>
      </c>
      <c r="X2429">
        <f t="shared" si="150"/>
        <v>35.9</v>
      </c>
      <c r="Y2429" t="str">
        <f t="shared" si="151"/>
        <v>Non-Senior</v>
      </c>
    </row>
    <row r="2430" spans="1:25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148"/>
        <v>37-48 Months</v>
      </c>
      <c r="W2430">
        <f t="shared" si="149"/>
        <v>1</v>
      </c>
      <c r="X2430">
        <f t="shared" si="150"/>
        <v>99.25</v>
      </c>
      <c r="Y2430" t="str">
        <f t="shared" si="151"/>
        <v>Non-Senior</v>
      </c>
    </row>
    <row r="2431" spans="1:25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148"/>
        <v>49-60 Months</v>
      </c>
      <c r="W2431">
        <f t="shared" si="149"/>
        <v>0</v>
      </c>
      <c r="X2431">
        <f t="shared" si="150"/>
        <v>0</v>
      </c>
      <c r="Y2431" t="str">
        <f t="shared" si="151"/>
        <v>Senior Citizen</v>
      </c>
    </row>
    <row r="2432" spans="1:25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148"/>
        <v>25-36 Months</v>
      </c>
      <c r="W2432">
        <f t="shared" si="149"/>
        <v>0</v>
      </c>
      <c r="X2432">
        <f t="shared" si="150"/>
        <v>0</v>
      </c>
      <c r="Y2432" t="str">
        <f t="shared" si="151"/>
        <v>Non-Senior</v>
      </c>
    </row>
    <row r="2433" spans="1:25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148"/>
        <v>0-12 Months</v>
      </c>
      <c r="W2433">
        <f t="shared" si="149"/>
        <v>1</v>
      </c>
      <c r="X2433">
        <f t="shared" si="150"/>
        <v>24.45</v>
      </c>
      <c r="Y2433" t="str">
        <f t="shared" si="151"/>
        <v>Senior Citizen</v>
      </c>
    </row>
    <row r="2434" spans="1:25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7082</v>
      </c>
      <c r="J2434" t="s">
        <v>7084</v>
      </c>
      <c r="K2434" t="s">
        <v>46</v>
      </c>
      <c r="L2434" t="s">
        <v>7084</v>
      </c>
      <c r="M2434" t="s">
        <v>7084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si="148"/>
        <v>49-60 Months</v>
      </c>
      <c r="W2434">
        <f t="shared" si="149"/>
        <v>0</v>
      </c>
      <c r="X2434">
        <f t="shared" si="150"/>
        <v>0</v>
      </c>
      <c r="Y2434" t="str">
        <f t="shared" si="151"/>
        <v>Senior Citizen</v>
      </c>
    </row>
    <row r="2435" spans="1:25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ref="V2435:V2498" si="152">IF(F2435&lt;=12,"0-12 Months",IF(F2435&lt;=24,"13-24 Months",IF(F2435&lt;=36,"25-36 Months",IF(F2435&lt;=48,"37-48 Months",IF(F2435&lt;=60,"49-60 Months","61-72 Months")))))</f>
        <v>0-12 Months</v>
      </c>
      <c r="W2435">
        <f t="shared" ref="W2435:W2498" si="153">IF(U2435="Yes",1,0)</f>
        <v>0</v>
      </c>
      <c r="X2435">
        <f t="shared" ref="X2435:X2498" si="154">IF(U2435="Yes",S2435,0)</f>
        <v>0</v>
      </c>
      <c r="Y2435" t="str">
        <f t="shared" ref="Y2435:Y2498" si="155">IF(C2435=1,"Senior Citizen","Non-Senior")</f>
        <v>Non-Senior</v>
      </c>
    </row>
    <row r="2436" spans="1:25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7082</v>
      </c>
      <c r="J2436" t="s">
        <v>7084</v>
      </c>
      <c r="K2436" t="s">
        <v>46</v>
      </c>
      <c r="L2436" t="s">
        <v>7084</v>
      </c>
      <c r="M2436" t="s">
        <v>7084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152"/>
        <v>0-12 Months</v>
      </c>
      <c r="W2436">
        <f t="shared" si="153"/>
        <v>0</v>
      </c>
      <c r="X2436">
        <f t="shared" si="154"/>
        <v>0</v>
      </c>
      <c r="Y2436" t="str">
        <f t="shared" si="155"/>
        <v>Non-Senior</v>
      </c>
    </row>
    <row r="2437" spans="1:25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152"/>
        <v>13-24 Months</v>
      </c>
      <c r="W2437">
        <f t="shared" si="153"/>
        <v>0</v>
      </c>
      <c r="X2437">
        <f t="shared" si="154"/>
        <v>0</v>
      </c>
      <c r="Y2437" t="str">
        <f t="shared" si="155"/>
        <v>Non-Senior</v>
      </c>
    </row>
    <row r="2438" spans="1:25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152"/>
        <v>25-36 Months</v>
      </c>
      <c r="W2438">
        <f t="shared" si="153"/>
        <v>0</v>
      </c>
      <c r="X2438">
        <f t="shared" si="154"/>
        <v>0</v>
      </c>
      <c r="Y2438" t="str">
        <f t="shared" si="155"/>
        <v>Senior Citizen</v>
      </c>
    </row>
    <row r="2439" spans="1:25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152"/>
        <v>0-12 Months</v>
      </c>
      <c r="W2439">
        <f t="shared" si="153"/>
        <v>0</v>
      </c>
      <c r="X2439">
        <f t="shared" si="154"/>
        <v>0</v>
      </c>
      <c r="Y2439" t="str">
        <f t="shared" si="155"/>
        <v>Non-Senior</v>
      </c>
    </row>
    <row r="2440" spans="1:25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152"/>
        <v>0-12 Months</v>
      </c>
      <c r="W2440">
        <f t="shared" si="153"/>
        <v>1</v>
      </c>
      <c r="X2440">
        <f t="shared" si="154"/>
        <v>103.35</v>
      </c>
      <c r="Y2440" t="str">
        <f t="shared" si="155"/>
        <v>Non-Senior</v>
      </c>
    </row>
    <row r="2441" spans="1:25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7082</v>
      </c>
      <c r="J2441" t="s">
        <v>7084</v>
      </c>
      <c r="K2441" t="s">
        <v>46</v>
      </c>
      <c r="L2441" t="s">
        <v>7084</v>
      </c>
      <c r="M2441" t="s">
        <v>7084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152"/>
        <v>13-24 Months</v>
      </c>
      <c r="W2441">
        <f t="shared" si="153"/>
        <v>0</v>
      </c>
      <c r="X2441">
        <f t="shared" si="154"/>
        <v>0</v>
      </c>
      <c r="Y2441" t="str">
        <f t="shared" si="155"/>
        <v>Non-Senior</v>
      </c>
    </row>
    <row r="2442" spans="1:25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7082</v>
      </c>
      <c r="J2442" t="s">
        <v>7084</v>
      </c>
      <c r="K2442" t="s">
        <v>46</v>
      </c>
      <c r="L2442" t="s">
        <v>7084</v>
      </c>
      <c r="M2442" t="s">
        <v>7084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152"/>
        <v>25-36 Months</v>
      </c>
      <c r="W2442">
        <f t="shared" si="153"/>
        <v>0</v>
      </c>
      <c r="X2442">
        <f t="shared" si="154"/>
        <v>0</v>
      </c>
      <c r="Y2442" t="str">
        <f t="shared" si="155"/>
        <v>Non-Senior</v>
      </c>
    </row>
    <row r="2443" spans="1:25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152"/>
        <v>0-12 Months</v>
      </c>
      <c r="W2443">
        <f t="shared" si="153"/>
        <v>0</v>
      </c>
      <c r="X2443">
        <f t="shared" si="154"/>
        <v>0</v>
      </c>
      <c r="Y2443" t="str">
        <f t="shared" si="155"/>
        <v>Senior Citizen</v>
      </c>
    </row>
    <row r="2444" spans="1:25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152"/>
        <v>0-12 Months</v>
      </c>
      <c r="W2444">
        <f t="shared" si="153"/>
        <v>1</v>
      </c>
      <c r="X2444">
        <f t="shared" si="154"/>
        <v>84.8</v>
      </c>
      <c r="Y2444" t="str">
        <f t="shared" si="155"/>
        <v>Senior Citizen</v>
      </c>
    </row>
    <row r="2445" spans="1:25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152"/>
        <v>61-72 Months</v>
      </c>
      <c r="W2445">
        <f t="shared" si="153"/>
        <v>0</v>
      </c>
      <c r="X2445">
        <f t="shared" si="154"/>
        <v>0</v>
      </c>
      <c r="Y2445" t="str">
        <f t="shared" si="155"/>
        <v>Non-Senior</v>
      </c>
    </row>
    <row r="2446" spans="1:25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152"/>
        <v>25-36 Months</v>
      </c>
      <c r="W2446">
        <f t="shared" si="153"/>
        <v>1</v>
      </c>
      <c r="X2446">
        <f t="shared" si="154"/>
        <v>99.95</v>
      </c>
      <c r="Y2446" t="str">
        <f t="shared" si="155"/>
        <v>Senior Citizen</v>
      </c>
    </row>
    <row r="2447" spans="1:25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152"/>
        <v>25-36 Months</v>
      </c>
      <c r="W2447">
        <f t="shared" si="153"/>
        <v>0</v>
      </c>
      <c r="X2447">
        <f t="shared" si="154"/>
        <v>0</v>
      </c>
      <c r="Y2447" t="str">
        <f t="shared" si="155"/>
        <v>Non-Senior</v>
      </c>
    </row>
    <row r="2448" spans="1:25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152"/>
        <v>13-24 Months</v>
      </c>
      <c r="W2448">
        <f t="shared" si="153"/>
        <v>1</v>
      </c>
      <c r="X2448">
        <f t="shared" si="154"/>
        <v>90</v>
      </c>
      <c r="Y2448" t="str">
        <f t="shared" si="155"/>
        <v>Non-Senior</v>
      </c>
    </row>
    <row r="2449" spans="1:25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152"/>
        <v>0-12 Months</v>
      </c>
      <c r="W2449">
        <f t="shared" si="153"/>
        <v>0</v>
      </c>
      <c r="X2449">
        <f t="shared" si="154"/>
        <v>0</v>
      </c>
      <c r="Y2449" t="str">
        <f t="shared" si="155"/>
        <v>Non-Senior</v>
      </c>
    </row>
    <row r="2450" spans="1:25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152"/>
        <v>13-24 Months</v>
      </c>
      <c r="W2450">
        <f t="shared" si="153"/>
        <v>1</v>
      </c>
      <c r="X2450">
        <f t="shared" si="154"/>
        <v>104.85</v>
      </c>
      <c r="Y2450" t="str">
        <f t="shared" si="155"/>
        <v>Senior Citizen</v>
      </c>
    </row>
    <row r="2451" spans="1:25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152"/>
        <v>0-12 Months</v>
      </c>
      <c r="W2451">
        <f t="shared" si="153"/>
        <v>0</v>
      </c>
      <c r="X2451">
        <f t="shared" si="154"/>
        <v>0</v>
      </c>
      <c r="Y2451" t="str">
        <f t="shared" si="155"/>
        <v>Non-Senior</v>
      </c>
    </row>
    <row r="2452" spans="1:25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152"/>
        <v>61-72 Months</v>
      </c>
      <c r="W2452">
        <f t="shared" si="153"/>
        <v>0</v>
      </c>
      <c r="X2452">
        <f t="shared" si="154"/>
        <v>0</v>
      </c>
      <c r="Y2452" t="str">
        <f t="shared" si="155"/>
        <v>Non-Senior</v>
      </c>
    </row>
    <row r="2453" spans="1:25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152"/>
        <v>25-36 Months</v>
      </c>
      <c r="W2453">
        <f t="shared" si="153"/>
        <v>1</v>
      </c>
      <c r="X2453">
        <f t="shared" si="154"/>
        <v>106.1</v>
      </c>
      <c r="Y2453" t="str">
        <f t="shared" si="155"/>
        <v>Non-Senior</v>
      </c>
    </row>
    <row r="2454" spans="1:25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152"/>
        <v>13-24 Months</v>
      </c>
      <c r="W2454">
        <f t="shared" si="153"/>
        <v>1</v>
      </c>
      <c r="X2454">
        <f t="shared" si="154"/>
        <v>74.2</v>
      </c>
      <c r="Y2454" t="str">
        <f t="shared" si="155"/>
        <v>Senior Citizen</v>
      </c>
    </row>
    <row r="2455" spans="1:25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152"/>
        <v>0-12 Months</v>
      </c>
      <c r="W2455">
        <f t="shared" si="153"/>
        <v>0</v>
      </c>
      <c r="X2455">
        <f t="shared" si="154"/>
        <v>0</v>
      </c>
      <c r="Y2455" t="str">
        <f t="shared" si="155"/>
        <v>Senior Citizen</v>
      </c>
    </row>
    <row r="2456" spans="1:25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7082</v>
      </c>
      <c r="J2456" t="s">
        <v>7084</v>
      </c>
      <c r="K2456" t="s">
        <v>46</v>
      </c>
      <c r="L2456" t="s">
        <v>7084</v>
      </c>
      <c r="M2456" t="s">
        <v>7084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152"/>
        <v>61-72 Months</v>
      </c>
      <c r="W2456">
        <f t="shared" si="153"/>
        <v>0</v>
      </c>
      <c r="X2456">
        <f t="shared" si="154"/>
        <v>0</v>
      </c>
      <c r="Y2456" t="str">
        <f t="shared" si="155"/>
        <v>Non-Senior</v>
      </c>
    </row>
    <row r="2457" spans="1:25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152"/>
        <v>0-12 Months</v>
      </c>
      <c r="W2457">
        <f t="shared" si="153"/>
        <v>1</v>
      </c>
      <c r="X2457">
        <f t="shared" si="154"/>
        <v>89.35</v>
      </c>
      <c r="Y2457" t="str">
        <f t="shared" si="155"/>
        <v>Non-Senior</v>
      </c>
    </row>
    <row r="2458" spans="1:25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7082</v>
      </c>
      <c r="J2458" t="s">
        <v>7084</v>
      </c>
      <c r="K2458" t="s">
        <v>46</v>
      </c>
      <c r="L2458" t="s">
        <v>7084</v>
      </c>
      <c r="M2458" t="s">
        <v>7084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152"/>
        <v>37-48 Months</v>
      </c>
      <c r="W2458">
        <f t="shared" si="153"/>
        <v>0</v>
      </c>
      <c r="X2458">
        <f t="shared" si="154"/>
        <v>0</v>
      </c>
      <c r="Y2458" t="str">
        <f t="shared" si="155"/>
        <v>Non-Senior</v>
      </c>
    </row>
    <row r="2459" spans="1:25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152"/>
        <v>49-60 Months</v>
      </c>
      <c r="W2459">
        <f t="shared" si="153"/>
        <v>0</v>
      </c>
      <c r="X2459">
        <f t="shared" si="154"/>
        <v>0</v>
      </c>
      <c r="Y2459" t="str">
        <f t="shared" si="155"/>
        <v>Senior Citizen</v>
      </c>
    </row>
    <row r="2460" spans="1:25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152"/>
        <v>49-60 Months</v>
      </c>
      <c r="W2460">
        <f t="shared" si="153"/>
        <v>0</v>
      </c>
      <c r="X2460">
        <f t="shared" si="154"/>
        <v>0</v>
      </c>
      <c r="Y2460" t="str">
        <f t="shared" si="155"/>
        <v>Senior Citizen</v>
      </c>
    </row>
    <row r="2461" spans="1:25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7082</v>
      </c>
      <c r="J2461" t="s">
        <v>7084</v>
      </c>
      <c r="K2461" t="s">
        <v>46</v>
      </c>
      <c r="L2461" t="s">
        <v>7084</v>
      </c>
      <c r="M2461" t="s">
        <v>7084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152"/>
        <v>0-12 Months</v>
      </c>
      <c r="W2461">
        <f t="shared" si="153"/>
        <v>0</v>
      </c>
      <c r="X2461">
        <f t="shared" si="154"/>
        <v>0</v>
      </c>
      <c r="Y2461" t="str">
        <f t="shared" si="155"/>
        <v>Non-Senior</v>
      </c>
    </row>
    <row r="2462" spans="1:25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7082</v>
      </c>
      <c r="J2462" t="s">
        <v>7084</v>
      </c>
      <c r="K2462" t="s">
        <v>46</v>
      </c>
      <c r="L2462" t="s">
        <v>7084</v>
      </c>
      <c r="M2462" t="s">
        <v>7084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152"/>
        <v>37-48 Months</v>
      </c>
      <c r="W2462">
        <f t="shared" si="153"/>
        <v>0</v>
      </c>
      <c r="X2462">
        <f t="shared" si="154"/>
        <v>0</v>
      </c>
      <c r="Y2462" t="str">
        <f t="shared" si="155"/>
        <v>Non-Senior</v>
      </c>
    </row>
    <row r="2463" spans="1:25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7082</v>
      </c>
      <c r="J2463" t="s">
        <v>7084</v>
      </c>
      <c r="K2463" t="s">
        <v>46</v>
      </c>
      <c r="L2463" t="s">
        <v>7084</v>
      </c>
      <c r="M2463" t="s">
        <v>7084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152"/>
        <v>61-72 Months</v>
      </c>
      <c r="W2463">
        <f t="shared" si="153"/>
        <v>0</v>
      </c>
      <c r="X2463">
        <f t="shared" si="154"/>
        <v>0</v>
      </c>
      <c r="Y2463" t="str">
        <f t="shared" si="155"/>
        <v>Non-Senior</v>
      </c>
    </row>
    <row r="2464" spans="1:25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152"/>
        <v>0-12 Months</v>
      </c>
      <c r="W2464">
        <f t="shared" si="153"/>
        <v>0</v>
      </c>
      <c r="X2464">
        <f t="shared" si="154"/>
        <v>0</v>
      </c>
      <c r="Y2464" t="str">
        <f t="shared" si="155"/>
        <v>Non-Senior</v>
      </c>
    </row>
    <row r="2465" spans="1:25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152"/>
        <v>0-12 Months</v>
      </c>
      <c r="W2465">
        <f t="shared" si="153"/>
        <v>0</v>
      </c>
      <c r="X2465">
        <f t="shared" si="154"/>
        <v>0</v>
      </c>
      <c r="Y2465" t="str">
        <f t="shared" si="155"/>
        <v>Non-Senior</v>
      </c>
    </row>
    <row r="2466" spans="1:25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152"/>
        <v>0-12 Months</v>
      </c>
      <c r="W2466">
        <f t="shared" si="153"/>
        <v>1</v>
      </c>
      <c r="X2466">
        <f t="shared" si="154"/>
        <v>77.150000000000006</v>
      </c>
      <c r="Y2466" t="str">
        <f t="shared" si="155"/>
        <v>Non-Senior</v>
      </c>
    </row>
    <row r="2467" spans="1:25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152"/>
        <v>0-12 Months</v>
      </c>
      <c r="W2467">
        <f t="shared" si="153"/>
        <v>1</v>
      </c>
      <c r="X2467">
        <f t="shared" si="154"/>
        <v>35.25</v>
      </c>
      <c r="Y2467" t="str">
        <f t="shared" si="155"/>
        <v>Non-Senior</v>
      </c>
    </row>
    <row r="2468" spans="1:25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7082</v>
      </c>
      <c r="J2468" t="s">
        <v>7084</v>
      </c>
      <c r="K2468" t="s">
        <v>46</v>
      </c>
      <c r="L2468" t="s">
        <v>7084</v>
      </c>
      <c r="M2468" t="s">
        <v>7084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152"/>
        <v>49-60 Months</v>
      </c>
      <c r="W2468">
        <f t="shared" si="153"/>
        <v>0</v>
      </c>
      <c r="X2468">
        <f t="shared" si="154"/>
        <v>0</v>
      </c>
      <c r="Y2468" t="str">
        <f t="shared" si="155"/>
        <v>Non-Senior</v>
      </c>
    </row>
    <row r="2469" spans="1:25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152"/>
        <v>49-60 Months</v>
      </c>
      <c r="W2469">
        <f t="shared" si="153"/>
        <v>0</v>
      </c>
      <c r="X2469">
        <f t="shared" si="154"/>
        <v>0</v>
      </c>
      <c r="Y2469" t="str">
        <f t="shared" si="155"/>
        <v>Non-Senior</v>
      </c>
    </row>
    <row r="2470" spans="1:25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152"/>
        <v>0-12 Months</v>
      </c>
      <c r="W2470">
        <f t="shared" si="153"/>
        <v>1</v>
      </c>
      <c r="X2470">
        <f t="shared" si="154"/>
        <v>48.55</v>
      </c>
      <c r="Y2470" t="str">
        <f t="shared" si="155"/>
        <v>Non-Senior</v>
      </c>
    </row>
    <row r="2471" spans="1:25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7082</v>
      </c>
      <c r="J2471" t="s">
        <v>7084</v>
      </c>
      <c r="K2471" t="s">
        <v>46</v>
      </c>
      <c r="L2471" t="s">
        <v>7084</v>
      </c>
      <c r="M2471" t="s">
        <v>7084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152"/>
        <v>25-36 Months</v>
      </c>
      <c r="W2471">
        <f t="shared" si="153"/>
        <v>0</v>
      </c>
      <c r="X2471">
        <f t="shared" si="154"/>
        <v>0</v>
      </c>
      <c r="Y2471" t="str">
        <f t="shared" si="155"/>
        <v>Non-Senior</v>
      </c>
    </row>
    <row r="2472" spans="1:25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7082</v>
      </c>
      <c r="J2472" t="s">
        <v>7084</v>
      </c>
      <c r="K2472" t="s">
        <v>46</v>
      </c>
      <c r="L2472" t="s">
        <v>7084</v>
      </c>
      <c r="M2472" t="s">
        <v>7084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152"/>
        <v>61-72 Months</v>
      </c>
      <c r="W2472">
        <f t="shared" si="153"/>
        <v>0</v>
      </c>
      <c r="X2472">
        <f t="shared" si="154"/>
        <v>0</v>
      </c>
      <c r="Y2472" t="str">
        <f t="shared" si="155"/>
        <v>Non-Senior</v>
      </c>
    </row>
    <row r="2473" spans="1:25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152"/>
        <v>49-60 Months</v>
      </c>
      <c r="W2473">
        <f t="shared" si="153"/>
        <v>1</v>
      </c>
      <c r="X2473">
        <f t="shared" si="154"/>
        <v>98.4</v>
      </c>
      <c r="Y2473" t="str">
        <f t="shared" si="155"/>
        <v>Non-Senior</v>
      </c>
    </row>
    <row r="2474" spans="1:25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152"/>
        <v>61-72 Months</v>
      </c>
      <c r="W2474">
        <f t="shared" si="153"/>
        <v>0</v>
      </c>
      <c r="X2474">
        <f t="shared" si="154"/>
        <v>0</v>
      </c>
      <c r="Y2474" t="str">
        <f t="shared" si="155"/>
        <v>Non-Senior</v>
      </c>
    </row>
    <row r="2475" spans="1:25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7082</v>
      </c>
      <c r="J2475" t="s">
        <v>7084</v>
      </c>
      <c r="K2475" t="s">
        <v>46</v>
      </c>
      <c r="L2475" t="s">
        <v>7084</v>
      </c>
      <c r="M2475" t="s">
        <v>7084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152"/>
        <v>0-12 Months</v>
      </c>
      <c r="W2475">
        <f t="shared" si="153"/>
        <v>0</v>
      </c>
      <c r="X2475">
        <f t="shared" si="154"/>
        <v>0</v>
      </c>
      <c r="Y2475" t="str">
        <f t="shared" si="155"/>
        <v>Non-Senior</v>
      </c>
    </row>
    <row r="2476" spans="1:25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152"/>
        <v>37-48 Months</v>
      </c>
      <c r="W2476">
        <f t="shared" si="153"/>
        <v>0</v>
      </c>
      <c r="X2476">
        <f t="shared" si="154"/>
        <v>0</v>
      </c>
      <c r="Y2476" t="str">
        <f t="shared" si="155"/>
        <v>Non-Senior</v>
      </c>
    </row>
    <row r="2477" spans="1:25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152"/>
        <v>49-60 Months</v>
      </c>
      <c r="W2477">
        <f t="shared" si="153"/>
        <v>0</v>
      </c>
      <c r="X2477">
        <f t="shared" si="154"/>
        <v>0</v>
      </c>
      <c r="Y2477" t="str">
        <f t="shared" si="155"/>
        <v>Non-Senior</v>
      </c>
    </row>
    <row r="2478" spans="1:25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152"/>
        <v>61-72 Months</v>
      </c>
      <c r="W2478">
        <f t="shared" si="153"/>
        <v>0</v>
      </c>
      <c r="X2478">
        <f t="shared" si="154"/>
        <v>0</v>
      </c>
      <c r="Y2478" t="str">
        <f t="shared" si="155"/>
        <v>Non-Senior</v>
      </c>
    </row>
    <row r="2479" spans="1:25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152"/>
        <v>0-12 Months</v>
      </c>
      <c r="W2479">
        <f t="shared" si="153"/>
        <v>0</v>
      </c>
      <c r="X2479">
        <f t="shared" si="154"/>
        <v>0</v>
      </c>
      <c r="Y2479" t="str">
        <f t="shared" si="155"/>
        <v>Non-Senior</v>
      </c>
    </row>
    <row r="2480" spans="1:25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152"/>
        <v>0-12 Months</v>
      </c>
      <c r="W2480">
        <f t="shared" si="153"/>
        <v>0</v>
      </c>
      <c r="X2480">
        <f t="shared" si="154"/>
        <v>0</v>
      </c>
      <c r="Y2480" t="str">
        <f t="shared" si="155"/>
        <v>Non-Senior</v>
      </c>
    </row>
    <row r="2481" spans="1:25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152"/>
        <v>49-60 Months</v>
      </c>
      <c r="W2481">
        <f t="shared" si="153"/>
        <v>0</v>
      </c>
      <c r="X2481">
        <f t="shared" si="154"/>
        <v>0</v>
      </c>
      <c r="Y2481" t="str">
        <f t="shared" si="155"/>
        <v>Non-Senior</v>
      </c>
    </row>
    <row r="2482" spans="1:25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152"/>
        <v>49-60 Months</v>
      </c>
      <c r="W2482">
        <f t="shared" si="153"/>
        <v>1</v>
      </c>
      <c r="X2482">
        <f t="shared" si="154"/>
        <v>93.85</v>
      </c>
      <c r="Y2482" t="str">
        <f t="shared" si="155"/>
        <v>Senior Citizen</v>
      </c>
    </row>
    <row r="2483" spans="1:25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7082</v>
      </c>
      <c r="J2483" t="s">
        <v>7084</v>
      </c>
      <c r="K2483" t="s">
        <v>46</v>
      </c>
      <c r="L2483" t="s">
        <v>7084</v>
      </c>
      <c r="M2483" t="s">
        <v>7084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152"/>
        <v>61-72 Months</v>
      </c>
      <c r="W2483">
        <f t="shared" si="153"/>
        <v>0</v>
      </c>
      <c r="X2483">
        <f t="shared" si="154"/>
        <v>0</v>
      </c>
      <c r="Y2483" t="str">
        <f t="shared" si="155"/>
        <v>Senior Citizen</v>
      </c>
    </row>
    <row r="2484" spans="1:25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152"/>
        <v>0-12 Months</v>
      </c>
      <c r="W2484">
        <f t="shared" si="153"/>
        <v>0</v>
      </c>
      <c r="X2484">
        <f t="shared" si="154"/>
        <v>0</v>
      </c>
      <c r="Y2484" t="str">
        <f t="shared" si="155"/>
        <v>Non-Senior</v>
      </c>
    </row>
    <row r="2485" spans="1:25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152"/>
        <v>37-48 Months</v>
      </c>
      <c r="W2485">
        <f t="shared" si="153"/>
        <v>1</v>
      </c>
      <c r="X2485">
        <f t="shared" si="154"/>
        <v>100.7</v>
      </c>
      <c r="Y2485" t="str">
        <f t="shared" si="155"/>
        <v>Senior Citizen</v>
      </c>
    </row>
    <row r="2486" spans="1:25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7082</v>
      </c>
      <c r="J2486" t="s">
        <v>7084</v>
      </c>
      <c r="K2486" t="s">
        <v>46</v>
      </c>
      <c r="L2486" t="s">
        <v>7084</v>
      </c>
      <c r="M2486" t="s">
        <v>7084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152"/>
        <v>0-12 Months</v>
      </c>
      <c r="W2486">
        <f t="shared" si="153"/>
        <v>0</v>
      </c>
      <c r="X2486">
        <f t="shared" si="154"/>
        <v>0</v>
      </c>
      <c r="Y2486" t="str">
        <f t="shared" si="155"/>
        <v>Non-Senior</v>
      </c>
    </row>
    <row r="2487" spans="1:25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152"/>
        <v>13-24 Months</v>
      </c>
      <c r="W2487">
        <f t="shared" si="153"/>
        <v>1</v>
      </c>
      <c r="X2487">
        <f t="shared" si="154"/>
        <v>80.45</v>
      </c>
      <c r="Y2487" t="str">
        <f t="shared" si="155"/>
        <v>Non-Senior</v>
      </c>
    </row>
    <row r="2488" spans="1:25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152"/>
        <v>25-36 Months</v>
      </c>
      <c r="W2488">
        <f t="shared" si="153"/>
        <v>0</v>
      </c>
      <c r="X2488">
        <f t="shared" si="154"/>
        <v>0</v>
      </c>
      <c r="Y2488" t="str">
        <f t="shared" si="155"/>
        <v>Non-Senior</v>
      </c>
    </row>
    <row r="2489" spans="1:25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152"/>
        <v>13-24 Months</v>
      </c>
      <c r="W2489">
        <f t="shared" si="153"/>
        <v>0</v>
      </c>
      <c r="X2489">
        <f t="shared" si="154"/>
        <v>0</v>
      </c>
      <c r="Y2489" t="str">
        <f t="shared" si="155"/>
        <v>Non-Senior</v>
      </c>
    </row>
    <row r="2490" spans="1:25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152"/>
        <v>25-36 Months</v>
      </c>
      <c r="W2490">
        <f t="shared" si="153"/>
        <v>1</v>
      </c>
      <c r="X2490">
        <f t="shared" si="154"/>
        <v>55.25</v>
      </c>
      <c r="Y2490" t="str">
        <f t="shared" si="155"/>
        <v>Non-Senior</v>
      </c>
    </row>
    <row r="2491" spans="1:25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152"/>
        <v>61-72 Months</v>
      </c>
      <c r="W2491">
        <f t="shared" si="153"/>
        <v>0</v>
      </c>
      <c r="X2491">
        <f t="shared" si="154"/>
        <v>0</v>
      </c>
      <c r="Y2491" t="str">
        <f t="shared" si="155"/>
        <v>Non-Senior</v>
      </c>
    </row>
    <row r="2492" spans="1:25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152"/>
        <v>37-48 Months</v>
      </c>
      <c r="W2492">
        <f t="shared" si="153"/>
        <v>0</v>
      </c>
      <c r="X2492">
        <f t="shared" si="154"/>
        <v>0</v>
      </c>
      <c r="Y2492" t="str">
        <f t="shared" si="155"/>
        <v>Non-Senior</v>
      </c>
    </row>
    <row r="2493" spans="1:25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7082</v>
      </c>
      <c r="J2493" t="s">
        <v>7084</v>
      </c>
      <c r="K2493" t="s">
        <v>46</v>
      </c>
      <c r="L2493" t="s">
        <v>7084</v>
      </c>
      <c r="M2493" t="s">
        <v>7084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152"/>
        <v>37-48 Months</v>
      </c>
      <c r="W2493">
        <f t="shared" si="153"/>
        <v>0</v>
      </c>
      <c r="X2493">
        <f t="shared" si="154"/>
        <v>0</v>
      </c>
      <c r="Y2493" t="str">
        <f t="shared" si="155"/>
        <v>Non-Senior</v>
      </c>
    </row>
    <row r="2494" spans="1:25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152"/>
        <v>13-24 Months</v>
      </c>
      <c r="W2494">
        <f t="shared" si="153"/>
        <v>1</v>
      </c>
      <c r="X2494">
        <f t="shared" si="154"/>
        <v>54.45</v>
      </c>
      <c r="Y2494" t="str">
        <f t="shared" si="155"/>
        <v>Non-Senior</v>
      </c>
    </row>
    <row r="2495" spans="1:25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152"/>
        <v>0-12 Months</v>
      </c>
      <c r="W2495">
        <f t="shared" si="153"/>
        <v>0</v>
      </c>
      <c r="X2495">
        <f t="shared" si="154"/>
        <v>0</v>
      </c>
      <c r="Y2495" t="str">
        <f t="shared" si="155"/>
        <v>Non-Senior</v>
      </c>
    </row>
    <row r="2496" spans="1:25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152"/>
        <v>25-36 Months</v>
      </c>
      <c r="W2496">
        <f t="shared" si="153"/>
        <v>1</v>
      </c>
      <c r="X2496">
        <f t="shared" si="154"/>
        <v>75.349999999999994</v>
      </c>
      <c r="Y2496" t="str">
        <f t="shared" si="155"/>
        <v>Non-Senior</v>
      </c>
    </row>
    <row r="2497" spans="1:25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7082</v>
      </c>
      <c r="J2497" t="s">
        <v>7084</v>
      </c>
      <c r="K2497" t="s">
        <v>46</v>
      </c>
      <c r="L2497" t="s">
        <v>7084</v>
      </c>
      <c r="M2497" t="s">
        <v>7084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152"/>
        <v>37-48 Months</v>
      </c>
      <c r="W2497">
        <f t="shared" si="153"/>
        <v>0</v>
      </c>
      <c r="X2497">
        <f t="shared" si="154"/>
        <v>0</v>
      </c>
      <c r="Y2497" t="str">
        <f t="shared" si="155"/>
        <v>Non-Senior</v>
      </c>
    </row>
    <row r="2498" spans="1:25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7082</v>
      </c>
      <c r="J2498" t="s">
        <v>7084</v>
      </c>
      <c r="K2498" t="s">
        <v>46</v>
      </c>
      <c r="L2498" t="s">
        <v>7084</v>
      </c>
      <c r="M2498" t="s">
        <v>7084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si="152"/>
        <v>13-24 Months</v>
      </c>
      <c r="W2498">
        <f t="shared" si="153"/>
        <v>0</v>
      </c>
      <c r="X2498">
        <f t="shared" si="154"/>
        <v>0</v>
      </c>
      <c r="Y2498" t="str">
        <f t="shared" si="155"/>
        <v>Non-Senior</v>
      </c>
    </row>
    <row r="2499" spans="1:25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7082</v>
      </c>
      <c r="J2499" t="s">
        <v>7084</v>
      </c>
      <c r="K2499" t="s">
        <v>46</v>
      </c>
      <c r="L2499" t="s">
        <v>7084</v>
      </c>
      <c r="M2499" t="s">
        <v>7084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ref="V2499:V2562" si="156">IF(F2499&lt;=12,"0-12 Months",IF(F2499&lt;=24,"13-24 Months",IF(F2499&lt;=36,"25-36 Months",IF(F2499&lt;=48,"37-48 Months",IF(F2499&lt;=60,"49-60 Months","61-72 Months")))))</f>
        <v>0-12 Months</v>
      </c>
      <c r="W2499">
        <f t="shared" ref="W2499:W2562" si="157">IF(U2499="Yes",1,0)</f>
        <v>0</v>
      </c>
      <c r="X2499">
        <f t="shared" ref="X2499:X2562" si="158">IF(U2499="Yes",S2499,0)</f>
        <v>0</v>
      </c>
      <c r="Y2499" t="str">
        <f t="shared" ref="Y2499:Y2562" si="159">IF(C2499=1,"Senior Citizen","Non-Senior")</f>
        <v>Non-Senior</v>
      </c>
    </row>
    <row r="2500" spans="1:25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156"/>
        <v>25-36 Months</v>
      </c>
      <c r="W2500">
        <f t="shared" si="157"/>
        <v>0</v>
      </c>
      <c r="X2500">
        <f t="shared" si="158"/>
        <v>0</v>
      </c>
      <c r="Y2500" t="str">
        <f t="shared" si="159"/>
        <v>Non-Senior</v>
      </c>
    </row>
    <row r="2501" spans="1:25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156"/>
        <v>37-48 Months</v>
      </c>
      <c r="W2501">
        <f t="shared" si="157"/>
        <v>0</v>
      </c>
      <c r="X2501">
        <f t="shared" si="158"/>
        <v>0</v>
      </c>
      <c r="Y2501" t="str">
        <f t="shared" si="159"/>
        <v>Non-Senior</v>
      </c>
    </row>
    <row r="2502" spans="1:25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156"/>
        <v>49-60 Months</v>
      </c>
      <c r="W2502">
        <f t="shared" si="157"/>
        <v>0</v>
      </c>
      <c r="X2502">
        <f t="shared" si="158"/>
        <v>0</v>
      </c>
      <c r="Y2502" t="str">
        <f t="shared" si="159"/>
        <v>Non-Senior</v>
      </c>
    </row>
    <row r="2503" spans="1:25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7082</v>
      </c>
      <c r="J2503" t="s">
        <v>7084</v>
      </c>
      <c r="K2503" t="s">
        <v>46</v>
      </c>
      <c r="L2503" t="s">
        <v>7084</v>
      </c>
      <c r="M2503" t="s">
        <v>7084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156"/>
        <v>61-72 Months</v>
      </c>
      <c r="W2503">
        <f t="shared" si="157"/>
        <v>0</v>
      </c>
      <c r="X2503">
        <f t="shared" si="158"/>
        <v>0</v>
      </c>
      <c r="Y2503" t="str">
        <f t="shared" si="159"/>
        <v>Non-Senior</v>
      </c>
    </row>
    <row r="2504" spans="1:25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7082</v>
      </c>
      <c r="J2504" t="s">
        <v>7084</v>
      </c>
      <c r="K2504" t="s">
        <v>46</v>
      </c>
      <c r="L2504" t="s">
        <v>7084</v>
      </c>
      <c r="M2504" t="s">
        <v>7084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156"/>
        <v>61-72 Months</v>
      </c>
      <c r="W2504">
        <f t="shared" si="157"/>
        <v>0</v>
      </c>
      <c r="X2504">
        <f t="shared" si="158"/>
        <v>0</v>
      </c>
      <c r="Y2504" t="str">
        <f t="shared" si="159"/>
        <v>Non-Senior</v>
      </c>
    </row>
    <row r="2505" spans="1:25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7082</v>
      </c>
      <c r="J2505" t="s">
        <v>7084</v>
      </c>
      <c r="K2505" t="s">
        <v>46</v>
      </c>
      <c r="L2505" t="s">
        <v>7084</v>
      </c>
      <c r="M2505" t="s">
        <v>7084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156"/>
        <v>37-48 Months</v>
      </c>
      <c r="W2505">
        <f t="shared" si="157"/>
        <v>0</v>
      </c>
      <c r="X2505">
        <f t="shared" si="158"/>
        <v>0</v>
      </c>
      <c r="Y2505" t="str">
        <f t="shared" si="159"/>
        <v>Non-Senior</v>
      </c>
    </row>
    <row r="2506" spans="1:25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156"/>
        <v>0-12 Months</v>
      </c>
      <c r="W2506">
        <f t="shared" si="157"/>
        <v>1</v>
      </c>
      <c r="X2506">
        <f t="shared" si="158"/>
        <v>75.7</v>
      </c>
      <c r="Y2506" t="str">
        <f t="shared" si="159"/>
        <v>Non-Senior</v>
      </c>
    </row>
    <row r="2507" spans="1:25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7082</v>
      </c>
      <c r="J2507" t="s">
        <v>7084</v>
      </c>
      <c r="K2507" t="s">
        <v>46</v>
      </c>
      <c r="L2507" t="s">
        <v>7084</v>
      </c>
      <c r="M2507" t="s">
        <v>7084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156"/>
        <v>25-36 Months</v>
      </c>
      <c r="W2507">
        <f t="shared" si="157"/>
        <v>0</v>
      </c>
      <c r="X2507">
        <f t="shared" si="158"/>
        <v>0</v>
      </c>
      <c r="Y2507" t="str">
        <f t="shared" si="159"/>
        <v>Non-Senior</v>
      </c>
    </row>
    <row r="2508" spans="1:25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7082</v>
      </c>
      <c r="J2508" t="s">
        <v>7084</v>
      </c>
      <c r="K2508" t="s">
        <v>46</v>
      </c>
      <c r="L2508" t="s">
        <v>7084</v>
      </c>
      <c r="M2508" t="s">
        <v>7084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156"/>
        <v>61-72 Months</v>
      </c>
      <c r="W2508">
        <f t="shared" si="157"/>
        <v>0</v>
      </c>
      <c r="X2508">
        <f t="shared" si="158"/>
        <v>0</v>
      </c>
      <c r="Y2508" t="str">
        <f t="shared" si="159"/>
        <v>Senior Citizen</v>
      </c>
    </row>
    <row r="2509" spans="1:25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7082</v>
      </c>
      <c r="J2509" t="s">
        <v>7084</v>
      </c>
      <c r="K2509" t="s">
        <v>46</v>
      </c>
      <c r="L2509" t="s">
        <v>7084</v>
      </c>
      <c r="M2509" t="s">
        <v>7084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156"/>
        <v>61-72 Months</v>
      </c>
      <c r="W2509">
        <f t="shared" si="157"/>
        <v>0</v>
      </c>
      <c r="X2509">
        <f t="shared" si="158"/>
        <v>0</v>
      </c>
      <c r="Y2509" t="str">
        <f t="shared" si="159"/>
        <v>Non-Senior</v>
      </c>
    </row>
    <row r="2510" spans="1:25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156"/>
        <v>61-72 Months</v>
      </c>
      <c r="W2510">
        <f t="shared" si="157"/>
        <v>0</v>
      </c>
      <c r="X2510">
        <f t="shared" si="158"/>
        <v>0</v>
      </c>
      <c r="Y2510" t="str">
        <f t="shared" si="159"/>
        <v>Non-Senior</v>
      </c>
    </row>
    <row r="2511" spans="1:25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7082</v>
      </c>
      <c r="J2511" t="s">
        <v>7084</v>
      </c>
      <c r="K2511" t="s">
        <v>46</v>
      </c>
      <c r="L2511" t="s">
        <v>7084</v>
      </c>
      <c r="M2511" t="s">
        <v>7084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156"/>
        <v>61-72 Months</v>
      </c>
      <c r="W2511">
        <f t="shared" si="157"/>
        <v>0</v>
      </c>
      <c r="X2511">
        <f t="shared" si="158"/>
        <v>0</v>
      </c>
      <c r="Y2511" t="str">
        <f t="shared" si="159"/>
        <v>Non-Senior</v>
      </c>
    </row>
    <row r="2512" spans="1:25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156"/>
        <v>0-12 Months</v>
      </c>
      <c r="W2512">
        <f t="shared" si="157"/>
        <v>1</v>
      </c>
      <c r="X2512">
        <f t="shared" si="158"/>
        <v>74.25</v>
      </c>
      <c r="Y2512" t="str">
        <f t="shared" si="159"/>
        <v>Non-Senior</v>
      </c>
    </row>
    <row r="2513" spans="1:25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156"/>
        <v>25-36 Months</v>
      </c>
      <c r="W2513">
        <f t="shared" si="157"/>
        <v>0</v>
      </c>
      <c r="X2513">
        <f t="shared" si="158"/>
        <v>0</v>
      </c>
      <c r="Y2513" t="str">
        <f t="shared" si="159"/>
        <v>Senior Citizen</v>
      </c>
    </row>
    <row r="2514" spans="1:25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156"/>
        <v>13-24 Months</v>
      </c>
      <c r="W2514">
        <f t="shared" si="157"/>
        <v>0</v>
      </c>
      <c r="X2514">
        <f t="shared" si="158"/>
        <v>0</v>
      </c>
      <c r="Y2514" t="str">
        <f t="shared" si="159"/>
        <v>Non-Senior</v>
      </c>
    </row>
    <row r="2515" spans="1:25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7082</v>
      </c>
      <c r="J2515" t="s">
        <v>7084</v>
      </c>
      <c r="K2515" t="s">
        <v>46</v>
      </c>
      <c r="L2515" t="s">
        <v>7084</v>
      </c>
      <c r="M2515" t="s">
        <v>7084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156"/>
        <v>49-60 Months</v>
      </c>
      <c r="W2515">
        <f t="shared" si="157"/>
        <v>0</v>
      </c>
      <c r="X2515">
        <f t="shared" si="158"/>
        <v>0</v>
      </c>
      <c r="Y2515" t="str">
        <f t="shared" si="159"/>
        <v>Non-Senior</v>
      </c>
    </row>
    <row r="2516" spans="1:25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156"/>
        <v>25-36 Months</v>
      </c>
      <c r="W2516">
        <f t="shared" si="157"/>
        <v>1</v>
      </c>
      <c r="X2516">
        <f t="shared" si="158"/>
        <v>89.7</v>
      </c>
      <c r="Y2516" t="str">
        <f t="shared" si="159"/>
        <v>Senior Citizen</v>
      </c>
    </row>
    <row r="2517" spans="1:25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156"/>
        <v>61-72 Months</v>
      </c>
      <c r="W2517">
        <f t="shared" si="157"/>
        <v>0</v>
      </c>
      <c r="X2517">
        <f t="shared" si="158"/>
        <v>0</v>
      </c>
      <c r="Y2517" t="str">
        <f t="shared" si="159"/>
        <v>Non-Senior</v>
      </c>
    </row>
    <row r="2518" spans="1:25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156"/>
        <v>13-24 Months</v>
      </c>
      <c r="W2518">
        <f t="shared" si="157"/>
        <v>1</v>
      </c>
      <c r="X2518">
        <f t="shared" si="158"/>
        <v>96.4</v>
      </c>
      <c r="Y2518" t="str">
        <f t="shared" si="159"/>
        <v>Senior Citizen</v>
      </c>
    </row>
    <row r="2519" spans="1:25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156"/>
        <v>0-12 Months</v>
      </c>
      <c r="W2519">
        <f t="shared" si="157"/>
        <v>1</v>
      </c>
      <c r="X2519">
        <f t="shared" si="158"/>
        <v>69.5</v>
      </c>
      <c r="Y2519" t="str">
        <f t="shared" si="159"/>
        <v>Senior Citizen</v>
      </c>
    </row>
    <row r="2520" spans="1:25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156"/>
        <v>13-24 Months</v>
      </c>
      <c r="W2520">
        <f t="shared" si="157"/>
        <v>0</v>
      </c>
      <c r="X2520">
        <f t="shared" si="158"/>
        <v>0</v>
      </c>
      <c r="Y2520" t="str">
        <f t="shared" si="159"/>
        <v>Non-Senior</v>
      </c>
    </row>
    <row r="2521" spans="1:25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156"/>
        <v>0-12 Months</v>
      </c>
      <c r="W2521">
        <f t="shared" si="157"/>
        <v>0</v>
      </c>
      <c r="X2521">
        <f t="shared" si="158"/>
        <v>0</v>
      </c>
      <c r="Y2521" t="str">
        <f t="shared" si="159"/>
        <v>Non-Senior</v>
      </c>
    </row>
    <row r="2522" spans="1:25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156"/>
        <v>25-36 Months</v>
      </c>
      <c r="W2522">
        <f t="shared" si="157"/>
        <v>0</v>
      </c>
      <c r="X2522">
        <f t="shared" si="158"/>
        <v>0</v>
      </c>
      <c r="Y2522" t="str">
        <f t="shared" si="159"/>
        <v>Non-Senior</v>
      </c>
    </row>
    <row r="2523" spans="1:25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156"/>
        <v>25-36 Months</v>
      </c>
      <c r="W2523">
        <f t="shared" si="157"/>
        <v>1</v>
      </c>
      <c r="X2523">
        <f t="shared" si="158"/>
        <v>85.25</v>
      </c>
      <c r="Y2523" t="str">
        <f t="shared" si="159"/>
        <v>Senior Citizen</v>
      </c>
    </row>
    <row r="2524" spans="1:25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156"/>
        <v>49-60 Months</v>
      </c>
      <c r="W2524">
        <f t="shared" si="157"/>
        <v>0</v>
      </c>
      <c r="X2524">
        <f t="shared" si="158"/>
        <v>0</v>
      </c>
      <c r="Y2524" t="str">
        <f t="shared" si="159"/>
        <v>Non-Senior</v>
      </c>
    </row>
    <row r="2525" spans="1:25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7082</v>
      </c>
      <c r="J2525" t="s">
        <v>7084</v>
      </c>
      <c r="K2525" t="s">
        <v>46</v>
      </c>
      <c r="L2525" t="s">
        <v>7084</v>
      </c>
      <c r="M2525" t="s">
        <v>7084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156"/>
        <v>37-48 Months</v>
      </c>
      <c r="W2525">
        <f t="shared" si="157"/>
        <v>0</v>
      </c>
      <c r="X2525">
        <f t="shared" si="158"/>
        <v>0</v>
      </c>
      <c r="Y2525" t="str">
        <f t="shared" si="159"/>
        <v>Non-Senior</v>
      </c>
    </row>
    <row r="2526" spans="1:25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7082</v>
      </c>
      <c r="J2526" t="s">
        <v>7084</v>
      </c>
      <c r="K2526" t="s">
        <v>46</v>
      </c>
      <c r="L2526" t="s">
        <v>7084</v>
      </c>
      <c r="M2526" t="s">
        <v>7084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156"/>
        <v>61-72 Months</v>
      </c>
      <c r="W2526">
        <f t="shared" si="157"/>
        <v>0</v>
      </c>
      <c r="X2526">
        <f t="shared" si="158"/>
        <v>0</v>
      </c>
      <c r="Y2526" t="str">
        <f t="shared" si="159"/>
        <v>Non-Senior</v>
      </c>
    </row>
    <row r="2527" spans="1:25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156"/>
        <v>61-72 Months</v>
      </c>
      <c r="W2527">
        <f t="shared" si="157"/>
        <v>0</v>
      </c>
      <c r="X2527">
        <f t="shared" si="158"/>
        <v>0</v>
      </c>
      <c r="Y2527" t="str">
        <f t="shared" si="159"/>
        <v>Non-Senior</v>
      </c>
    </row>
    <row r="2528" spans="1:25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7082</v>
      </c>
      <c r="J2528" t="s">
        <v>7084</v>
      </c>
      <c r="K2528" t="s">
        <v>46</v>
      </c>
      <c r="L2528" t="s">
        <v>7084</v>
      </c>
      <c r="M2528" t="s">
        <v>7084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156"/>
        <v>0-12 Months</v>
      </c>
      <c r="W2528">
        <f t="shared" si="157"/>
        <v>1</v>
      </c>
      <c r="X2528">
        <f t="shared" si="158"/>
        <v>19.399999999999999</v>
      </c>
      <c r="Y2528" t="str">
        <f t="shared" si="159"/>
        <v>Non-Senior</v>
      </c>
    </row>
    <row r="2529" spans="1:25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156"/>
        <v>0-12 Months</v>
      </c>
      <c r="W2529">
        <f t="shared" si="157"/>
        <v>1</v>
      </c>
      <c r="X2529">
        <f t="shared" si="158"/>
        <v>83.3</v>
      </c>
      <c r="Y2529" t="str">
        <f t="shared" si="159"/>
        <v>Non-Senior</v>
      </c>
    </row>
    <row r="2530" spans="1:25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156"/>
        <v>0-12 Months</v>
      </c>
      <c r="W2530">
        <f t="shared" si="157"/>
        <v>1</v>
      </c>
      <c r="X2530">
        <f t="shared" si="158"/>
        <v>80.099999999999994</v>
      </c>
      <c r="Y2530" t="str">
        <f t="shared" si="159"/>
        <v>Non-Senior</v>
      </c>
    </row>
    <row r="2531" spans="1:25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156"/>
        <v>37-48 Months</v>
      </c>
      <c r="W2531">
        <f t="shared" si="157"/>
        <v>1</v>
      </c>
      <c r="X2531">
        <f t="shared" si="158"/>
        <v>62.7</v>
      </c>
      <c r="Y2531" t="str">
        <f t="shared" si="159"/>
        <v>Senior Citizen</v>
      </c>
    </row>
    <row r="2532" spans="1:25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156"/>
        <v>0-12 Months</v>
      </c>
      <c r="W2532">
        <f t="shared" si="157"/>
        <v>0</v>
      </c>
      <c r="X2532">
        <f t="shared" si="158"/>
        <v>0</v>
      </c>
      <c r="Y2532" t="str">
        <f t="shared" si="159"/>
        <v>Non-Senior</v>
      </c>
    </row>
    <row r="2533" spans="1:25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7082</v>
      </c>
      <c r="J2533" t="s">
        <v>7084</v>
      </c>
      <c r="K2533" t="s">
        <v>46</v>
      </c>
      <c r="L2533" t="s">
        <v>7084</v>
      </c>
      <c r="M2533" t="s">
        <v>7084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156"/>
        <v>61-72 Months</v>
      </c>
      <c r="W2533">
        <f t="shared" si="157"/>
        <v>0</v>
      </c>
      <c r="X2533">
        <f t="shared" si="158"/>
        <v>0</v>
      </c>
      <c r="Y2533" t="str">
        <f t="shared" si="159"/>
        <v>Non-Senior</v>
      </c>
    </row>
    <row r="2534" spans="1:25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156"/>
        <v>37-48 Months</v>
      </c>
      <c r="W2534">
        <f t="shared" si="157"/>
        <v>0</v>
      </c>
      <c r="X2534">
        <f t="shared" si="158"/>
        <v>0</v>
      </c>
      <c r="Y2534" t="str">
        <f t="shared" si="159"/>
        <v>Senior Citizen</v>
      </c>
    </row>
    <row r="2535" spans="1:25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156"/>
        <v>61-72 Months</v>
      </c>
      <c r="W2535">
        <f t="shared" si="157"/>
        <v>0</v>
      </c>
      <c r="X2535">
        <f t="shared" si="158"/>
        <v>0</v>
      </c>
      <c r="Y2535" t="str">
        <f t="shared" si="159"/>
        <v>Non-Senior</v>
      </c>
    </row>
    <row r="2536" spans="1:25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156"/>
        <v>61-72 Months</v>
      </c>
      <c r="W2536">
        <f t="shared" si="157"/>
        <v>0</v>
      </c>
      <c r="X2536">
        <f t="shared" si="158"/>
        <v>0</v>
      </c>
      <c r="Y2536" t="str">
        <f t="shared" si="159"/>
        <v>Non-Senior</v>
      </c>
    </row>
    <row r="2537" spans="1:25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156"/>
        <v>61-72 Months</v>
      </c>
      <c r="W2537">
        <f t="shared" si="157"/>
        <v>0</v>
      </c>
      <c r="X2537">
        <f t="shared" si="158"/>
        <v>0</v>
      </c>
      <c r="Y2537" t="str">
        <f t="shared" si="159"/>
        <v>Senior Citizen</v>
      </c>
    </row>
    <row r="2538" spans="1:25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7082</v>
      </c>
      <c r="J2538" t="s">
        <v>7084</v>
      </c>
      <c r="K2538" t="s">
        <v>46</v>
      </c>
      <c r="L2538" t="s">
        <v>7084</v>
      </c>
      <c r="M2538" t="s">
        <v>7084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156"/>
        <v>25-36 Months</v>
      </c>
      <c r="W2538">
        <f t="shared" si="157"/>
        <v>1</v>
      </c>
      <c r="X2538">
        <f t="shared" si="158"/>
        <v>25.3</v>
      </c>
      <c r="Y2538" t="str">
        <f t="shared" si="159"/>
        <v>Non-Senior</v>
      </c>
    </row>
    <row r="2539" spans="1:25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156"/>
        <v>61-72 Months</v>
      </c>
      <c r="W2539">
        <f t="shared" si="157"/>
        <v>0</v>
      </c>
      <c r="X2539">
        <f t="shared" si="158"/>
        <v>0</v>
      </c>
      <c r="Y2539" t="str">
        <f t="shared" si="159"/>
        <v>Non-Senior</v>
      </c>
    </row>
    <row r="2540" spans="1:25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156"/>
        <v>25-36 Months</v>
      </c>
      <c r="W2540">
        <f t="shared" si="157"/>
        <v>0</v>
      </c>
      <c r="X2540">
        <f t="shared" si="158"/>
        <v>0</v>
      </c>
      <c r="Y2540" t="str">
        <f t="shared" si="159"/>
        <v>Non-Senior</v>
      </c>
    </row>
    <row r="2541" spans="1:25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7082</v>
      </c>
      <c r="J2541" t="s">
        <v>7084</v>
      </c>
      <c r="K2541" t="s">
        <v>46</v>
      </c>
      <c r="L2541" t="s">
        <v>7084</v>
      </c>
      <c r="M2541" t="s">
        <v>7084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156"/>
        <v>61-72 Months</v>
      </c>
      <c r="W2541">
        <f t="shared" si="157"/>
        <v>0</v>
      </c>
      <c r="X2541">
        <f t="shared" si="158"/>
        <v>0</v>
      </c>
      <c r="Y2541" t="str">
        <f t="shared" si="159"/>
        <v>Non-Senior</v>
      </c>
    </row>
    <row r="2542" spans="1:25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156"/>
        <v>61-72 Months</v>
      </c>
      <c r="W2542">
        <f t="shared" si="157"/>
        <v>0</v>
      </c>
      <c r="X2542">
        <f t="shared" si="158"/>
        <v>0</v>
      </c>
      <c r="Y2542" t="str">
        <f t="shared" si="159"/>
        <v>Non-Senior</v>
      </c>
    </row>
    <row r="2543" spans="1:25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156"/>
        <v>61-72 Months</v>
      </c>
      <c r="W2543">
        <f t="shared" si="157"/>
        <v>0</v>
      </c>
      <c r="X2543">
        <f t="shared" si="158"/>
        <v>0</v>
      </c>
      <c r="Y2543" t="str">
        <f t="shared" si="159"/>
        <v>Non-Senior</v>
      </c>
    </row>
    <row r="2544" spans="1:25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156"/>
        <v>25-36 Months</v>
      </c>
      <c r="W2544">
        <f t="shared" si="157"/>
        <v>0</v>
      </c>
      <c r="X2544">
        <f t="shared" si="158"/>
        <v>0</v>
      </c>
      <c r="Y2544" t="str">
        <f t="shared" si="159"/>
        <v>Non-Senior</v>
      </c>
    </row>
    <row r="2545" spans="1:25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156"/>
        <v>13-24 Months</v>
      </c>
      <c r="W2545">
        <f t="shared" si="157"/>
        <v>1</v>
      </c>
      <c r="X2545">
        <f t="shared" si="158"/>
        <v>98.15</v>
      </c>
      <c r="Y2545" t="str">
        <f t="shared" si="159"/>
        <v>Non-Senior</v>
      </c>
    </row>
    <row r="2546" spans="1:25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156"/>
        <v>0-12 Months</v>
      </c>
      <c r="W2546">
        <f t="shared" si="157"/>
        <v>0</v>
      </c>
      <c r="X2546">
        <f t="shared" si="158"/>
        <v>0</v>
      </c>
      <c r="Y2546" t="str">
        <f t="shared" si="159"/>
        <v>Non-Senior</v>
      </c>
    </row>
    <row r="2547" spans="1:25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156"/>
        <v>61-72 Months</v>
      </c>
      <c r="W2547">
        <f t="shared" si="157"/>
        <v>0</v>
      </c>
      <c r="X2547">
        <f t="shared" si="158"/>
        <v>0</v>
      </c>
      <c r="Y2547" t="str">
        <f t="shared" si="159"/>
        <v>Non-Senior</v>
      </c>
    </row>
    <row r="2548" spans="1:25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156"/>
        <v>25-36 Months</v>
      </c>
      <c r="W2548">
        <f t="shared" si="157"/>
        <v>0</v>
      </c>
      <c r="X2548">
        <f t="shared" si="158"/>
        <v>0</v>
      </c>
      <c r="Y2548" t="str">
        <f t="shared" si="159"/>
        <v>Non-Senior</v>
      </c>
    </row>
    <row r="2549" spans="1:25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156"/>
        <v>49-60 Months</v>
      </c>
      <c r="W2549">
        <f t="shared" si="157"/>
        <v>0</v>
      </c>
      <c r="X2549">
        <f t="shared" si="158"/>
        <v>0</v>
      </c>
      <c r="Y2549" t="str">
        <f t="shared" si="159"/>
        <v>Non-Senior</v>
      </c>
    </row>
    <row r="2550" spans="1:25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156"/>
        <v>0-12 Months</v>
      </c>
      <c r="W2550">
        <f t="shared" si="157"/>
        <v>0</v>
      </c>
      <c r="X2550">
        <f t="shared" si="158"/>
        <v>0</v>
      </c>
      <c r="Y2550" t="str">
        <f t="shared" si="159"/>
        <v>Senior Citizen</v>
      </c>
    </row>
    <row r="2551" spans="1:25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7082</v>
      </c>
      <c r="J2551" t="s">
        <v>7084</v>
      </c>
      <c r="K2551" t="s">
        <v>46</v>
      </c>
      <c r="L2551" t="s">
        <v>7084</v>
      </c>
      <c r="M2551" t="s">
        <v>7084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156"/>
        <v>0-12 Months</v>
      </c>
      <c r="W2551">
        <f t="shared" si="157"/>
        <v>0</v>
      </c>
      <c r="X2551">
        <f t="shared" si="158"/>
        <v>0</v>
      </c>
      <c r="Y2551" t="str">
        <f t="shared" si="159"/>
        <v>Non-Senior</v>
      </c>
    </row>
    <row r="2552" spans="1:25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7082</v>
      </c>
      <c r="J2552" t="s">
        <v>7084</v>
      </c>
      <c r="K2552" t="s">
        <v>46</v>
      </c>
      <c r="L2552" t="s">
        <v>7084</v>
      </c>
      <c r="M2552" t="s">
        <v>7084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156"/>
        <v>49-60 Months</v>
      </c>
      <c r="W2552">
        <f t="shared" si="157"/>
        <v>0</v>
      </c>
      <c r="X2552">
        <f t="shared" si="158"/>
        <v>0</v>
      </c>
      <c r="Y2552" t="str">
        <f t="shared" si="159"/>
        <v>Non-Senior</v>
      </c>
    </row>
    <row r="2553" spans="1:25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7082</v>
      </c>
      <c r="J2553" t="s">
        <v>7084</v>
      </c>
      <c r="K2553" t="s">
        <v>46</v>
      </c>
      <c r="L2553" t="s">
        <v>7084</v>
      </c>
      <c r="M2553" t="s">
        <v>7084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156"/>
        <v>0-12 Months</v>
      </c>
      <c r="W2553">
        <f t="shared" si="157"/>
        <v>0</v>
      </c>
      <c r="X2553">
        <f t="shared" si="158"/>
        <v>0</v>
      </c>
      <c r="Y2553" t="str">
        <f t="shared" si="159"/>
        <v>Non-Senior</v>
      </c>
    </row>
    <row r="2554" spans="1:25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7082</v>
      </c>
      <c r="J2554" t="s">
        <v>7084</v>
      </c>
      <c r="K2554" t="s">
        <v>46</v>
      </c>
      <c r="L2554" t="s">
        <v>7084</v>
      </c>
      <c r="M2554" t="s">
        <v>7084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156"/>
        <v>37-48 Months</v>
      </c>
      <c r="W2554">
        <f t="shared" si="157"/>
        <v>0</v>
      </c>
      <c r="X2554">
        <f t="shared" si="158"/>
        <v>0</v>
      </c>
      <c r="Y2554" t="str">
        <f t="shared" si="159"/>
        <v>Non-Senior</v>
      </c>
    </row>
    <row r="2555" spans="1:25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7082</v>
      </c>
      <c r="J2555" t="s">
        <v>7084</v>
      </c>
      <c r="K2555" t="s">
        <v>46</v>
      </c>
      <c r="L2555" t="s">
        <v>7084</v>
      </c>
      <c r="M2555" t="s">
        <v>7084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156"/>
        <v>0-12 Months</v>
      </c>
      <c r="W2555">
        <f t="shared" si="157"/>
        <v>0</v>
      </c>
      <c r="X2555">
        <f t="shared" si="158"/>
        <v>0</v>
      </c>
      <c r="Y2555" t="str">
        <f t="shared" si="159"/>
        <v>Senior Citizen</v>
      </c>
    </row>
    <row r="2556" spans="1:25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156"/>
        <v>13-24 Months</v>
      </c>
      <c r="W2556">
        <f t="shared" si="157"/>
        <v>0</v>
      </c>
      <c r="X2556">
        <f t="shared" si="158"/>
        <v>0</v>
      </c>
      <c r="Y2556" t="str">
        <f t="shared" si="159"/>
        <v>Non-Senior</v>
      </c>
    </row>
    <row r="2557" spans="1:25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156"/>
        <v>0-12 Months</v>
      </c>
      <c r="W2557">
        <f t="shared" si="157"/>
        <v>0</v>
      </c>
      <c r="X2557">
        <f t="shared" si="158"/>
        <v>0</v>
      </c>
      <c r="Y2557" t="str">
        <f t="shared" si="159"/>
        <v>Non-Senior</v>
      </c>
    </row>
    <row r="2558" spans="1:25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156"/>
        <v>37-48 Months</v>
      </c>
      <c r="W2558">
        <f t="shared" si="157"/>
        <v>0</v>
      </c>
      <c r="X2558">
        <f t="shared" si="158"/>
        <v>0</v>
      </c>
      <c r="Y2558" t="str">
        <f t="shared" si="159"/>
        <v>Non-Senior</v>
      </c>
    </row>
    <row r="2559" spans="1:25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156"/>
        <v>0-12 Months</v>
      </c>
      <c r="W2559">
        <f t="shared" si="157"/>
        <v>0</v>
      </c>
      <c r="X2559">
        <f t="shared" si="158"/>
        <v>0</v>
      </c>
      <c r="Y2559" t="str">
        <f t="shared" si="159"/>
        <v>Non-Senior</v>
      </c>
    </row>
    <row r="2560" spans="1:25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7082</v>
      </c>
      <c r="J2560" t="s">
        <v>7084</v>
      </c>
      <c r="K2560" t="s">
        <v>46</v>
      </c>
      <c r="L2560" t="s">
        <v>7084</v>
      </c>
      <c r="M2560" t="s">
        <v>7084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156"/>
        <v>37-48 Months</v>
      </c>
      <c r="W2560">
        <f t="shared" si="157"/>
        <v>0</v>
      </c>
      <c r="X2560">
        <f t="shared" si="158"/>
        <v>0</v>
      </c>
      <c r="Y2560" t="str">
        <f t="shared" si="159"/>
        <v>Non-Senior</v>
      </c>
    </row>
    <row r="2561" spans="1:25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156"/>
        <v>61-72 Months</v>
      </c>
      <c r="W2561">
        <f t="shared" si="157"/>
        <v>0</v>
      </c>
      <c r="X2561">
        <f t="shared" si="158"/>
        <v>0</v>
      </c>
      <c r="Y2561" t="str">
        <f t="shared" si="159"/>
        <v>Non-Senior</v>
      </c>
    </row>
    <row r="2562" spans="1:25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si="156"/>
        <v>37-48 Months</v>
      </c>
      <c r="W2562">
        <f t="shared" si="157"/>
        <v>1</v>
      </c>
      <c r="X2562">
        <f t="shared" si="158"/>
        <v>93.7</v>
      </c>
      <c r="Y2562" t="str">
        <f t="shared" si="159"/>
        <v>Non-Senior</v>
      </c>
    </row>
    <row r="2563" spans="1:25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ref="V2563:V2626" si="160">IF(F2563&lt;=12,"0-12 Months",IF(F2563&lt;=24,"13-24 Months",IF(F2563&lt;=36,"25-36 Months",IF(F2563&lt;=48,"37-48 Months",IF(F2563&lt;=60,"49-60 Months","61-72 Months")))))</f>
        <v>61-72 Months</v>
      </c>
      <c r="W2563">
        <f t="shared" ref="W2563:W2626" si="161">IF(U2563="Yes",1,0)</f>
        <v>0</v>
      </c>
      <c r="X2563">
        <f t="shared" ref="X2563:X2626" si="162">IF(U2563="Yes",S2563,0)</f>
        <v>0</v>
      </c>
      <c r="Y2563" t="str">
        <f t="shared" ref="Y2563:Y2626" si="163">IF(C2563=1,"Senior Citizen","Non-Senior")</f>
        <v>Non-Senior</v>
      </c>
    </row>
    <row r="2564" spans="1:25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160"/>
        <v>61-72 Months</v>
      </c>
      <c r="W2564">
        <f t="shared" si="161"/>
        <v>0</v>
      </c>
      <c r="X2564">
        <f t="shared" si="162"/>
        <v>0</v>
      </c>
      <c r="Y2564" t="str">
        <f t="shared" si="163"/>
        <v>Non-Senior</v>
      </c>
    </row>
    <row r="2565" spans="1:25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160"/>
        <v>25-36 Months</v>
      </c>
      <c r="W2565">
        <f t="shared" si="161"/>
        <v>1</v>
      </c>
      <c r="X2565">
        <f t="shared" si="162"/>
        <v>105.95</v>
      </c>
      <c r="Y2565" t="str">
        <f t="shared" si="163"/>
        <v>Senior Citizen</v>
      </c>
    </row>
    <row r="2566" spans="1:25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160"/>
        <v>13-24 Months</v>
      </c>
      <c r="W2566">
        <f t="shared" si="161"/>
        <v>1</v>
      </c>
      <c r="X2566">
        <f t="shared" si="162"/>
        <v>82</v>
      </c>
      <c r="Y2566" t="str">
        <f t="shared" si="163"/>
        <v>Non-Senior</v>
      </c>
    </row>
    <row r="2567" spans="1:25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7082</v>
      </c>
      <c r="J2567" t="s">
        <v>7084</v>
      </c>
      <c r="K2567" t="s">
        <v>46</v>
      </c>
      <c r="L2567" t="s">
        <v>7084</v>
      </c>
      <c r="M2567" t="s">
        <v>7084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160"/>
        <v>13-24 Months</v>
      </c>
      <c r="W2567">
        <f t="shared" si="161"/>
        <v>0</v>
      </c>
      <c r="X2567">
        <f t="shared" si="162"/>
        <v>0</v>
      </c>
      <c r="Y2567" t="str">
        <f t="shared" si="163"/>
        <v>Non-Senior</v>
      </c>
    </row>
    <row r="2568" spans="1:25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160"/>
        <v>61-72 Months</v>
      </c>
      <c r="W2568">
        <f t="shared" si="161"/>
        <v>0</v>
      </c>
      <c r="X2568">
        <f t="shared" si="162"/>
        <v>0</v>
      </c>
      <c r="Y2568" t="str">
        <f t="shared" si="163"/>
        <v>Non-Senior</v>
      </c>
    </row>
    <row r="2569" spans="1:25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160"/>
        <v>49-60 Months</v>
      </c>
      <c r="W2569">
        <f t="shared" si="161"/>
        <v>1</v>
      </c>
      <c r="X2569">
        <f t="shared" si="162"/>
        <v>95.75</v>
      </c>
      <c r="Y2569" t="str">
        <f t="shared" si="163"/>
        <v>Non-Senior</v>
      </c>
    </row>
    <row r="2570" spans="1:25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7082</v>
      </c>
      <c r="J2570" t="s">
        <v>7084</v>
      </c>
      <c r="K2570" t="s">
        <v>46</v>
      </c>
      <c r="L2570" t="s">
        <v>7084</v>
      </c>
      <c r="M2570" t="s">
        <v>7084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160"/>
        <v>13-24 Months</v>
      </c>
      <c r="W2570">
        <f t="shared" si="161"/>
        <v>0</v>
      </c>
      <c r="X2570">
        <f t="shared" si="162"/>
        <v>0</v>
      </c>
      <c r="Y2570" t="str">
        <f t="shared" si="163"/>
        <v>Non-Senior</v>
      </c>
    </row>
    <row r="2571" spans="1:25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7082</v>
      </c>
      <c r="J2571" t="s">
        <v>7084</v>
      </c>
      <c r="K2571" t="s">
        <v>46</v>
      </c>
      <c r="L2571" t="s">
        <v>7084</v>
      </c>
      <c r="M2571" t="s">
        <v>7084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160"/>
        <v>61-72 Months</v>
      </c>
      <c r="W2571">
        <f t="shared" si="161"/>
        <v>0</v>
      </c>
      <c r="X2571">
        <f t="shared" si="162"/>
        <v>0</v>
      </c>
      <c r="Y2571" t="str">
        <f t="shared" si="163"/>
        <v>Non-Senior</v>
      </c>
    </row>
    <row r="2572" spans="1:25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160"/>
        <v>25-36 Months</v>
      </c>
      <c r="W2572">
        <f t="shared" si="161"/>
        <v>1</v>
      </c>
      <c r="X2572">
        <f t="shared" si="162"/>
        <v>94.05</v>
      </c>
      <c r="Y2572" t="str">
        <f t="shared" si="163"/>
        <v>Non-Senior</v>
      </c>
    </row>
    <row r="2573" spans="1:25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160"/>
        <v>37-48 Months</v>
      </c>
      <c r="W2573">
        <f t="shared" si="161"/>
        <v>0</v>
      </c>
      <c r="X2573">
        <f t="shared" si="162"/>
        <v>0</v>
      </c>
      <c r="Y2573" t="str">
        <f t="shared" si="163"/>
        <v>Non-Senior</v>
      </c>
    </row>
    <row r="2574" spans="1:25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7082</v>
      </c>
      <c r="J2574" t="s">
        <v>7084</v>
      </c>
      <c r="K2574" t="s">
        <v>46</v>
      </c>
      <c r="L2574" t="s">
        <v>7084</v>
      </c>
      <c r="M2574" t="s">
        <v>7084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160"/>
        <v>61-72 Months</v>
      </c>
      <c r="W2574">
        <f t="shared" si="161"/>
        <v>0</v>
      </c>
      <c r="X2574">
        <f t="shared" si="162"/>
        <v>0</v>
      </c>
      <c r="Y2574" t="str">
        <f t="shared" si="163"/>
        <v>Non-Senior</v>
      </c>
    </row>
    <row r="2575" spans="1:25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160"/>
        <v>0-12 Months</v>
      </c>
      <c r="W2575">
        <f t="shared" si="161"/>
        <v>1</v>
      </c>
      <c r="X2575">
        <f t="shared" si="162"/>
        <v>54.75</v>
      </c>
      <c r="Y2575" t="str">
        <f t="shared" si="163"/>
        <v>Non-Senior</v>
      </c>
    </row>
    <row r="2576" spans="1:25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160"/>
        <v>37-48 Months</v>
      </c>
      <c r="W2576">
        <f t="shared" si="161"/>
        <v>1</v>
      </c>
      <c r="X2576">
        <f t="shared" si="162"/>
        <v>95.65</v>
      </c>
      <c r="Y2576" t="str">
        <f t="shared" si="163"/>
        <v>Senior Citizen</v>
      </c>
    </row>
    <row r="2577" spans="1:25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7082</v>
      </c>
      <c r="J2577" t="s">
        <v>7084</v>
      </c>
      <c r="K2577" t="s">
        <v>46</v>
      </c>
      <c r="L2577" t="s">
        <v>7084</v>
      </c>
      <c r="M2577" t="s">
        <v>7084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160"/>
        <v>25-36 Months</v>
      </c>
      <c r="W2577">
        <f t="shared" si="161"/>
        <v>0</v>
      </c>
      <c r="X2577">
        <f t="shared" si="162"/>
        <v>0</v>
      </c>
      <c r="Y2577" t="str">
        <f t="shared" si="163"/>
        <v>Non-Senior</v>
      </c>
    </row>
    <row r="2578" spans="1:25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160"/>
        <v>49-60 Months</v>
      </c>
      <c r="W2578">
        <f t="shared" si="161"/>
        <v>0</v>
      </c>
      <c r="X2578">
        <f t="shared" si="162"/>
        <v>0</v>
      </c>
      <c r="Y2578" t="str">
        <f t="shared" si="163"/>
        <v>Non-Senior</v>
      </c>
    </row>
    <row r="2579" spans="1:25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160"/>
        <v>0-12 Months</v>
      </c>
      <c r="W2579">
        <f t="shared" si="161"/>
        <v>1</v>
      </c>
      <c r="X2579">
        <f t="shared" si="162"/>
        <v>94.6</v>
      </c>
      <c r="Y2579" t="str">
        <f t="shared" si="163"/>
        <v>Non-Senior</v>
      </c>
    </row>
    <row r="2580" spans="1:25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160"/>
        <v>25-36 Months</v>
      </c>
      <c r="W2580">
        <f t="shared" si="161"/>
        <v>1</v>
      </c>
      <c r="X2580">
        <f t="shared" si="162"/>
        <v>98.9</v>
      </c>
      <c r="Y2580" t="str">
        <f t="shared" si="163"/>
        <v>Senior Citizen</v>
      </c>
    </row>
    <row r="2581" spans="1:25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7082</v>
      </c>
      <c r="J2581" t="s">
        <v>7084</v>
      </c>
      <c r="K2581" t="s">
        <v>46</v>
      </c>
      <c r="L2581" t="s">
        <v>7084</v>
      </c>
      <c r="M2581" t="s">
        <v>7084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160"/>
        <v>37-48 Months</v>
      </c>
      <c r="W2581">
        <f t="shared" si="161"/>
        <v>0</v>
      </c>
      <c r="X2581">
        <f t="shared" si="162"/>
        <v>0</v>
      </c>
      <c r="Y2581" t="str">
        <f t="shared" si="163"/>
        <v>Non-Senior</v>
      </c>
    </row>
    <row r="2582" spans="1:25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160"/>
        <v>25-36 Months</v>
      </c>
      <c r="W2582">
        <f t="shared" si="161"/>
        <v>0</v>
      </c>
      <c r="X2582">
        <f t="shared" si="162"/>
        <v>0</v>
      </c>
      <c r="Y2582" t="str">
        <f t="shared" si="163"/>
        <v>Senior Citizen</v>
      </c>
    </row>
    <row r="2583" spans="1:25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7082</v>
      </c>
      <c r="J2583" t="s">
        <v>7084</v>
      </c>
      <c r="K2583" t="s">
        <v>46</v>
      </c>
      <c r="L2583" t="s">
        <v>7084</v>
      </c>
      <c r="M2583" t="s">
        <v>7084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160"/>
        <v>0-12 Months</v>
      </c>
      <c r="W2583">
        <f t="shared" si="161"/>
        <v>0</v>
      </c>
      <c r="X2583">
        <f t="shared" si="162"/>
        <v>0</v>
      </c>
      <c r="Y2583" t="str">
        <f t="shared" si="163"/>
        <v>Non-Senior</v>
      </c>
    </row>
    <row r="2584" spans="1:25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160"/>
        <v>0-12 Months</v>
      </c>
      <c r="W2584">
        <f t="shared" si="161"/>
        <v>0</v>
      </c>
      <c r="X2584">
        <f t="shared" si="162"/>
        <v>0</v>
      </c>
      <c r="Y2584" t="str">
        <f t="shared" si="163"/>
        <v>Non-Senior</v>
      </c>
    </row>
    <row r="2585" spans="1:25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160"/>
        <v>49-60 Months</v>
      </c>
      <c r="W2585">
        <f t="shared" si="161"/>
        <v>0</v>
      </c>
      <c r="X2585">
        <f t="shared" si="162"/>
        <v>0</v>
      </c>
      <c r="Y2585" t="str">
        <f t="shared" si="163"/>
        <v>Senior Citizen</v>
      </c>
    </row>
    <row r="2586" spans="1:25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160"/>
        <v>49-60 Months</v>
      </c>
      <c r="W2586">
        <f t="shared" si="161"/>
        <v>0</v>
      </c>
      <c r="X2586">
        <f t="shared" si="162"/>
        <v>0</v>
      </c>
      <c r="Y2586" t="str">
        <f t="shared" si="163"/>
        <v>Non-Senior</v>
      </c>
    </row>
    <row r="2587" spans="1:25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7082</v>
      </c>
      <c r="J2587" t="s">
        <v>7084</v>
      </c>
      <c r="K2587" t="s">
        <v>46</v>
      </c>
      <c r="L2587" t="s">
        <v>7084</v>
      </c>
      <c r="M2587" t="s">
        <v>7084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160"/>
        <v>37-48 Months</v>
      </c>
      <c r="W2587">
        <f t="shared" si="161"/>
        <v>0</v>
      </c>
      <c r="X2587">
        <f t="shared" si="162"/>
        <v>0</v>
      </c>
      <c r="Y2587" t="str">
        <f t="shared" si="163"/>
        <v>Non-Senior</v>
      </c>
    </row>
    <row r="2588" spans="1:25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7082</v>
      </c>
      <c r="J2588" t="s">
        <v>7084</v>
      </c>
      <c r="K2588" t="s">
        <v>46</v>
      </c>
      <c r="L2588" t="s">
        <v>7084</v>
      </c>
      <c r="M2588" t="s">
        <v>7084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160"/>
        <v>37-48 Months</v>
      </c>
      <c r="W2588">
        <f t="shared" si="161"/>
        <v>0</v>
      </c>
      <c r="X2588">
        <f t="shared" si="162"/>
        <v>0</v>
      </c>
      <c r="Y2588" t="str">
        <f t="shared" si="163"/>
        <v>Non-Senior</v>
      </c>
    </row>
    <row r="2589" spans="1:25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7082</v>
      </c>
      <c r="J2589" t="s">
        <v>7084</v>
      </c>
      <c r="K2589" t="s">
        <v>46</v>
      </c>
      <c r="L2589" t="s">
        <v>7084</v>
      </c>
      <c r="M2589" t="s">
        <v>7084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160"/>
        <v>25-36 Months</v>
      </c>
      <c r="W2589">
        <f t="shared" si="161"/>
        <v>0</v>
      </c>
      <c r="X2589">
        <f t="shared" si="162"/>
        <v>0</v>
      </c>
      <c r="Y2589" t="str">
        <f t="shared" si="163"/>
        <v>Non-Senior</v>
      </c>
    </row>
    <row r="2590" spans="1:25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160"/>
        <v>0-12 Months</v>
      </c>
      <c r="W2590">
        <f t="shared" si="161"/>
        <v>0</v>
      </c>
      <c r="X2590">
        <f t="shared" si="162"/>
        <v>0</v>
      </c>
      <c r="Y2590" t="str">
        <f t="shared" si="163"/>
        <v>Non-Senior</v>
      </c>
    </row>
    <row r="2591" spans="1:25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160"/>
        <v>0-12 Months</v>
      </c>
      <c r="W2591">
        <f t="shared" si="161"/>
        <v>1</v>
      </c>
      <c r="X2591">
        <f t="shared" si="162"/>
        <v>76.05</v>
      </c>
      <c r="Y2591" t="str">
        <f t="shared" si="163"/>
        <v>Senior Citizen</v>
      </c>
    </row>
    <row r="2592" spans="1:25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160"/>
        <v>25-36 Months</v>
      </c>
      <c r="W2592">
        <f t="shared" si="161"/>
        <v>0</v>
      </c>
      <c r="X2592">
        <f t="shared" si="162"/>
        <v>0</v>
      </c>
      <c r="Y2592" t="str">
        <f t="shared" si="163"/>
        <v>Senior Citizen</v>
      </c>
    </row>
    <row r="2593" spans="1:25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160"/>
        <v>49-60 Months</v>
      </c>
      <c r="W2593">
        <f t="shared" si="161"/>
        <v>0</v>
      </c>
      <c r="X2593">
        <f t="shared" si="162"/>
        <v>0</v>
      </c>
      <c r="Y2593" t="str">
        <f t="shared" si="163"/>
        <v>Non-Senior</v>
      </c>
    </row>
    <row r="2594" spans="1:25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7082</v>
      </c>
      <c r="J2594" t="s">
        <v>7084</v>
      </c>
      <c r="K2594" t="s">
        <v>46</v>
      </c>
      <c r="L2594" t="s">
        <v>7084</v>
      </c>
      <c r="M2594" t="s">
        <v>7084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160"/>
        <v>0-12 Months</v>
      </c>
      <c r="W2594">
        <f t="shared" si="161"/>
        <v>0</v>
      </c>
      <c r="X2594">
        <f t="shared" si="162"/>
        <v>0</v>
      </c>
      <c r="Y2594" t="str">
        <f t="shared" si="163"/>
        <v>Non-Senior</v>
      </c>
    </row>
    <row r="2595" spans="1:25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7082</v>
      </c>
      <c r="J2595" t="s">
        <v>7084</v>
      </c>
      <c r="K2595" t="s">
        <v>46</v>
      </c>
      <c r="L2595" t="s">
        <v>7084</v>
      </c>
      <c r="M2595" t="s">
        <v>7084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160"/>
        <v>61-72 Months</v>
      </c>
      <c r="W2595">
        <f t="shared" si="161"/>
        <v>0</v>
      </c>
      <c r="X2595">
        <f t="shared" si="162"/>
        <v>0</v>
      </c>
      <c r="Y2595" t="str">
        <f t="shared" si="163"/>
        <v>Non-Senior</v>
      </c>
    </row>
    <row r="2596" spans="1:25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160"/>
        <v>61-72 Months</v>
      </c>
      <c r="W2596">
        <f t="shared" si="161"/>
        <v>0</v>
      </c>
      <c r="X2596">
        <f t="shared" si="162"/>
        <v>0</v>
      </c>
      <c r="Y2596" t="str">
        <f t="shared" si="163"/>
        <v>Non-Senior</v>
      </c>
    </row>
    <row r="2597" spans="1:25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160"/>
        <v>61-72 Months</v>
      </c>
      <c r="W2597">
        <f t="shared" si="161"/>
        <v>0</v>
      </c>
      <c r="X2597">
        <f t="shared" si="162"/>
        <v>0</v>
      </c>
      <c r="Y2597" t="str">
        <f t="shared" si="163"/>
        <v>Non-Senior</v>
      </c>
    </row>
    <row r="2598" spans="1:25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160"/>
        <v>13-24 Months</v>
      </c>
      <c r="W2598">
        <f t="shared" si="161"/>
        <v>0</v>
      </c>
      <c r="X2598">
        <f t="shared" si="162"/>
        <v>0</v>
      </c>
      <c r="Y2598" t="str">
        <f t="shared" si="163"/>
        <v>Non-Senior</v>
      </c>
    </row>
    <row r="2599" spans="1:25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160"/>
        <v>61-72 Months</v>
      </c>
      <c r="W2599">
        <f t="shared" si="161"/>
        <v>0</v>
      </c>
      <c r="X2599">
        <f t="shared" si="162"/>
        <v>0</v>
      </c>
      <c r="Y2599" t="str">
        <f t="shared" si="163"/>
        <v>Non-Senior</v>
      </c>
    </row>
    <row r="2600" spans="1:25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160"/>
        <v>0-12 Months</v>
      </c>
      <c r="W2600">
        <f t="shared" si="161"/>
        <v>0</v>
      </c>
      <c r="X2600">
        <f t="shared" si="162"/>
        <v>0</v>
      </c>
      <c r="Y2600" t="str">
        <f t="shared" si="163"/>
        <v>Non-Senior</v>
      </c>
    </row>
    <row r="2601" spans="1:25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160"/>
        <v>61-72 Months</v>
      </c>
      <c r="W2601">
        <f t="shared" si="161"/>
        <v>0</v>
      </c>
      <c r="X2601">
        <f t="shared" si="162"/>
        <v>0</v>
      </c>
      <c r="Y2601" t="str">
        <f t="shared" si="163"/>
        <v>Non-Senior</v>
      </c>
    </row>
    <row r="2602" spans="1:25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160"/>
        <v>0-12 Months</v>
      </c>
      <c r="W2602">
        <f t="shared" si="161"/>
        <v>0</v>
      </c>
      <c r="X2602">
        <f t="shared" si="162"/>
        <v>0</v>
      </c>
      <c r="Y2602" t="str">
        <f t="shared" si="163"/>
        <v>Non-Senior</v>
      </c>
    </row>
    <row r="2603" spans="1:25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160"/>
        <v>61-72 Months</v>
      </c>
      <c r="W2603">
        <f t="shared" si="161"/>
        <v>0</v>
      </c>
      <c r="X2603">
        <f t="shared" si="162"/>
        <v>0</v>
      </c>
      <c r="Y2603" t="str">
        <f t="shared" si="163"/>
        <v>Non-Senior</v>
      </c>
    </row>
    <row r="2604" spans="1:25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160"/>
        <v>61-72 Months</v>
      </c>
      <c r="W2604">
        <f t="shared" si="161"/>
        <v>0</v>
      </c>
      <c r="X2604">
        <f t="shared" si="162"/>
        <v>0</v>
      </c>
      <c r="Y2604" t="str">
        <f t="shared" si="163"/>
        <v>Non-Senior</v>
      </c>
    </row>
    <row r="2605" spans="1:25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160"/>
        <v>61-72 Months</v>
      </c>
      <c r="W2605">
        <f t="shared" si="161"/>
        <v>0</v>
      </c>
      <c r="X2605">
        <f t="shared" si="162"/>
        <v>0</v>
      </c>
      <c r="Y2605" t="str">
        <f t="shared" si="163"/>
        <v>Non-Senior</v>
      </c>
    </row>
    <row r="2606" spans="1:25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160"/>
        <v>25-36 Months</v>
      </c>
      <c r="W2606">
        <f t="shared" si="161"/>
        <v>0</v>
      </c>
      <c r="X2606">
        <f t="shared" si="162"/>
        <v>0</v>
      </c>
      <c r="Y2606" t="str">
        <f t="shared" si="163"/>
        <v>Non-Senior</v>
      </c>
    </row>
    <row r="2607" spans="1:25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7082</v>
      </c>
      <c r="J2607" t="s">
        <v>7084</v>
      </c>
      <c r="K2607" t="s">
        <v>46</v>
      </c>
      <c r="L2607" t="s">
        <v>7084</v>
      </c>
      <c r="M2607" t="s">
        <v>7084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160"/>
        <v>13-24 Months</v>
      </c>
      <c r="W2607">
        <f t="shared" si="161"/>
        <v>0</v>
      </c>
      <c r="X2607">
        <f t="shared" si="162"/>
        <v>0</v>
      </c>
      <c r="Y2607" t="str">
        <f t="shared" si="163"/>
        <v>Non-Senior</v>
      </c>
    </row>
    <row r="2608" spans="1:25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160"/>
        <v>25-36 Months</v>
      </c>
      <c r="W2608">
        <f t="shared" si="161"/>
        <v>0</v>
      </c>
      <c r="X2608">
        <f t="shared" si="162"/>
        <v>0</v>
      </c>
      <c r="Y2608" t="str">
        <f t="shared" si="163"/>
        <v>Non-Senior</v>
      </c>
    </row>
    <row r="2609" spans="1:25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160"/>
        <v>0-12 Months</v>
      </c>
      <c r="W2609">
        <f t="shared" si="161"/>
        <v>1</v>
      </c>
      <c r="X2609">
        <f t="shared" si="162"/>
        <v>69.75</v>
      </c>
      <c r="Y2609" t="str">
        <f t="shared" si="163"/>
        <v>Senior Citizen</v>
      </c>
    </row>
    <row r="2610" spans="1:25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160"/>
        <v>0-12 Months</v>
      </c>
      <c r="W2610">
        <f t="shared" si="161"/>
        <v>1</v>
      </c>
      <c r="X2610">
        <f t="shared" si="162"/>
        <v>34.5</v>
      </c>
      <c r="Y2610" t="str">
        <f t="shared" si="163"/>
        <v>Non-Senior</v>
      </c>
    </row>
    <row r="2611" spans="1:25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160"/>
        <v>61-72 Months</v>
      </c>
      <c r="W2611">
        <f t="shared" si="161"/>
        <v>1</v>
      </c>
      <c r="X2611">
        <f t="shared" si="162"/>
        <v>105.55</v>
      </c>
      <c r="Y2611" t="str">
        <f t="shared" si="163"/>
        <v>Non-Senior</v>
      </c>
    </row>
    <row r="2612" spans="1:25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160"/>
        <v>37-48 Months</v>
      </c>
      <c r="W2612">
        <f t="shared" si="161"/>
        <v>1</v>
      </c>
      <c r="X2612">
        <f t="shared" si="162"/>
        <v>30.1</v>
      </c>
      <c r="Y2612" t="str">
        <f t="shared" si="163"/>
        <v>Non-Senior</v>
      </c>
    </row>
    <row r="2613" spans="1:25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160"/>
        <v>0-12 Months</v>
      </c>
      <c r="W2613">
        <f t="shared" si="161"/>
        <v>1</v>
      </c>
      <c r="X2613">
        <f t="shared" si="162"/>
        <v>70.3</v>
      </c>
      <c r="Y2613" t="str">
        <f t="shared" si="163"/>
        <v>Non-Senior</v>
      </c>
    </row>
    <row r="2614" spans="1:25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160"/>
        <v>13-24 Months</v>
      </c>
      <c r="W2614">
        <f t="shared" si="161"/>
        <v>0</v>
      </c>
      <c r="X2614">
        <f t="shared" si="162"/>
        <v>0</v>
      </c>
      <c r="Y2614" t="str">
        <f t="shared" si="163"/>
        <v>Non-Senior</v>
      </c>
    </row>
    <row r="2615" spans="1:25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160"/>
        <v>0-12 Months</v>
      </c>
      <c r="W2615">
        <f t="shared" si="161"/>
        <v>1</v>
      </c>
      <c r="X2615">
        <f t="shared" si="162"/>
        <v>80.2</v>
      </c>
      <c r="Y2615" t="str">
        <f t="shared" si="163"/>
        <v>Non-Senior</v>
      </c>
    </row>
    <row r="2616" spans="1:25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160"/>
        <v>61-72 Months</v>
      </c>
      <c r="W2616">
        <f t="shared" si="161"/>
        <v>1</v>
      </c>
      <c r="X2616">
        <f t="shared" si="162"/>
        <v>94.35</v>
      </c>
      <c r="Y2616" t="str">
        <f t="shared" si="163"/>
        <v>Non-Senior</v>
      </c>
    </row>
    <row r="2617" spans="1:25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160"/>
        <v>61-72 Months</v>
      </c>
      <c r="W2617">
        <f t="shared" si="161"/>
        <v>0</v>
      </c>
      <c r="X2617">
        <f t="shared" si="162"/>
        <v>0</v>
      </c>
      <c r="Y2617" t="str">
        <f t="shared" si="163"/>
        <v>Non-Senior</v>
      </c>
    </row>
    <row r="2618" spans="1:25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160"/>
        <v>0-12 Months</v>
      </c>
      <c r="W2618">
        <f t="shared" si="161"/>
        <v>1</v>
      </c>
      <c r="X2618">
        <f t="shared" si="162"/>
        <v>44.6</v>
      </c>
      <c r="Y2618" t="str">
        <f t="shared" si="163"/>
        <v>Non-Senior</v>
      </c>
    </row>
    <row r="2619" spans="1:25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7082</v>
      </c>
      <c r="J2619" t="s">
        <v>7084</v>
      </c>
      <c r="K2619" t="s">
        <v>46</v>
      </c>
      <c r="L2619" t="s">
        <v>7084</v>
      </c>
      <c r="M2619" t="s">
        <v>7084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160"/>
        <v>0-12 Months</v>
      </c>
      <c r="W2619">
        <f t="shared" si="161"/>
        <v>1</v>
      </c>
      <c r="X2619">
        <f t="shared" si="162"/>
        <v>19.600000000000001</v>
      </c>
      <c r="Y2619" t="str">
        <f t="shared" si="163"/>
        <v>Non-Senior</v>
      </c>
    </row>
    <row r="2620" spans="1:25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7082</v>
      </c>
      <c r="J2620" t="s">
        <v>7084</v>
      </c>
      <c r="K2620" t="s">
        <v>46</v>
      </c>
      <c r="L2620" t="s">
        <v>7084</v>
      </c>
      <c r="M2620" t="s">
        <v>7084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160"/>
        <v>25-36 Months</v>
      </c>
      <c r="W2620">
        <f t="shared" si="161"/>
        <v>0</v>
      </c>
      <c r="X2620">
        <f t="shared" si="162"/>
        <v>0</v>
      </c>
      <c r="Y2620" t="str">
        <f t="shared" si="163"/>
        <v>Non-Senior</v>
      </c>
    </row>
    <row r="2621" spans="1:25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160"/>
        <v>25-36 Months</v>
      </c>
      <c r="W2621">
        <f t="shared" si="161"/>
        <v>1</v>
      </c>
      <c r="X2621">
        <f t="shared" si="162"/>
        <v>110.45</v>
      </c>
      <c r="Y2621" t="str">
        <f t="shared" si="163"/>
        <v>Senior Citizen</v>
      </c>
    </row>
    <row r="2622" spans="1:25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160"/>
        <v>13-24 Months</v>
      </c>
      <c r="W2622">
        <f t="shared" si="161"/>
        <v>0</v>
      </c>
      <c r="X2622">
        <f t="shared" si="162"/>
        <v>0</v>
      </c>
      <c r="Y2622" t="str">
        <f t="shared" si="163"/>
        <v>Non-Senior</v>
      </c>
    </row>
    <row r="2623" spans="1:25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160"/>
        <v>61-72 Months</v>
      </c>
      <c r="W2623">
        <f t="shared" si="161"/>
        <v>0</v>
      </c>
      <c r="X2623">
        <f t="shared" si="162"/>
        <v>0</v>
      </c>
      <c r="Y2623" t="str">
        <f t="shared" si="163"/>
        <v>Non-Senior</v>
      </c>
    </row>
    <row r="2624" spans="1:25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160"/>
        <v>25-36 Months</v>
      </c>
      <c r="W2624">
        <f t="shared" si="161"/>
        <v>0</v>
      </c>
      <c r="X2624">
        <f t="shared" si="162"/>
        <v>0</v>
      </c>
      <c r="Y2624" t="str">
        <f t="shared" si="163"/>
        <v>Senior Citizen</v>
      </c>
    </row>
    <row r="2625" spans="1:25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160"/>
        <v>0-12 Months</v>
      </c>
      <c r="W2625">
        <f t="shared" si="161"/>
        <v>0</v>
      </c>
      <c r="X2625">
        <f t="shared" si="162"/>
        <v>0</v>
      </c>
      <c r="Y2625" t="str">
        <f t="shared" si="163"/>
        <v>Non-Senior</v>
      </c>
    </row>
    <row r="2626" spans="1:25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si="160"/>
        <v>13-24 Months</v>
      </c>
      <c r="W2626">
        <f t="shared" si="161"/>
        <v>0</v>
      </c>
      <c r="X2626">
        <f t="shared" si="162"/>
        <v>0</v>
      </c>
      <c r="Y2626" t="str">
        <f t="shared" si="163"/>
        <v>Non-Senior</v>
      </c>
    </row>
    <row r="2627" spans="1:25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ref="V2627:V2690" si="164">IF(F2627&lt;=12,"0-12 Months",IF(F2627&lt;=24,"13-24 Months",IF(F2627&lt;=36,"25-36 Months",IF(F2627&lt;=48,"37-48 Months",IF(F2627&lt;=60,"49-60 Months","61-72 Months")))))</f>
        <v>49-60 Months</v>
      </c>
      <c r="W2627">
        <f t="shared" ref="W2627:W2690" si="165">IF(U2627="Yes",1,0)</f>
        <v>0</v>
      </c>
      <c r="X2627">
        <f t="shared" ref="X2627:X2690" si="166">IF(U2627="Yes",S2627,0)</f>
        <v>0</v>
      </c>
      <c r="Y2627" t="str">
        <f t="shared" ref="Y2627:Y2690" si="167">IF(C2627=1,"Senior Citizen","Non-Senior")</f>
        <v>Non-Senior</v>
      </c>
    </row>
    <row r="2628" spans="1:25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164"/>
        <v>49-60 Months</v>
      </c>
      <c r="W2628">
        <f t="shared" si="165"/>
        <v>0</v>
      </c>
      <c r="X2628">
        <f t="shared" si="166"/>
        <v>0</v>
      </c>
      <c r="Y2628" t="str">
        <f t="shared" si="167"/>
        <v>Non-Senior</v>
      </c>
    </row>
    <row r="2629" spans="1:25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7082</v>
      </c>
      <c r="J2629" t="s">
        <v>7084</v>
      </c>
      <c r="K2629" t="s">
        <v>46</v>
      </c>
      <c r="L2629" t="s">
        <v>7084</v>
      </c>
      <c r="M2629" t="s">
        <v>7084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164"/>
        <v>25-36 Months</v>
      </c>
      <c r="W2629">
        <f t="shared" si="165"/>
        <v>0</v>
      </c>
      <c r="X2629">
        <f t="shared" si="166"/>
        <v>0</v>
      </c>
      <c r="Y2629" t="str">
        <f t="shared" si="167"/>
        <v>Non-Senior</v>
      </c>
    </row>
    <row r="2630" spans="1:25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164"/>
        <v>0-12 Months</v>
      </c>
      <c r="W2630">
        <f t="shared" si="165"/>
        <v>0</v>
      </c>
      <c r="X2630">
        <f t="shared" si="166"/>
        <v>0</v>
      </c>
      <c r="Y2630" t="str">
        <f t="shared" si="167"/>
        <v>Non-Senior</v>
      </c>
    </row>
    <row r="2631" spans="1:25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164"/>
        <v>0-12 Months</v>
      </c>
      <c r="W2631">
        <f t="shared" si="165"/>
        <v>1</v>
      </c>
      <c r="X2631">
        <f t="shared" si="166"/>
        <v>70.7</v>
      </c>
      <c r="Y2631" t="str">
        <f t="shared" si="167"/>
        <v>Non-Senior</v>
      </c>
    </row>
    <row r="2632" spans="1:25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164"/>
        <v>61-72 Months</v>
      </c>
      <c r="W2632">
        <f t="shared" si="165"/>
        <v>0</v>
      </c>
      <c r="X2632">
        <f t="shared" si="166"/>
        <v>0</v>
      </c>
      <c r="Y2632" t="str">
        <f t="shared" si="167"/>
        <v>Non-Senior</v>
      </c>
    </row>
    <row r="2633" spans="1:25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164"/>
        <v>0-12 Months</v>
      </c>
      <c r="W2633">
        <f t="shared" si="165"/>
        <v>1</v>
      </c>
      <c r="X2633">
        <f t="shared" si="166"/>
        <v>99.25</v>
      </c>
      <c r="Y2633" t="str">
        <f t="shared" si="167"/>
        <v>Senior Citizen</v>
      </c>
    </row>
    <row r="2634" spans="1:25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164"/>
        <v>49-60 Months</v>
      </c>
      <c r="W2634">
        <f t="shared" si="165"/>
        <v>0</v>
      </c>
      <c r="X2634">
        <f t="shared" si="166"/>
        <v>0</v>
      </c>
      <c r="Y2634" t="str">
        <f t="shared" si="167"/>
        <v>Non-Senior</v>
      </c>
    </row>
    <row r="2635" spans="1:25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164"/>
        <v>61-72 Months</v>
      </c>
      <c r="W2635">
        <f t="shared" si="165"/>
        <v>0</v>
      </c>
      <c r="X2635">
        <f t="shared" si="166"/>
        <v>0</v>
      </c>
      <c r="Y2635" t="str">
        <f t="shared" si="167"/>
        <v>Non-Senior</v>
      </c>
    </row>
    <row r="2636" spans="1:25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164"/>
        <v>0-12 Months</v>
      </c>
      <c r="W2636">
        <f t="shared" si="165"/>
        <v>1</v>
      </c>
      <c r="X2636">
        <f t="shared" si="166"/>
        <v>84.8</v>
      </c>
      <c r="Y2636" t="str">
        <f t="shared" si="167"/>
        <v>Non-Senior</v>
      </c>
    </row>
    <row r="2637" spans="1:25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7082</v>
      </c>
      <c r="J2637" t="s">
        <v>7084</v>
      </c>
      <c r="K2637" t="s">
        <v>46</v>
      </c>
      <c r="L2637" t="s">
        <v>7084</v>
      </c>
      <c r="M2637" t="s">
        <v>7084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164"/>
        <v>61-72 Months</v>
      </c>
      <c r="W2637">
        <f t="shared" si="165"/>
        <v>0</v>
      </c>
      <c r="X2637">
        <f t="shared" si="166"/>
        <v>0</v>
      </c>
      <c r="Y2637" t="str">
        <f t="shared" si="167"/>
        <v>Non-Senior</v>
      </c>
    </row>
    <row r="2638" spans="1:25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164"/>
        <v>61-72 Months</v>
      </c>
      <c r="W2638">
        <f t="shared" si="165"/>
        <v>0</v>
      </c>
      <c r="X2638">
        <f t="shared" si="166"/>
        <v>0</v>
      </c>
      <c r="Y2638" t="str">
        <f t="shared" si="167"/>
        <v>Senior Citizen</v>
      </c>
    </row>
    <row r="2639" spans="1:25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164"/>
        <v>25-36 Months</v>
      </c>
      <c r="W2639">
        <f t="shared" si="165"/>
        <v>0</v>
      </c>
      <c r="X2639">
        <f t="shared" si="166"/>
        <v>0</v>
      </c>
      <c r="Y2639" t="str">
        <f t="shared" si="167"/>
        <v>Non-Senior</v>
      </c>
    </row>
    <row r="2640" spans="1:25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164"/>
        <v>49-60 Months</v>
      </c>
      <c r="W2640">
        <f t="shared" si="165"/>
        <v>1</v>
      </c>
      <c r="X2640">
        <f t="shared" si="166"/>
        <v>105</v>
      </c>
      <c r="Y2640" t="str">
        <f t="shared" si="167"/>
        <v>Non-Senior</v>
      </c>
    </row>
    <row r="2641" spans="1:25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164"/>
        <v>13-24 Months</v>
      </c>
      <c r="W2641">
        <f t="shared" si="165"/>
        <v>1</v>
      </c>
      <c r="X2641">
        <f t="shared" si="166"/>
        <v>54.45</v>
      </c>
      <c r="Y2641" t="str">
        <f t="shared" si="167"/>
        <v>Non-Senior</v>
      </c>
    </row>
    <row r="2642" spans="1:25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164"/>
        <v>13-24 Months</v>
      </c>
      <c r="W2642">
        <f t="shared" si="165"/>
        <v>0</v>
      </c>
      <c r="X2642">
        <f t="shared" si="166"/>
        <v>0</v>
      </c>
      <c r="Y2642" t="str">
        <f t="shared" si="167"/>
        <v>Non-Senior</v>
      </c>
    </row>
    <row r="2643" spans="1:25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164"/>
        <v>0-12 Months</v>
      </c>
      <c r="W2643">
        <f t="shared" si="165"/>
        <v>0</v>
      </c>
      <c r="X2643">
        <f t="shared" si="166"/>
        <v>0</v>
      </c>
      <c r="Y2643" t="str">
        <f t="shared" si="167"/>
        <v>Senior Citizen</v>
      </c>
    </row>
    <row r="2644" spans="1:25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164"/>
        <v>37-48 Months</v>
      </c>
      <c r="W2644">
        <f t="shared" si="165"/>
        <v>1</v>
      </c>
      <c r="X2644">
        <f t="shared" si="166"/>
        <v>85.3</v>
      </c>
      <c r="Y2644" t="str">
        <f t="shared" si="167"/>
        <v>Non-Senior</v>
      </c>
    </row>
    <row r="2645" spans="1:25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164"/>
        <v>25-36 Months</v>
      </c>
      <c r="W2645">
        <f t="shared" si="165"/>
        <v>1</v>
      </c>
      <c r="X2645">
        <f t="shared" si="166"/>
        <v>83.35</v>
      </c>
      <c r="Y2645" t="str">
        <f t="shared" si="167"/>
        <v>Non-Senior</v>
      </c>
    </row>
    <row r="2646" spans="1:25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164"/>
        <v>13-24 Months</v>
      </c>
      <c r="W2646">
        <f t="shared" si="165"/>
        <v>1</v>
      </c>
      <c r="X2646">
        <f t="shared" si="166"/>
        <v>33.5</v>
      </c>
      <c r="Y2646" t="str">
        <f t="shared" si="167"/>
        <v>Non-Senior</v>
      </c>
    </row>
    <row r="2647" spans="1:25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7082</v>
      </c>
      <c r="J2647" t="s">
        <v>7084</v>
      </c>
      <c r="K2647" t="s">
        <v>46</v>
      </c>
      <c r="L2647" t="s">
        <v>7084</v>
      </c>
      <c r="M2647" t="s">
        <v>7084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164"/>
        <v>0-12 Months</v>
      </c>
      <c r="W2647">
        <f t="shared" si="165"/>
        <v>0</v>
      </c>
      <c r="X2647">
        <f t="shared" si="166"/>
        <v>0</v>
      </c>
      <c r="Y2647" t="str">
        <f t="shared" si="167"/>
        <v>Non-Senior</v>
      </c>
    </row>
    <row r="2648" spans="1:25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164"/>
        <v>49-60 Months</v>
      </c>
      <c r="W2648">
        <f t="shared" si="165"/>
        <v>0</v>
      </c>
      <c r="X2648">
        <f t="shared" si="166"/>
        <v>0</v>
      </c>
      <c r="Y2648" t="str">
        <f t="shared" si="167"/>
        <v>Non-Senior</v>
      </c>
    </row>
    <row r="2649" spans="1:25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7082</v>
      </c>
      <c r="J2649" t="s">
        <v>7084</v>
      </c>
      <c r="K2649" t="s">
        <v>46</v>
      </c>
      <c r="L2649" t="s">
        <v>7084</v>
      </c>
      <c r="M2649" t="s">
        <v>7084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164"/>
        <v>0-12 Months</v>
      </c>
      <c r="W2649">
        <f t="shared" si="165"/>
        <v>0</v>
      </c>
      <c r="X2649">
        <f t="shared" si="166"/>
        <v>0</v>
      </c>
      <c r="Y2649" t="str">
        <f t="shared" si="167"/>
        <v>Non-Senior</v>
      </c>
    </row>
    <row r="2650" spans="1:25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164"/>
        <v>25-36 Months</v>
      </c>
      <c r="W2650">
        <f t="shared" si="165"/>
        <v>0</v>
      </c>
      <c r="X2650">
        <f t="shared" si="166"/>
        <v>0</v>
      </c>
      <c r="Y2650" t="str">
        <f t="shared" si="167"/>
        <v>Non-Senior</v>
      </c>
    </row>
    <row r="2651" spans="1:25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7082</v>
      </c>
      <c r="J2651" t="s">
        <v>7084</v>
      </c>
      <c r="K2651" t="s">
        <v>46</v>
      </c>
      <c r="L2651" t="s">
        <v>7084</v>
      </c>
      <c r="M2651" t="s">
        <v>7084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164"/>
        <v>61-72 Months</v>
      </c>
      <c r="W2651">
        <f t="shared" si="165"/>
        <v>0</v>
      </c>
      <c r="X2651">
        <f t="shared" si="166"/>
        <v>0</v>
      </c>
      <c r="Y2651" t="str">
        <f t="shared" si="167"/>
        <v>Non-Senior</v>
      </c>
    </row>
    <row r="2652" spans="1:25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164"/>
        <v>13-24 Months</v>
      </c>
      <c r="W2652">
        <f t="shared" si="165"/>
        <v>0</v>
      </c>
      <c r="X2652">
        <f t="shared" si="166"/>
        <v>0</v>
      </c>
      <c r="Y2652" t="str">
        <f t="shared" si="167"/>
        <v>Non-Senior</v>
      </c>
    </row>
    <row r="2653" spans="1:25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164"/>
        <v>13-24 Months</v>
      </c>
      <c r="W2653">
        <f t="shared" si="165"/>
        <v>1</v>
      </c>
      <c r="X2653">
        <f t="shared" si="166"/>
        <v>90.35</v>
      </c>
      <c r="Y2653" t="str">
        <f t="shared" si="167"/>
        <v>Non-Senior</v>
      </c>
    </row>
    <row r="2654" spans="1:25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164"/>
        <v>0-12 Months</v>
      </c>
      <c r="W2654">
        <f t="shared" si="165"/>
        <v>0</v>
      </c>
      <c r="X2654">
        <f t="shared" si="166"/>
        <v>0</v>
      </c>
      <c r="Y2654" t="str">
        <f t="shared" si="167"/>
        <v>Non-Senior</v>
      </c>
    </row>
    <row r="2655" spans="1:25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164"/>
        <v>61-72 Months</v>
      </c>
      <c r="W2655">
        <f t="shared" si="165"/>
        <v>0</v>
      </c>
      <c r="X2655">
        <f t="shared" si="166"/>
        <v>0</v>
      </c>
      <c r="Y2655" t="str">
        <f t="shared" si="167"/>
        <v>Non-Senior</v>
      </c>
    </row>
    <row r="2656" spans="1:25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164"/>
        <v>0-12 Months</v>
      </c>
      <c r="W2656">
        <f t="shared" si="165"/>
        <v>1</v>
      </c>
      <c r="X2656">
        <f t="shared" si="166"/>
        <v>90.75</v>
      </c>
      <c r="Y2656" t="str">
        <f t="shared" si="167"/>
        <v>Non-Senior</v>
      </c>
    </row>
    <row r="2657" spans="1:25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164"/>
        <v>0-12 Months</v>
      </c>
      <c r="W2657">
        <f t="shared" si="165"/>
        <v>1</v>
      </c>
      <c r="X2657">
        <f t="shared" si="166"/>
        <v>89.6</v>
      </c>
      <c r="Y2657" t="str">
        <f t="shared" si="167"/>
        <v>Non-Senior</v>
      </c>
    </row>
    <row r="2658" spans="1:25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164"/>
        <v>37-48 Months</v>
      </c>
      <c r="W2658">
        <f t="shared" si="165"/>
        <v>0</v>
      </c>
      <c r="X2658">
        <f t="shared" si="166"/>
        <v>0</v>
      </c>
      <c r="Y2658" t="str">
        <f t="shared" si="167"/>
        <v>Non-Senior</v>
      </c>
    </row>
    <row r="2659" spans="1:25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164"/>
        <v>25-36 Months</v>
      </c>
      <c r="W2659">
        <f t="shared" si="165"/>
        <v>0</v>
      </c>
      <c r="X2659">
        <f t="shared" si="166"/>
        <v>0</v>
      </c>
      <c r="Y2659" t="str">
        <f t="shared" si="167"/>
        <v>Non-Senior</v>
      </c>
    </row>
    <row r="2660" spans="1:25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7082</v>
      </c>
      <c r="J2660" t="s">
        <v>7084</v>
      </c>
      <c r="K2660" t="s">
        <v>46</v>
      </c>
      <c r="L2660" t="s">
        <v>7084</v>
      </c>
      <c r="M2660" t="s">
        <v>7084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164"/>
        <v>13-24 Months</v>
      </c>
      <c r="W2660">
        <f t="shared" si="165"/>
        <v>0</v>
      </c>
      <c r="X2660">
        <f t="shared" si="166"/>
        <v>0</v>
      </c>
      <c r="Y2660" t="str">
        <f t="shared" si="167"/>
        <v>Non-Senior</v>
      </c>
    </row>
    <row r="2661" spans="1:25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164"/>
        <v>61-72 Months</v>
      </c>
      <c r="W2661">
        <f t="shared" si="165"/>
        <v>0</v>
      </c>
      <c r="X2661">
        <f t="shared" si="166"/>
        <v>0</v>
      </c>
      <c r="Y2661" t="str">
        <f t="shared" si="167"/>
        <v>Non-Senior</v>
      </c>
    </row>
    <row r="2662" spans="1:25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164"/>
        <v>13-24 Months</v>
      </c>
      <c r="W2662">
        <f t="shared" si="165"/>
        <v>0</v>
      </c>
      <c r="X2662">
        <f t="shared" si="166"/>
        <v>0</v>
      </c>
      <c r="Y2662" t="str">
        <f t="shared" si="167"/>
        <v>Non-Senior</v>
      </c>
    </row>
    <row r="2663" spans="1:25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164"/>
        <v>61-72 Months</v>
      </c>
      <c r="W2663">
        <f t="shared" si="165"/>
        <v>0</v>
      </c>
      <c r="X2663">
        <f t="shared" si="166"/>
        <v>0</v>
      </c>
      <c r="Y2663" t="str">
        <f t="shared" si="167"/>
        <v>Non-Senior</v>
      </c>
    </row>
    <row r="2664" spans="1:25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164"/>
        <v>0-12 Months</v>
      </c>
      <c r="W2664">
        <f t="shared" si="165"/>
        <v>1</v>
      </c>
      <c r="X2664">
        <f t="shared" si="166"/>
        <v>49.25</v>
      </c>
      <c r="Y2664" t="str">
        <f t="shared" si="167"/>
        <v>Non-Senior</v>
      </c>
    </row>
    <row r="2665" spans="1:25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164"/>
        <v>49-60 Months</v>
      </c>
      <c r="W2665">
        <f t="shared" si="165"/>
        <v>0</v>
      </c>
      <c r="X2665">
        <f t="shared" si="166"/>
        <v>0</v>
      </c>
      <c r="Y2665" t="str">
        <f t="shared" si="167"/>
        <v>Non-Senior</v>
      </c>
    </row>
    <row r="2666" spans="1:25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164"/>
        <v>61-72 Months</v>
      </c>
      <c r="W2666">
        <f t="shared" si="165"/>
        <v>0</v>
      </c>
      <c r="X2666">
        <f t="shared" si="166"/>
        <v>0</v>
      </c>
      <c r="Y2666" t="str">
        <f t="shared" si="167"/>
        <v>Non-Senior</v>
      </c>
    </row>
    <row r="2667" spans="1:25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164"/>
        <v>25-36 Months</v>
      </c>
      <c r="W2667">
        <f t="shared" si="165"/>
        <v>0</v>
      </c>
      <c r="X2667">
        <f t="shared" si="166"/>
        <v>0</v>
      </c>
      <c r="Y2667" t="str">
        <f t="shared" si="167"/>
        <v>Senior Citizen</v>
      </c>
    </row>
    <row r="2668" spans="1:25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164"/>
        <v>61-72 Months</v>
      </c>
      <c r="W2668">
        <f t="shared" si="165"/>
        <v>0</v>
      </c>
      <c r="X2668">
        <f t="shared" si="166"/>
        <v>0</v>
      </c>
      <c r="Y2668" t="str">
        <f t="shared" si="167"/>
        <v>Non-Senior</v>
      </c>
    </row>
    <row r="2669" spans="1:25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164"/>
        <v>61-72 Months</v>
      </c>
      <c r="W2669">
        <f t="shared" si="165"/>
        <v>0</v>
      </c>
      <c r="X2669">
        <f t="shared" si="166"/>
        <v>0</v>
      </c>
      <c r="Y2669" t="str">
        <f t="shared" si="167"/>
        <v>Non-Senior</v>
      </c>
    </row>
    <row r="2670" spans="1:25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7082</v>
      </c>
      <c r="J2670" t="s">
        <v>7084</v>
      </c>
      <c r="K2670" t="s">
        <v>46</v>
      </c>
      <c r="L2670" t="s">
        <v>7084</v>
      </c>
      <c r="M2670" t="s">
        <v>7084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164"/>
        <v>0-12 Months</v>
      </c>
      <c r="W2670">
        <f t="shared" si="165"/>
        <v>1</v>
      </c>
      <c r="X2670">
        <f t="shared" si="166"/>
        <v>19.75</v>
      </c>
      <c r="Y2670" t="str">
        <f t="shared" si="167"/>
        <v>Non-Senior</v>
      </c>
    </row>
    <row r="2671" spans="1:25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164"/>
        <v>13-24 Months</v>
      </c>
      <c r="W2671">
        <f t="shared" si="165"/>
        <v>1</v>
      </c>
      <c r="X2671">
        <f t="shared" si="166"/>
        <v>95.15</v>
      </c>
      <c r="Y2671" t="str">
        <f t="shared" si="167"/>
        <v>Non-Senior</v>
      </c>
    </row>
    <row r="2672" spans="1:25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164"/>
        <v>49-60 Months</v>
      </c>
      <c r="W2672">
        <f t="shared" si="165"/>
        <v>0</v>
      </c>
      <c r="X2672">
        <f t="shared" si="166"/>
        <v>0</v>
      </c>
      <c r="Y2672" t="str">
        <f t="shared" si="167"/>
        <v>Non-Senior</v>
      </c>
    </row>
    <row r="2673" spans="1:25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164"/>
        <v>61-72 Months</v>
      </c>
      <c r="W2673">
        <f t="shared" si="165"/>
        <v>0</v>
      </c>
      <c r="X2673">
        <f t="shared" si="166"/>
        <v>0</v>
      </c>
      <c r="Y2673" t="str">
        <f t="shared" si="167"/>
        <v>Non-Senior</v>
      </c>
    </row>
    <row r="2674" spans="1:25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7082</v>
      </c>
      <c r="J2674" t="s">
        <v>7084</v>
      </c>
      <c r="K2674" t="s">
        <v>46</v>
      </c>
      <c r="L2674" t="s">
        <v>7084</v>
      </c>
      <c r="M2674" t="s">
        <v>7084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164"/>
        <v>25-36 Months</v>
      </c>
      <c r="W2674">
        <f t="shared" si="165"/>
        <v>0</v>
      </c>
      <c r="X2674">
        <f t="shared" si="166"/>
        <v>0</v>
      </c>
      <c r="Y2674" t="str">
        <f t="shared" si="167"/>
        <v>Non-Senior</v>
      </c>
    </row>
    <row r="2675" spans="1:25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164"/>
        <v>13-24 Months</v>
      </c>
      <c r="W2675">
        <f t="shared" si="165"/>
        <v>1</v>
      </c>
      <c r="X2675">
        <f t="shared" si="166"/>
        <v>101.35</v>
      </c>
      <c r="Y2675" t="str">
        <f t="shared" si="167"/>
        <v>Non-Senior</v>
      </c>
    </row>
    <row r="2676" spans="1:25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7082</v>
      </c>
      <c r="J2676" t="s">
        <v>7084</v>
      </c>
      <c r="K2676" t="s">
        <v>46</v>
      </c>
      <c r="L2676" t="s">
        <v>7084</v>
      </c>
      <c r="M2676" t="s">
        <v>7084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164"/>
        <v>0-12 Months</v>
      </c>
      <c r="W2676">
        <f t="shared" si="165"/>
        <v>0</v>
      </c>
      <c r="X2676">
        <f t="shared" si="166"/>
        <v>0</v>
      </c>
      <c r="Y2676" t="str">
        <f t="shared" si="167"/>
        <v>Senior Citizen</v>
      </c>
    </row>
    <row r="2677" spans="1:25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7082</v>
      </c>
      <c r="J2677" t="s">
        <v>7084</v>
      </c>
      <c r="K2677" t="s">
        <v>46</v>
      </c>
      <c r="L2677" t="s">
        <v>7084</v>
      </c>
      <c r="M2677" t="s">
        <v>7084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164"/>
        <v>37-48 Months</v>
      </c>
      <c r="W2677">
        <f t="shared" si="165"/>
        <v>0</v>
      </c>
      <c r="X2677">
        <f t="shared" si="166"/>
        <v>0</v>
      </c>
      <c r="Y2677" t="str">
        <f t="shared" si="167"/>
        <v>Non-Senior</v>
      </c>
    </row>
    <row r="2678" spans="1:25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7082</v>
      </c>
      <c r="J2678" t="s">
        <v>7084</v>
      </c>
      <c r="K2678" t="s">
        <v>46</v>
      </c>
      <c r="L2678" t="s">
        <v>7084</v>
      </c>
      <c r="M2678" t="s">
        <v>7084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164"/>
        <v>25-36 Months</v>
      </c>
      <c r="W2678">
        <f t="shared" si="165"/>
        <v>0</v>
      </c>
      <c r="X2678">
        <f t="shared" si="166"/>
        <v>0</v>
      </c>
      <c r="Y2678" t="str">
        <f t="shared" si="167"/>
        <v>Non-Senior</v>
      </c>
    </row>
    <row r="2679" spans="1:25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164"/>
        <v>0-12 Months</v>
      </c>
      <c r="W2679">
        <f t="shared" si="165"/>
        <v>1</v>
      </c>
      <c r="X2679">
        <f t="shared" si="166"/>
        <v>70.05</v>
      </c>
      <c r="Y2679" t="str">
        <f t="shared" si="167"/>
        <v>Non-Senior</v>
      </c>
    </row>
    <row r="2680" spans="1:25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7082</v>
      </c>
      <c r="J2680" t="s">
        <v>7084</v>
      </c>
      <c r="K2680" t="s">
        <v>46</v>
      </c>
      <c r="L2680" t="s">
        <v>7084</v>
      </c>
      <c r="M2680" t="s">
        <v>7084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164"/>
        <v>25-36 Months</v>
      </c>
      <c r="W2680">
        <f t="shared" si="165"/>
        <v>0</v>
      </c>
      <c r="X2680">
        <f t="shared" si="166"/>
        <v>0</v>
      </c>
      <c r="Y2680" t="str">
        <f t="shared" si="167"/>
        <v>Non-Senior</v>
      </c>
    </row>
    <row r="2681" spans="1:25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164"/>
        <v>0-12 Months</v>
      </c>
      <c r="W2681">
        <f t="shared" si="165"/>
        <v>1</v>
      </c>
      <c r="X2681">
        <f t="shared" si="166"/>
        <v>74.650000000000006</v>
      </c>
      <c r="Y2681" t="str">
        <f t="shared" si="167"/>
        <v>Non-Senior</v>
      </c>
    </row>
    <row r="2682" spans="1:25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164"/>
        <v>61-72 Months</v>
      </c>
      <c r="W2682">
        <f t="shared" si="165"/>
        <v>0</v>
      </c>
      <c r="X2682">
        <f t="shared" si="166"/>
        <v>0</v>
      </c>
      <c r="Y2682" t="str">
        <f t="shared" si="167"/>
        <v>Non-Senior</v>
      </c>
    </row>
    <row r="2683" spans="1:25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164"/>
        <v>37-48 Months</v>
      </c>
      <c r="W2683">
        <f t="shared" si="165"/>
        <v>0</v>
      </c>
      <c r="X2683">
        <f t="shared" si="166"/>
        <v>0</v>
      </c>
      <c r="Y2683" t="str">
        <f t="shared" si="167"/>
        <v>Non-Senior</v>
      </c>
    </row>
    <row r="2684" spans="1:25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164"/>
        <v>0-12 Months</v>
      </c>
      <c r="W2684">
        <f t="shared" si="165"/>
        <v>1</v>
      </c>
      <c r="X2684">
        <f t="shared" si="166"/>
        <v>50.4</v>
      </c>
      <c r="Y2684" t="str">
        <f t="shared" si="167"/>
        <v>Non-Senior</v>
      </c>
    </row>
    <row r="2685" spans="1:25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164"/>
        <v>0-12 Months</v>
      </c>
      <c r="W2685">
        <f t="shared" si="165"/>
        <v>1</v>
      </c>
      <c r="X2685">
        <f t="shared" si="166"/>
        <v>79.650000000000006</v>
      </c>
      <c r="Y2685" t="str">
        <f t="shared" si="167"/>
        <v>Non-Senior</v>
      </c>
    </row>
    <row r="2686" spans="1:25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164"/>
        <v>61-72 Months</v>
      </c>
      <c r="W2686">
        <f t="shared" si="165"/>
        <v>0</v>
      </c>
      <c r="X2686">
        <f t="shared" si="166"/>
        <v>0</v>
      </c>
      <c r="Y2686" t="str">
        <f t="shared" si="167"/>
        <v>Non-Senior</v>
      </c>
    </row>
    <row r="2687" spans="1:25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164"/>
        <v>61-72 Months</v>
      </c>
      <c r="W2687">
        <f t="shared" si="165"/>
        <v>0</v>
      </c>
      <c r="X2687">
        <f t="shared" si="166"/>
        <v>0</v>
      </c>
      <c r="Y2687" t="str">
        <f t="shared" si="167"/>
        <v>Non-Senior</v>
      </c>
    </row>
    <row r="2688" spans="1:25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164"/>
        <v>13-24 Months</v>
      </c>
      <c r="W2688">
        <f t="shared" si="165"/>
        <v>1</v>
      </c>
      <c r="X2688">
        <f t="shared" si="166"/>
        <v>79.849999999999994</v>
      </c>
      <c r="Y2688" t="str">
        <f t="shared" si="167"/>
        <v>Senior Citizen</v>
      </c>
    </row>
    <row r="2689" spans="1:25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164"/>
        <v>25-36 Months</v>
      </c>
      <c r="W2689">
        <f t="shared" si="165"/>
        <v>0</v>
      </c>
      <c r="X2689">
        <f t="shared" si="166"/>
        <v>0</v>
      </c>
      <c r="Y2689" t="str">
        <f t="shared" si="167"/>
        <v>Non-Senior</v>
      </c>
    </row>
    <row r="2690" spans="1:25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si="164"/>
        <v>0-12 Months</v>
      </c>
      <c r="W2690">
        <f t="shared" si="165"/>
        <v>1</v>
      </c>
      <c r="X2690">
        <f t="shared" si="166"/>
        <v>78.75</v>
      </c>
      <c r="Y2690" t="str">
        <f t="shared" si="167"/>
        <v>Non-Senior</v>
      </c>
    </row>
    <row r="2691" spans="1:25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ref="V2691:V2754" si="168">IF(F2691&lt;=12,"0-12 Months",IF(F2691&lt;=24,"13-24 Months",IF(F2691&lt;=36,"25-36 Months",IF(F2691&lt;=48,"37-48 Months",IF(F2691&lt;=60,"49-60 Months","61-72 Months")))))</f>
        <v>61-72 Months</v>
      </c>
      <c r="W2691">
        <f t="shared" ref="W2691:W2754" si="169">IF(U2691="Yes",1,0)</f>
        <v>0</v>
      </c>
      <c r="X2691">
        <f t="shared" ref="X2691:X2754" si="170">IF(U2691="Yes",S2691,0)</f>
        <v>0</v>
      </c>
      <c r="Y2691" t="str">
        <f t="shared" ref="Y2691:Y2754" si="171">IF(C2691=1,"Senior Citizen","Non-Senior")</f>
        <v>Senior Citizen</v>
      </c>
    </row>
    <row r="2692" spans="1:25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168"/>
        <v>0-12 Months</v>
      </c>
      <c r="W2692">
        <f t="shared" si="169"/>
        <v>1</v>
      </c>
      <c r="X2692">
        <f t="shared" si="170"/>
        <v>80.45</v>
      </c>
      <c r="Y2692" t="str">
        <f t="shared" si="171"/>
        <v>Senior Citizen</v>
      </c>
    </row>
    <row r="2693" spans="1:25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168"/>
        <v>0-12 Months</v>
      </c>
      <c r="W2693">
        <f t="shared" si="169"/>
        <v>0</v>
      </c>
      <c r="X2693">
        <f t="shared" si="170"/>
        <v>0</v>
      </c>
      <c r="Y2693" t="str">
        <f t="shared" si="171"/>
        <v>Non-Senior</v>
      </c>
    </row>
    <row r="2694" spans="1:25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168"/>
        <v>13-24 Months</v>
      </c>
      <c r="W2694">
        <f t="shared" si="169"/>
        <v>0</v>
      </c>
      <c r="X2694">
        <f t="shared" si="170"/>
        <v>0</v>
      </c>
      <c r="Y2694" t="str">
        <f t="shared" si="171"/>
        <v>Non-Senior</v>
      </c>
    </row>
    <row r="2695" spans="1:25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7082</v>
      </c>
      <c r="J2695" t="s">
        <v>7084</v>
      </c>
      <c r="K2695" t="s">
        <v>46</v>
      </c>
      <c r="L2695" t="s">
        <v>7084</v>
      </c>
      <c r="M2695" t="s">
        <v>7084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168"/>
        <v>61-72 Months</v>
      </c>
      <c r="W2695">
        <f t="shared" si="169"/>
        <v>0</v>
      </c>
      <c r="X2695">
        <f t="shared" si="170"/>
        <v>0</v>
      </c>
      <c r="Y2695" t="str">
        <f t="shared" si="171"/>
        <v>Non-Senior</v>
      </c>
    </row>
    <row r="2696" spans="1:25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7082</v>
      </c>
      <c r="J2696" t="s">
        <v>7084</v>
      </c>
      <c r="K2696" t="s">
        <v>46</v>
      </c>
      <c r="L2696" t="s">
        <v>7084</v>
      </c>
      <c r="M2696" t="s">
        <v>7084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168"/>
        <v>0-12 Months</v>
      </c>
      <c r="W2696">
        <f t="shared" si="169"/>
        <v>0</v>
      </c>
      <c r="X2696">
        <f t="shared" si="170"/>
        <v>0</v>
      </c>
      <c r="Y2696" t="str">
        <f t="shared" si="171"/>
        <v>Non-Senior</v>
      </c>
    </row>
    <row r="2697" spans="1:25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168"/>
        <v>49-60 Months</v>
      </c>
      <c r="W2697">
        <f t="shared" si="169"/>
        <v>0</v>
      </c>
      <c r="X2697">
        <f t="shared" si="170"/>
        <v>0</v>
      </c>
      <c r="Y2697" t="str">
        <f t="shared" si="171"/>
        <v>Non-Senior</v>
      </c>
    </row>
    <row r="2698" spans="1:25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168"/>
        <v>61-72 Months</v>
      </c>
      <c r="W2698">
        <f t="shared" si="169"/>
        <v>0</v>
      </c>
      <c r="X2698">
        <f t="shared" si="170"/>
        <v>0</v>
      </c>
      <c r="Y2698" t="str">
        <f t="shared" si="171"/>
        <v>Non-Senior</v>
      </c>
    </row>
    <row r="2699" spans="1:25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168"/>
        <v>61-72 Months</v>
      </c>
      <c r="W2699">
        <f t="shared" si="169"/>
        <v>0</v>
      </c>
      <c r="X2699">
        <f t="shared" si="170"/>
        <v>0</v>
      </c>
      <c r="Y2699" t="str">
        <f t="shared" si="171"/>
        <v>Non-Senior</v>
      </c>
    </row>
    <row r="2700" spans="1:25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7082</v>
      </c>
      <c r="J2700" t="s">
        <v>7084</v>
      </c>
      <c r="K2700" t="s">
        <v>46</v>
      </c>
      <c r="L2700" t="s">
        <v>7084</v>
      </c>
      <c r="M2700" t="s">
        <v>7084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168"/>
        <v>0-12 Months</v>
      </c>
      <c r="W2700">
        <f t="shared" si="169"/>
        <v>0</v>
      </c>
      <c r="X2700">
        <f t="shared" si="170"/>
        <v>0</v>
      </c>
      <c r="Y2700" t="str">
        <f t="shared" si="171"/>
        <v>Non-Senior</v>
      </c>
    </row>
    <row r="2701" spans="1:25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168"/>
        <v>25-36 Months</v>
      </c>
      <c r="W2701">
        <f t="shared" si="169"/>
        <v>0</v>
      </c>
      <c r="X2701">
        <f t="shared" si="170"/>
        <v>0</v>
      </c>
      <c r="Y2701" t="str">
        <f t="shared" si="171"/>
        <v>Senior Citizen</v>
      </c>
    </row>
    <row r="2702" spans="1:25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168"/>
        <v>25-36 Months</v>
      </c>
      <c r="W2702">
        <f t="shared" si="169"/>
        <v>0</v>
      </c>
      <c r="X2702">
        <f t="shared" si="170"/>
        <v>0</v>
      </c>
      <c r="Y2702" t="str">
        <f t="shared" si="171"/>
        <v>Non-Senior</v>
      </c>
    </row>
    <row r="2703" spans="1:25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7082</v>
      </c>
      <c r="J2703" t="s">
        <v>7084</v>
      </c>
      <c r="K2703" t="s">
        <v>46</v>
      </c>
      <c r="L2703" t="s">
        <v>7084</v>
      </c>
      <c r="M2703" t="s">
        <v>7084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168"/>
        <v>61-72 Months</v>
      </c>
      <c r="W2703">
        <f t="shared" si="169"/>
        <v>0</v>
      </c>
      <c r="X2703">
        <f t="shared" si="170"/>
        <v>0</v>
      </c>
      <c r="Y2703" t="str">
        <f t="shared" si="171"/>
        <v>Non-Senior</v>
      </c>
    </row>
    <row r="2704" spans="1:25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168"/>
        <v>0-12 Months</v>
      </c>
      <c r="W2704">
        <f t="shared" si="169"/>
        <v>0</v>
      </c>
      <c r="X2704">
        <f t="shared" si="170"/>
        <v>0</v>
      </c>
      <c r="Y2704" t="str">
        <f t="shared" si="171"/>
        <v>Non-Senior</v>
      </c>
    </row>
    <row r="2705" spans="1:25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168"/>
        <v>0-12 Months</v>
      </c>
      <c r="W2705">
        <f t="shared" si="169"/>
        <v>1</v>
      </c>
      <c r="X2705">
        <f t="shared" si="170"/>
        <v>50.1</v>
      </c>
      <c r="Y2705" t="str">
        <f t="shared" si="171"/>
        <v>Non-Senior</v>
      </c>
    </row>
    <row r="2706" spans="1:25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168"/>
        <v>49-60 Months</v>
      </c>
      <c r="W2706">
        <f t="shared" si="169"/>
        <v>0</v>
      </c>
      <c r="X2706">
        <f t="shared" si="170"/>
        <v>0</v>
      </c>
      <c r="Y2706" t="str">
        <f t="shared" si="171"/>
        <v>Non-Senior</v>
      </c>
    </row>
    <row r="2707" spans="1:25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7082</v>
      </c>
      <c r="J2707" t="s">
        <v>7084</v>
      </c>
      <c r="K2707" t="s">
        <v>46</v>
      </c>
      <c r="L2707" t="s">
        <v>7084</v>
      </c>
      <c r="M2707" t="s">
        <v>7084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168"/>
        <v>61-72 Months</v>
      </c>
      <c r="W2707">
        <f t="shared" si="169"/>
        <v>0</v>
      </c>
      <c r="X2707">
        <f t="shared" si="170"/>
        <v>0</v>
      </c>
      <c r="Y2707" t="str">
        <f t="shared" si="171"/>
        <v>Non-Senior</v>
      </c>
    </row>
    <row r="2708" spans="1:25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168"/>
        <v>0-12 Months</v>
      </c>
      <c r="W2708">
        <f t="shared" si="169"/>
        <v>1</v>
      </c>
      <c r="X2708">
        <f t="shared" si="170"/>
        <v>76.400000000000006</v>
      </c>
      <c r="Y2708" t="str">
        <f t="shared" si="171"/>
        <v>Non-Senior</v>
      </c>
    </row>
    <row r="2709" spans="1:25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168"/>
        <v>0-12 Months</v>
      </c>
      <c r="W2709">
        <f t="shared" si="169"/>
        <v>1</v>
      </c>
      <c r="X2709">
        <f t="shared" si="170"/>
        <v>98.7</v>
      </c>
      <c r="Y2709" t="str">
        <f t="shared" si="171"/>
        <v>Non-Senior</v>
      </c>
    </row>
    <row r="2710" spans="1:25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168"/>
        <v>13-24 Months</v>
      </c>
      <c r="W2710">
        <f t="shared" si="169"/>
        <v>1</v>
      </c>
      <c r="X2710">
        <f t="shared" si="170"/>
        <v>100.8</v>
      </c>
      <c r="Y2710" t="str">
        <f t="shared" si="171"/>
        <v>Senior Citizen</v>
      </c>
    </row>
    <row r="2711" spans="1:25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168"/>
        <v>37-48 Months</v>
      </c>
      <c r="W2711">
        <f t="shared" si="169"/>
        <v>0</v>
      </c>
      <c r="X2711">
        <f t="shared" si="170"/>
        <v>0</v>
      </c>
      <c r="Y2711" t="str">
        <f t="shared" si="171"/>
        <v>Senior Citizen</v>
      </c>
    </row>
    <row r="2712" spans="1:25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7082</v>
      </c>
      <c r="J2712" t="s">
        <v>7084</v>
      </c>
      <c r="K2712" t="s">
        <v>46</v>
      </c>
      <c r="L2712" t="s">
        <v>7084</v>
      </c>
      <c r="M2712" t="s">
        <v>7084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168"/>
        <v>13-24 Months</v>
      </c>
      <c r="W2712">
        <f t="shared" si="169"/>
        <v>0</v>
      </c>
      <c r="X2712">
        <f t="shared" si="170"/>
        <v>0</v>
      </c>
      <c r="Y2712" t="str">
        <f t="shared" si="171"/>
        <v>Non-Senior</v>
      </c>
    </row>
    <row r="2713" spans="1:25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168"/>
        <v>25-36 Months</v>
      </c>
      <c r="W2713">
        <f t="shared" si="169"/>
        <v>1</v>
      </c>
      <c r="X2713">
        <f t="shared" si="170"/>
        <v>90.1</v>
      </c>
      <c r="Y2713" t="str">
        <f t="shared" si="171"/>
        <v>Non-Senior</v>
      </c>
    </row>
    <row r="2714" spans="1:25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168"/>
        <v>0-12 Months</v>
      </c>
      <c r="W2714">
        <f t="shared" si="169"/>
        <v>0</v>
      </c>
      <c r="X2714">
        <f t="shared" si="170"/>
        <v>0</v>
      </c>
      <c r="Y2714" t="str">
        <f t="shared" si="171"/>
        <v>Non-Senior</v>
      </c>
    </row>
    <row r="2715" spans="1:25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7082</v>
      </c>
      <c r="J2715" t="s">
        <v>7084</v>
      </c>
      <c r="K2715" t="s">
        <v>46</v>
      </c>
      <c r="L2715" t="s">
        <v>7084</v>
      </c>
      <c r="M2715" t="s">
        <v>7084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168"/>
        <v>0-12 Months</v>
      </c>
      <c r="W2715">
        <f t="shared" si="169"/>
        <v>0</v>
      </c>
      <c r="X2715">
        <f t="shared" si="170"/>
        <v>0</v>
      </c>
      <c r="Y2715" t="str">
        <f t="shared" si="171"/>
        <v>Non-Senior</v>
      </c>
    </row>
    <row r="2716" spans="1:25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168"/>
        <v>49-60 Months</v>
      </c>
      <c r="W2716">
        <f t="shared" si="169"/>
        <v>0</v>
      </c>
      <c r="X2716">
        <f t="shared" si="170"/>
        <v>0</v>
      </c>
      <c r="Y2716" t="str">
        <f t="shared" si="171"/>
        <v>Non-Senior</v>
      </c>
    </row>
    <row r="2717" spans="1:25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7082</v>
      </c>
      <c r="J2717" t="s">
        <v>7084</v>
      </c>
      <c r="K2717" t="s">
        <v>46</v>
      </c>
      <c r="L2717" t="s">
        <v>7084</v>
      </c>
      <c r="M2717" t="s">
        <v>7084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168"/>
        <v>37-48 Months</v>
      </c>
      <c r="W2717">
        <f t="shared" si="169"/>
        <v>0</v>
      </c>
      <c r="X2717">
        <f t="shared" si="170"/>
        <v>0</v>
      </c>
      <c r="Y2717" t="str">
        <f t="shared" si="171"/>
        <v>Non-Senior</v>
      </c>
    </row>
    <row r="2718" spans="1:25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168"/>
        <v>13-24 Months</v>
      </c>
      <c r="W2718">
        <f t="shared" si="169"/>
        <v>0</v>
      </c>
      <c r="X2718">
        <f t="shared" si="170"/>
        <v>0</v>
      </c>
      <c r="Y2718" t="str">
        <f t="shared" si="171"/>
        <v>Non-Senior</v>
      </c>
    </row>
    <row r="2719" spans="1:25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168"/>
        <v>61-72 Months</v>
      </c>
      <c r="W2719">
        <f t="shared" si="169"/>
        <v>0</v>
      </c>
      <c r="X2719">
        <f t="shared" si="170"/>
        <v>0</v>
      </c>
      <c r="Y2719" t="str">
        <f t="shared" si="171"/>
        <v>Non-Senior</v>
      </c>
    </row>
    <row r="2720" spans="1:25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168"/>
        <v>61-72 Months</v>
      </c>
      <c r="W2720">
        <f t="shared" si="169"/>
        <v>0</v>
      </c>
      <c r="X2720">
        <f t="shared" si="170"/>
        <v>0</v>
      </c>
      <c r="Y2720" t="str">
        <f t="shared" si="171"/>
        <v>Non-Senior</v>
      </c>
    </row>
    <row r="2721" spans="1:25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168"/>
        <v>49-60 Months</v>
      </c>
      <c r="W2721">
        <f t="shared" si="169"/>
        <v>0</v>
      </c>
      <c r="X2721">
        <f t="shared" si="170"/>
        <v>0</v>
      </c>
      <c r="Y2721" t="str">
        <f t="shared" si="171"/>
        <v>Senior Citizen</v>
      </c>
    </row>
    <row r="2722" spans="1:25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168"/>
        <v>13-24 Months</v>
      </c>
      <c r="W2722">
        <f t="shared" si="169"/>
        <v>1</v>
      </c>
      <c r="X2722">
        <f t="shared" si="170"/>
        <v>51.55</v>
      </c>
      <c r="Y2722" t="str">
        <f t="shared" si="171"/>
        <v>Non-Senior</v>
      </c>
    </row>
    <row r="2723" spans="1:25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168"/>
        <v>0-12 Months</v>
      </c>
      <c r="W2723">
        <f t="shared" si="169"/>
        <v>1</v>
      </c>
      <c r="X2723">
        <f t="shared" si="170"/>
        <v>79.25</v>
      </c>
      <c r="Y2723" t="str">
        <f t="shared" si="171"/>
        <v>Senior Citizen</v>
      </c>
    </row>
    <row r="2724" spans="1:25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7082</v>
      </c>
      <c r="J2724" t="s">
        <v>7084</v>
      </c>
      <c r="K2724" t="s">
        <v>46</v>
      </c>
      <c r="L2724" t="s">
        <v>7084</v>
      </c>
      <c r="M2724" t="s">
        <v>7084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168"/>
        <v>25-36 Months</v>
      </c>
      <c r="W2724">
        <f t="shared" si="169"/>
        <v>0</v>
      </c>
      <c r="X2724">
        <f t="shared" si="170"/>
        <v>0</v>
      </c>
      <c r="Y2724" t="str">
        <f t="shared" si="171"/>
        <v>Non-Senior</v>
      </c>
    </row>
    <row r="2725" spans="1:25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7082</v>
      </c>
      <c r="J2725" t="s">
        <v>7084</v>
      </c>
      <c r="K2725" t="s">
        <v>46</v>
      </c>
      <c r="L2725" t="s">
        <v>7084</v>
      </c>
      <c r="M2725" t="s">
        <v>7084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168"/>
        <v>13-24 Months</v>
      </c>
      <c r="W2725">
        <f t="shared" si="169"/>
        <v>0</v>
      </c>
      <c r="X2725">
        <f t="shared" si="170"/>
        <v>0</v>
      </c>
      <c r="Y2725" t="str">
        <f t="shared" si="171"/>
        <v>Non-Senior</v>
      </c>
    </row>
    <row r="2726" spans="1:25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7082</v>
      </c>
      <c r="J2726" t="s">
        <v>7084</v>
      </c>
      <c r="K2726" t="s">
        <v>46</v>
      </c>
      <c r="L2726" t="s">
        <v>7084</v>
      </c>
      <c r="M2726" t="s">
        <v>7084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168"/>
        <v>61-72 Months</v>
      </c>
      <c r="W2726">
        <f t="shared" si="169"/>
        <v>0</v>
      </c>
      <c r="X2726">
        <f t="shared" si="170"/>
        <v>0</v>
      </c>
      <c r="Y2726" t="str">
        <f t="shared" si="171"/>
        <v>Non-Senior</v>
      </c>
    </row>
    <row r="2727" spans="1:25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168"/>
        <v>0-12 Months</v>
      </c>
      <c r="W2727">
        <f t="shared" si="169"/>
        <v>0</v>
      </c>
      <c r="X2727">
        <f t="shared" si="170"/>
        <v>0</v>
      </c>
      <c r="Y2727" t="str">
        <f t="shared" si="171"/>
        <v>Non-Senior</v>
      </c>
    </row>
    <row r="2728" spans="1:25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7082</v>
      </c>
      <c r="J2728" t="s">
        <v>7084</v>
      </c>
      <c r="K2728" t="s">
        <v>46</v>
      </c>
      <c r="L2728" t="s">
        <v>7084</v>
      </c>
      <c r="M2728" t="s">
        <v>7084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168"/>
        <v>25-36 Months</v>
      </c>
      <c r="W2728">
        <f t="shared" si="169"/>
        <v>0</v>
      </c>
      <c r="X2728">
        <f t="shared" si="170"/>
        <v>0</v>
      </c>
      <c r="Y2728" t="str">
        <f t="shared" si="171"/>
        <v>Non-Senior</v>
      </c>
    </row>
    <row r="2729" spans="1:25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168"/>
        <v>0-12 Months</v>
      </c>
      <c r="W2729">
        <f t="shared" si="169"/>
        <v>1</v>
      </c>
      <c r="X2729">
        <f t="shared" si="170"/>
        <v>94.85</v>
      </c>
      <c r="Y2729" t="str">
        <f t="shared" si="171"/>
        <v>Non-Senior</v>
      </c>
    </row>
    <row r="2730" spans="1:25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168"/>
        <v>25-36 Months</v>
      </c>
      <c r="W2730">
        <f t="shared" si="169"/>
        <v>0</v>
      </c>
      <c r="X2730">
        <f t="shared" si="170"/>
        <v>0</v>
      </c>
      <c r="Y2730" t="str">
        <f t="shared" si="171"/>
        <v>Non-Senior</v>
      </c>
    </row>
    <row r="2731" spans="1:25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168"/>
        <v>0-12 Months</v>
      </c>
      <c r="W2731">
        <f t="shared" si="169"/>
        <v>1</v>
      </c>
      <c r="X2731">
        <f t="shared" si="170"/>
        <v>85.7</v>
      </c>
      <c r="Y2731" t="str">
        <f t="shared" si="171"/>
        <v>Non-Senior</v>
      </c>
    </row>
    <row r="2732" spans="1:25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168"/>
        <v>49-60 Months</v>
      </c>
      <c r="W2732">
        <f t="shared" si="169"/>
        <v>0</v>
      </c>
      <c r="X2732">
        <f t="shared" si="170"/>
        <v>0</v>
      </c>
      <c r="Y2732" t="str">
        <f t="shared" si="171"/>
        <v>Non-Senior</v>
      </c>
    </row>
    <row r="2733" spans="1:25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168"/>
        <v>61-72 Months</v>
      </c>
      <c r="W2733">
        <f t="shared" si="169"/>
        <v>0</v>
      </c>
      <c r="X2733">
        <f t="shared" si="170"/>
        <v>0</v>
      </c>
      <c r="Y2733" t="str">
        <f t="shared" si="171"/>
        <v>Non-Senior</v>
      </c>
    </row>
    <row r="2734" spans="1:25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7082</v>
      </c>
      <c r="J2734" t="s">
        <v>7084</v>
      </c>
      <c r="K2734" t="s">
        <v>46</v>
      </c>
      <c r="L2734" t="s">
        <v>7084</v>
      </c>
      <c r="M2734" t="s">
        <v>7084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168"/>
        <v>0-12 Months</v>
      </c>
      <c r="W2734">
        <f t="shared" si="169"/>
        <v>0</v>
      </c>
      <c r="X2734">
        <f t="shared" si="170"/>
        <v>0</v>
      </c>
      <c r="Y2734" t="str">
        <f t="shared" si="171"/>
        <v>Non-Senior</v>
      </c>
    </row>
    <row r="2735" spans="1:25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168"/>
        <v>0-12 Months</v>
      </c>
      <c r="W2735">
        <f t="shared" si="169"/>
        <v>0</v>
      </c>
      <c r="X2735">
        <f t="shared" si="170"/>
        <v>0</v>
      </c>
      <c r="Y2735" t="str">
        <f t="shared" si="171"/>
        <v>Non-Senior</v>
      </c>
    </row>
    <row r="2736" spans="1:25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7082</v>
      </c>
      <c r="J2736" t="s">
        <v>7084</v>
      </c>
      <c r="K2736" t="s">
        <v>46</v>
      </c>
      <c r="L2736" t="s">
        <v>7084</v>
      </c>
      <c r="M2736" t="s">
        <v>7084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168"/>
        <v>0-12 Months</v>
      </c>
      <c r="W2736">
        <f t="shared" si="169"/>
        <v>0</v>
      </c>
      <c r="X2736">
        <f t="shared" si="170"/>
        <v>0</v>
      </c>
      <c r="Y2736" t="str">
        <f t="shared" si="171"/>
        <v>Non-Senior</v>
      </c>
    </row>
    <row r="2737" spans="1:25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168"/>
        <v>49-60 Months</v>
      </c>
      <c r="W2737">
        <f t="shared" si="169"/>
        <v>0</v>
      </c>
      <c r="X2737">
        <f t="shared" si="170"/>
        <v>0</v>
      </c>
      <c r="Y2737" t="str">
        <f t="shared" si="171"/>
        <v>Senior Citizen</v>
      </c>
    </row>
    <row r="2738" spans="1:25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168"/>
        <v>49-60 Months</v>
      </c>
      <c r="W2738">
        <f t="shared" si="169"/>
        <v>0</v>
      </c>
      <c r="X2738">
        <f t="shared" si="170"/>
        <v>0</v>
      </c>
      <c r="Y2738" t="str">
        <f t="shared" si="171"/>
        <v>Senior Citizen</v>
      </c>
    </row>
    <row r="2739" spans="1:25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168"/>
        <v>61-72 Months</v>
      </c>
      <c r="W2739">
        <f t="shared" si="169"/>
        <v>0</v>
      </c>
      <c r="X2739">
        <f t="shared" si="170"/>
        <v>0</v>
      </c>
      <c r="Y2739" t="str">
        <f t="shared" si="171"/>
        <v>Non-Senior</v>
      </c>
    </row>
    <row r="2740" spans="1:25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168"/>
        <v>37-48 Months</v>
      </c>
      <c r="W2740">
        <f t="shared" si="169"/>
        <v>0</v>
      </c>
      <c r="X2740">
        <f t="shared" si="170"/>
        <v>0</v>
      </c>
      <c r="Y2740" t="str">
        <f t="shared" si="171"/>
        <v>Non-Senior</v>
      </c>
    </row>
    <row r="2741" spans="1:25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168"/>
        <v>61-72 Months</v>
      </c>
      <c r="W2741">
        <f t="shared" si="169"/>
        <v>0</v>
      </c>
      <c r="X2741">
        <f t="shared" si="170"/>
        <v>0</v>
      </c>
      <c r="Y2741" t="str">
        <f t="shared" si="171"/>
        <v>Non-Senior</v>
      </c>
    </row>
    <row r="2742" spans="1:25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168"/>
        <v>0-12 Months</v>
      </c>
      <c r="W2742">
        <f t="shared" si="169"/>
        <v>1</v>
      </c>
      <c r="X2742">
        <f t="shared" si="170"/>
        <v>44.4</v>
      </c>
      <c r="Y2742" t="str">
        <f t="shared" si="171"/>
        <v>Non-Senior</v>
      </c>
    </row>
    <row r="2743" spans="1:25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168"/>
        <v>0-12 Months</v>
      </c>
      <c r="W2743">
        <f t="shared" si="169"/>
        <v>1</v>
      </c>
      <c r="X2743">
        <f t="shared" si="170"/>
        <v>89.5</v>
      </c>
      <c r="Y2743" t="str">
        <f t="shared" si="171"/>
        <v>Senior Citizen</v>
      </c>
    </row>
    <row r="2744" spans="1:25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168"/>
        <v>61-72 Months</v>
      </c>
      <c r="W2744">
        <f t="shared" si="169"/>
        <v>0</v>
      </c>
      <c r="X2744">
        <f t="shared" si="170"/>
        <v>0</v>
      </c>
      <c r="Y2744" t="str">
        <f t="shared" si="171"/>
        <v>Non-Senior</v>
      </c>
    </row>
    <row r="2745" spans="1:25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168"/>
        <v>61-72 Months</v>
      </c>
      <c r="W2745">
        <f t="shared" si="169"/>
        <v>0</v>
      </c>
      <c r="X2745">
        <f t="shared" si="170"/>
        <v>0</v>
      </c>
      <c r="Y2745" t="str">
        <f t="shared" si="171"/>
        <v>Non-Senior</v>
      </c>
    </row>
    <row r="2746" spans="1:25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168"/>
        <v>37-48 Months</v>
      </c>
      <c r="W2746">
        <f t="shared" si="169"/>
        <v>0</v>
      </c>
      <c r="X2746">
        <f t="shared" si="170"/>
        <v>0</v>
      </c>
      <c r="Y2746" t="str">
        <f t="shared" si="171"/>
        <v>Non-Senior</v>
      </c>
    </row>
    <row r="2747" spans="1:25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168"/>
        <v>0-12 Months</v>
      </c>
      <c r="W2747">
        <f t="shared" si="169"/>
        <v>1</v>
      </c>
      <c r="X2747">
        <f t="shared" si="170"/>
        <v>86.05</v>
      </c>
      <c r="Y2747" t="str">
        <f t="shared" si="171"/>
        <v>Senior Citizen</v>
      </c>
    </row>
    <row r="2748" spans="1:25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7082</v>
      </c>
      <c r="J2748" t="s">
        <v>7084</v>
      </c>
      <c r="K2748" t="s">
        <v>46</v>
      </c>
      <c r="L2748" t="s">
        <v>7084</v>
      </c>
      <c r="M2748" t="s">
        <v>7084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168"/>
        <v>25-36 Months</v>
      </c>
      <c r="W2748">
        <f t="shared" si="169"/>
        <v>0</v>
      </c>
      <c r="X2748">
        <f t="shared" si="170"/>
        <v>0</v>
      </c>
      <c r="Y2748" t="str">
        <f t="shared" si="171"/>
        <v>Non-Senior</v>
      </c>
    </row>
    <row r="2749" spans="1:25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7082</v>
      </c>
      <c r="J2749" t="s">
        <v>7084</v>
      </c>
      <c r="K2749" t="s">
        <v>46</v>
      </c>
      <c r="L2749" t="s">
        <v>7084</v>
      </c>
      <c r="M2749" t="s">
        <v>7084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168"/>
        <v>0-12 Months</v>
      </c>
      <c r="W2749">
        <f t="shared" si="169"/>
        <v>0</v>
      </c>
      <c r="X2749">
        <f t="shared" si="170"/>
        <v>0</v>
      </c>
      <c r="Y2749" t="str">
        <f t="shared" si="171"/>
        <v>Non-Senior</v>
      </c>
    </row>
    <row r="2750" spans="1:25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168"/>
        <v>0-12 Months</v>
      </c>
      <c r="W2750">
        <f t="shared" si="169"/>
        <v>1</v>
      </c>
      <c r="X2750">
        <f t="shared" si="170"/>
        <v>44.55</v>
      </c>
      <c r="Y2750" t="str">
        <f t="shared" si="171"/>
        <v>Non-Senior</v>
      </c>
    </row>
    <row r="2751" spans="1:25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168"/>
        <v>25-36 Months</v>
      </c>
      <c r="W2751">
        <f t="shared" si="169"/>
        <v>0</v>
      </c>
      <c r="X2751">
        <f t="shared" si="170"/>
        <v>0</v>
      </c>
      <c r="Y2751" t="str">
        <f t="shared" si="171"/>
        <v>Non-Senior</v>
      </c>
    </row>
    <row r="2752" spans="1:25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7082</v>
      </c>
      <c r="J2752" t="s">
        <v>7084</v>
      </c>
      <c r="K2752" t="s">
        <v>46</v>
      </c>
      <c r="L2752" t="s">
        <v>7084</v>
      </c>
      <c r="M2752" t="s">
        <v>7084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168"/>
        <v>0-12 Months</v>
      </c>
      <c r="W2752">
        <f t="shared" si="169"/>
        <v>0</v>
      </c>
      <c r="X2752">
        <f t="shared" si="170"/>
        <v>0</v>
      </c>
      <c r="Y2752" t="str">
        <f t="shared" si="171"/>
        <v>Non-Senior</v>
      </c>
    </row>
    <row r="2753" spans="1:25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168"/>
        <v>13-24 Months</v>
      </c>
      <c r="W2753">
        <f t="shared" si="169"/>
        <v>0</v>
      </c>
      <c r="X2753">
        <f t="shared" si="170"/>
        <v>0</v>
      </c>
      <c r="Y2753" t="str">
        <f t="shared" si="171"/>
        <v>Non-Senior</v>
      </c>
    </row>
    <row r="2754" spans="1:25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si="168"/>
        <v>25-36 Months</v>
      </c>
      <c r="W2754">
        <f t="shared" si="169"/>
        <v>1</v>
      </c>
      <c r="X2754">
        <f t="shared" si="170"/>
        <v>35.4</v>
      </c>
      <c r="Y2754" t="str">
        <f t="shared" si="171"/>
        <v>Non-Senior</v>
      </c>
    </row>
    <row r="2755" spans="1:25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ref="V2755:V2818" si="172">IF(F2755&lt;=12,"0-12 Months",IF(F2755&lt;=24,"13-24 Months",IF(F2755&lt;=36,"25-36 Months",IF(F2755&lt;=48,"37-48 Months",IF(F2755&lt;=60,"49-60 Months","61-72 Months")))))</f>
        <v>0-12 Months</v>
      </c>
      <c r="W2755">
        <f t="shared" ref="W2755:W2818" si="173">IF(U2755="Yes",1,0)</f>
        <v>1</v>
      </c>
      <c r="X2755">
        <f t="shared" ref="X2755:X2818" si="174">IF(U2755="Yes",S2755,0)</f>
        <v>95.65</v>
      </c>
      <c r="Y2755" t="str">
        <f t="shared" ref="Y2755:Y2818" si="175">IF(C2755=1,"Senior Citizen","Non-Senior")</f>
        <v>Non-Senior</v>
      </c>
    </row>
    <row r="2756" spans="1:25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172"/>
        <v>0-12 Months</v>
      </c>
      <c r="W2756">
        <f t="shared" si="173"/>
        <v>0</v>
      </c>
      <c r="X2756">
        <f t="shared" si="174"/>
        <v>0</v>
      </c>
      <c r="Y2756" t="str">
        <f t="shared" si="175"/>
        <v>Non-Senior</v>
      </c>
    </row>
    <row r="2757" spans="1:25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7082</v>
      </c>
      <c r="J2757" t="s">
        <v>7084</v>
      </c>
      <c r="K2757" t="s">
        <v>46</v>
      </c>
      <c r="L2757" t="s">
        <v>7084</v>
      </c>
      <c r="M2757" t="s">
        <v>7084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172"/>
        <v>37-48 Months</v>
      </c>
      <c r="W2757">
        <f t="shared" si="173"/>
        <v>0</v>
      </c>
      <c r="X2757">
        <f t="shared" si="174"/>
        <v>0</v>
      </c>
      <c r="Y2757" t="str">
        <f t="shared" si="175"/>
        <v>Non-Senior</v>
      </c>
    </row>
    <row r="2758" spans="1:25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7082</v>
      </c>
      <c r="J2758" t="s">
        <v>7084</v>
      </c>
      <c r="K2758" t="s">
        <v>46</v>
      </c>
      <c r="L2758" t="s">
        <v>7084</v>
      </c>
      <c r="M2758" t="s">
        <v>7084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172"/>
        <v>0-12 Months</v>
      </c>
      <c r="W2758">
        <f t="shared" si="173"/>
        <v>1</v>
      </c>
      <c r="X2758">
        <f t="shared" si="174"/>
        <v>20.95</v>
      </c>
      <c r="Y2758" t="str">
        <f t="shared" si="175"/>
        <v>Non-Senior</v>
      </c>
    </row>
    <row r="2759" spans="1:25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172"/>
        <v>61-72 Months</v>
      </c>
      <c r="W2759">
        <f t="shared" si="173"/>
        <v>0</v>
      </c>
      <c r="X2759">
        <f t="shared" si="174"/>
        <v>0</v>
      </c>
      <c r="Y2759" t="str">
        <f t="shared" si="175"/>
        <v>Non-Senior</v>
      </c>
    </row>
    <row r="2760" spans="1:25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7082</v>
      </c>
      <c r="J2760" t="s">
        <v>7084</v>
      </c>
      <c r="K2760" t="s">
        <v>46</v>
      </c>
      <c r="L2760" t="s">
        <v>7084</v>
      </c>
      <c r="M2760" t="s">
        <v>7084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172"/>
        <v>0-12 Months</v>
      </c>
      <c r="W2760">
        <f t="shared" si="173"/>
        <v>0</v>
      </c>
      <c r="X2760">
        <f t="shared" si="174"/>
        <v>0</v>
      </c>
      <c r="Y2760" t="str">
        <f t="shared" si="175"/>
        <v>Non-Senior</v>
      </c>
    </row>
    <row r="2761" spans="1:25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7082</v>
      </c>
      <c r="J2761" t="s">
        <v>7084</v>
      </c>
      <c r="K2761" t="s">
        <v>46</v>
      </c>
      <c r="L2761" t="s">
        <v>7084</v>
      </c>
      <c r="M2761" t="s">
        <v>7084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172"/>
        <v>0-12 Months</v>
      </c>
      <c r="W2761">
        <f t="shared" si="173"/>
        <v>0</v>
      </c>
      <c r="X2761">
        <f t="shared" si="174"/>
        <v>0</v>
      </c>
      <c r="Y2761" t="str">
        <f t="shared" si="175"/>
        <v>Non-Senior</v>
      </c>
    </row>
    <row r="2762" spans="1:25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7082</v>
      </c>
      <c r="J2762" t="s">
        <v>7084</v>
      </c>
      <c r="K2762" t="s">
        <v>46</v>
      </c>
      <c r="L2762" t="s">
        <v>7084</v>
      </c>
      <c r="M2762" t="s">
        <v>7084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172"/>
        <v>25-36 Months</v>
      </c>
      <c r="W2762">
        <f t="shared" si="173"/>
        <v>0</v>
      </c>
      <c r="X2762">
        <f t="shared" si="174"/>
        <v>0</v>
      </c>
      <c r="Y2762" t="str">
        <f t="shared" si="175"/>
        <v>Non-Senior</v>
      </c>
    </row>
    <row r="2763" spans="1:25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172"/>
        <v>0-12 Months</v>
      </c>
      <c r="W2763">
        <f t="shared" si="173"/>
        <v>1</v>
      </c>
      <c r="X2763">
        <f t="shared" si="174"/>
        <v>34.700000000000003</v>
      </c>
      <c r="Y2763" t="str">
        <f t="shared" si="175"/>
        <v>Senior Citizen</v>
      </c>
    </row>
    <row r="2764" spans="1:25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172"/>
        <v>25-36 Months</v>
      </c>
      <c r="W2764">
        <f t="shared" si="173"/>
        <v>0</v>
      </c>
      <c r="X2764">
        <f t="shared" si="174"/>
        <v>0</v>
      </c>
      <c r="Y2764" t="str">
        <f t="shared" si="175"/>
        <v>Non-Senior</v>
      </c>
    </row>
    <row r="2765" spans="1:25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172"/>
        <v>61-72 Months</v>
      </c>
      <c r="W2765">
        <f t="shared" si="173"/>
        <v>0</v>
      </c>
      <c r="X2765">
        <f t="shared" si="174"/>
        <v>0</v>
      </c>
      <c r="Y2765" t="str">
        <f t="shared" si="175"/>
        <v>Non-Senior</v>
      </c>
    </row>
    <row r="2766" spans="1:25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172"/>
        <v>25-36 Months</v>
      </c>
      <c r="W2766">
        <f t="shared" si="173"/>
        <v>0</v>
      </c>
      <c r="X2766">
        <f t="shared" si="174"/>
        <v>0</v>
      </c>
      <c r="Y2766" t="str">
        <f t="shared" si="175"/>
        <v>Non-Senior</v>
      </c>
    </row>
    <row r="2767" spans="1:25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172"/>
        <v>13-24 Months</v>
      </c>
      <c r="W2767">
        <f t="shared" si="173"/>
        <v>0</v>
      </c>
      <c r="X2767">
        <f t="shared" si="174"/>
        <v>0</v>
      </c>
      <c r="Y2767" t="str">
        <f t="shared" si="175"/>
        <v>Non-Senior</v>
      </c>
    </row>
    <row r="2768" spans="1:25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172"/>
        <v>61-72 Months</v>
      </c>
      <c r="W2768">
        <f t="shared" si="173"/>
        <v>0</v>
      </c>
      <c r="X2768">
        <f t="shared" si="174"/>
        <v>0</v>
      </c>
      <c r="Y2768" t="str">
        <f t="shared" si="175"/>
        <v>Non-Senior</v>
      </c>
    </row>
    <row r="2769" spans="1:25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172"/>
        <v>37-48 Months</v>
      </c>
      <c r="W2769">
        <f t="shared" si="173"/>
        <v>0</v>
      </c>
      <c r="X2769">
        <f t="shared" si="174"/>
        <v>0</v>
      </c>
      <c r="Y2769" t="str">
        <f t="shared" si="175"/>
        <v>Non-Senior</v>
      </c>
    </row>
    <row r="2770" spans="1:25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7082</v>
      </c>
      <c r="J2770" t="s">
        <v>7084</v>
      </c>
      <c r="K2770" t="s">
        <v>46</v>
      </c>
      <c r="L2770" t="s">
        <v>7084</v>
      </c>
      <c r="M2770" t="s">
        <v>7084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172"/>
        <v>0-12 Months</v>
      </c>
      <c r="W2770">
        <f t="shared" si="173"/>
        <v>0</v>
      </c>
      <c r="X2770">
        <f t="shared" si="174"/>
        <v>0</v>
      </c>
      <c r="Y2770" t="str">
        <f t="shared" si="175"/>
        <v>Non-Senior</v>
      </c>
    </row>
    <row r="2771" spans="1:25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7082</v>
      </c>
      <c r="J2771" t="s">
        <v>7084</v>
      </c>
      <c r="K2771" t="s">
        <v>46</v>
      </c>
      <c r="L2771" t="s">
        <v>7084</v>
      </c>
      <c r="M2771" t="s">
        <v>7084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172"/>
        <v>13-24 Months</v>
      </c>
      <c r="W2771">
        <f t="shared" si="173"/>
        <v>1</v>
      </c>
      <c r="X2771">
        <f t="shared" si="174"/>
        <v>19.75</v>
      </c>
      <c r="Y2771" t="str">
        <f t="shared" si="175"/>
        <v>Non-Senior</v>
      </c>
    </row>
    <row r="2772" spans="1:25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172"/>
        <v>13-24 Months</v>
      </c>
      <c r="W2772">
        <f t="shared" si="173"/>
        <v>1</v>
      </c>
      <c r="X2772">
        <f t="shared" si="174"/>
        <v>92.55</v>
      </c>
      <c r="Y2772" t="str">
        <f t="shared" si="175"/>
        <v>Non-Senior</v>
      </c>
    </row>
    <row r="2773" spans="1:25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172"/>
        <v>13-24 Months</v>
      </c>
      <c r="W2773">
        <f t="shared" si="173"/>
        <v>0</v>
      </c>
      <c r="X2773">
        <f t="shared" si="174"/>
        <v>0</v>
      </c>
      <c r="Y2773" t="str">
        <f t="shared" si="175"/>
        <v>Non-Senior</v>
      </c>
    </row>
    <row r="2774" spans="1:25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172"/>
        <v>61-72 Months</v>
      </c>
      <c r="W2774">
        <f t="shared" si="173"/>
        <v>0</v>
      </c>
      <c r="X2774">
        <f t="shared" si="174"/>
        <v>0</v>
      </c>
      <c r="Y2774" t="str">
        <f t="shared" si="175"/>
        <v>Non-Senior</v>
      </c>
    </row>
    <row r="2775" spans="1:25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172"/>
        <v>13-24 Months</v>
      </c>
      <c r="W2775">
        <f t="shared" si="173"/>
        <v>0</v>
      </c>
      <c r="X2775">
        <f t="shared" si="174"/>
        <v>0</v>
      </c>
      <c r="Y2775" t="str">
        <f t="shared" si="175"/>
        <v>Non-Senior</v>
      </c>
    </row>
    <row r="2776" spans="1:25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172"/>
        <v>0-12 Months</v>
      </c>
      <c r="W2776">
        <f t="shared" si="173"/>
        <v>0</v>
      </c>
      <c r="X2776">
        <f t="shared" si="174"/>
        <v>0</v>
      </c>
      <c r="Y2776" t="str">
        <f t="shared" si="175"/>
        <v>Non-Senior</v>
      </c>
    </row>
    <row r="2777" spans="1:25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172"/>
        <v>49-60 Months</v>
      </c>
      <c r="W2777">
        <f t="shared" si="173"/>
        <v>1</v>
      </c>
      <c r="X2777">
        <f t="shared" si="174"/>
        <v>60.05</v>
      </c>
      <c r="Y2777" t="str">
        <f t="shared" si="175"/>
        <v>Senior Citizen</v>
      </c>
    </row>
    <row r="2778" spans="1:25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172"/>
        <v>13-24 Months</v>
      </c>
      <c r="W2778">
        <f t="shared" si="173"/>
        <v>1</v>
      </c>
      <c r="X2778">
        <f t="shared" si="174"/>
        <v>74.3</v>
      </c>
      <c r="Y2778" t="str">
        <f t="shared" si="175"/>
        <v>Senior Citizen</v>
      </c>
    </row>
    <row r="2779" spans="1:25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7082</v>
      </c>
      <c r="J2779" t="s">
        <v>7084</v>
      </c>
      <c r="K2779" t="s">
        <v>46</v>
      </c>
      <c r="L2779" t="s">
        <v>7084</v>
      </c>
      <c r="M2779" t="s">
        <v>7084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172"/>
        <v>0-12 Months</v>
      </c>
      <c r="W2779">
        <f t="shared" si="173"/>
        <v>0</v>
      </c>
      <c r="X2779">
        <f t="shared" si="174"/>
        <v>0</v>
      </c>
      <c r="Y2779" t="str">
        <f t="shared" si="175"/>
        <v>Non-Senior</v>
      </c>
    </row>
    <row r="2780" spans="1:25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172"/>
        <v>13-24 Months</v>
      </c>
      <c r="W2780">
        <f t="shared" si="173"/>
        <v>0</v>
      </c>
      <c r="X2780">
        <f t="shared" si="174"/>
        <v>0</v>
      </c>
      <c r="Y2780" t="str">
        <f t="shared" si="175"/>
        <v>Non-Senior</v>
      </c>
    </row>
    <row r="2781" spans="1:25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172"/>
        <v>0-12 Months</v>
      </c>
      <c r="W2781">
        <f t="shared" si="173"/>
        <v>1</v>
      </c>
      <c r="X2781">
        <f t="shared" si="174"/>
        <v>85.35</v>
      </c>
      <c r="Y2781" t="str">
        <f t="shared" si="175"/>
        <v>Non-Senior</v>
      </c>
    </row>
    <row r="2782" spans="1:25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172"/>
        <v>25-36 Months</v>
      </c>
      <c r="W2782">
        <f t="shared" si="173"/>
        <v>1</v>
      </c>
      <c r="X2782">
        <f t="shared" si="174"/>
        <v>74.3</v>
      </c>
      <c r="Y2782" t="str">
        <f t="shared" si="175"/>
        <v>Non-Senior</v>
      </c>
    </row>
    <row r="2783" spans="1:25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172"/>
        <v>0-12 Months</v>
      </c>
      <c r="W2783">
        <f t="shared" si="173"/>
        <v>0</v>
      </c>
      <c r="X2783">
        <f t="shared" si="174"/>
        <v>0</v>
      </c>
      <c r="Y2783" t="str">
        <f t="shared" si="175"/>
        <v>Senior Citizen</v>
      </c>
    </row>
    <row r="2784" spans="1:25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172"/>
        <v>37-48 Months</v>
      </c>
      <c r="W2784">
        <f t="shared" si="173"/>
        <v>0</v>
      </c>
      <c r="X2784">
        <f t="shared" si="174"/>
        <v>0</v>
      </c>
      <c r="Y2784" t="str">
        <f t="shared" si="175"/>
        <v>Non-Senior</v>
      </c>
    </row>
    <row r="2785" spans="1:25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172"/>
        <v>37-48 Months</v>
      </c>
      <c r="W2785">
        <f t="shared" si="173"/>
        <v>0</v>
      </c>
      <c r="X2785">
        <f t="shared" si="174"/>
        <v>0</v>
      </c>
      <c r="Y2785" t="str">
        <f t="shared" si="175"/>
        <v>Non-Senior</v>
      </c>
    </row>
    <row r="2786" spans="1:25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172"/>
        <v>0-12 Months</v>
      </c>
      <c r="W2786">
        <f t="shared" si="173"/>
        <v>1</v>
      </c>
      <c r="X2786">
        <f t="shared" si="174"/>
        <v>98.1</v>
      </c>
      <c r="Y2786" t="str">
        <f t="shared" si="175"/>
        <v>Non-Senior</v>
      </c>
    </row>
    <row r="2787" spans="1:25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172"/>
        <v>25-36 Months</v>
      </c>
      <c r="W2787">
        <f t="shared" si="173"/>
        <v>0</v>
      </c>
      <c r="X2787">
        <f t="shared" si="174"/>
        <v>0</v>
      </c>
      <c r="Y2787" t="str">
        <f t="shared" si="175"/>
        <v>Non-Senior</v>
      </c>
    </row>
    <row r="2788" spans="1:25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172"/>
        <v>25-36 Months</v>
      </c>
      <c r="W2788">
        <f t="shared" si="173"/>
        <v>0</v>
      </c>
      <c r="X2788">
        <f t="shared" si="174"/>
        <v>0</v>
      </c>
      <c r="Y2788" t="str">
        <f t="shared" si="175"/>
        <v>Non-Senior</v>
      </c>
    </row>
    <row r="2789" spans="1:25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7082</v>
      </c>
      <c r="J2789" t="s">
        <v>7084</v>
      </c>
      <c r="K2789" t="s">
        <v>46</v>
      </c>
      <c r="L2789" t="s">
        <v>7084</v>
      </c>
      <c r="M2789" t="s">
        <v>7084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172"/>
        <v>61-72 Months</v>
      </c>
      <c r="W2789">
        <f t="shared" si="173"/>
        <v>0</v>
      </c>
      <c r="X2789">
        <f t="shared" si="174"/>
        <v>0</v>
      </c>
      <c r="Y2789" t="str">
        <f t="shared" si="175"/>
        <v>Non-Senior</v>
      </c>
    </row>
    <row r="2790" spans="1:25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172"/>
        <v>61-72 Months</v>
      </c>
      <c r="W2790">
        <f t="shared" si="173"/>
        <v>0</v>
      </c>
      <c r="X2790">
        <f t="shared" si="174"/>
        <v>0</v>
      </c>
      <c r="Y2790" t="str">
        <f t="shared" si="175"/>
        <v>Non-Senior</v>
      </c>
    </row>
    <row r="2791" spans="1:25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172"/>
        <v>13-24 Months</v>
      </c>
      <c r="W2791">
        <f t="shared" si="173"/>
        <v>0</v>
      </c>
      <c r="X2791">
        <f t="shared" si="174"/>
        <v>0</v>
      </c>
      <c r="Y2791" t="str">
        <f t="shared" si="175"/>
        <v>Non-Senior</v>
      </c>
    </row>
    <row r="2792" spans="1:25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172"/>
        <v>49-60 Months</v>
      </c>
      <c r="W2792">
        <f t="shared" si="173"/>
        <v>1</v>
      </c>
      <c r="X2792">
        <f t="shared" si="174"/>
        <v>109.65</v>
      </c>
      <c r="Y2792" t="str">
        <f t="shared" si="175"/>
        <v>Non-Senior</v>
      </c>
    </row>
    <row r="2793" spans="1:25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172"/>
        <v>49-60 Months</v>
      </c>
      <c r="W2793">
        <f t="shared" si="173"/>
        <v>0</v>
      </c>
      <c r="X2793">
        <f t="shared" si="174"/>
        <v>0</v>
      </c>
      <c r="Y2793" t="str">
        <f t="shared" si="175"/>
        <v>Non-Senior</v>
      </c>
    </row>
    <row r="2794" spans="1:25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172"/>
        <v>13-24 Months</v>
      </c>
      <c r="W2794">
        <f t="shared" si="173"/>
        <v>0</v>
      </c>
      <c r="X2794">
        <f t="shared" si="174"/>
        <v>0</v>
      </c>
      <c r="Y2794" t="str">
        <f t="shared" si="175"/>
        <v>Non-Senior</v>
      </c>
    </row>
    <row r="2795" spans="1:25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172"/>
        <v>0-12 Months</v>
      </c>
      <c r="W2795">
        <f t="shared" si="173"/>
        <v>0</v>
      </c>
      <c r="X2795">
        <f t="shared" si="174"/>
        <v>0</v>
      </c>
      <c r="Y2795" t="str">
        <f t="shared" si="175"/>
        <v>Non-Senior</v>
      </c>
    </row>
    <row r="2796" spans="1:25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172"/>
        <v>25-36 Months</v>
      </c>
      <c r="W2796">
        <f t="shared" si="173"/>
        <v>0</v>
      </c>
      <c r="X2796">
        <f t="shared" si="174"/>
        <v>0</v>
      </c>
      <c r="Y2796" t="str">
        <f t="shared" si="175"/>
        <v>Non-Senior</v>
      </c>
    </row>
    <row r="2797" spans="1:25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172"/>
        <v>0-12 Months</v>
      </c>
      <c r="W2797">
        <f t="shared" si="173"/>
        <v>1</v>
      </c>
      <c r="X2797">
        <f t="shared" si="174"/>
        <v>74.55</v>
      </c>
      <c r="Y2797" t="str">
        <f t="shared" si="175"/>
        <v>Senior Citizen</v>
      </c>
    </row>
    <row r="2798" spans="1:25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172"/>
        <v>49-60 Months</v>
      </c>
      <c r="W2798">
        <f t="shared" si="173"/>
        <v>0</v>
      </c>
      <c r="X2798">
        <f t="shared" si="174"/>
        <v>0</v>
      </c>
      <c r="Y2798" t="str">
        <f t="shared" si="175"/>
        <v>Non-Senior</v>
      </c>
    </row>
    <row r="2799" spans="1:25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172"/>
        <v>0-12 Months</v>
      </c>
      <c r="W2799">
        <f t="shared" si="173"/>
        <v>1</v>
      </c>
      <c r="X2799">
        <f t="shared" si="174"/>
        <v>100.95</v>
      </c>
      <c r="Y2799" t="str">
        <f t="shared" si="175"/>
        <v>Non-Senior</v>
      </c>
    </row>
    <row r="2800" spans="1:25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172"/>
        <v>0-12 Months</v>
      </c>
      <c r="W2800">
        <f t="shared" si="173"/>
        <v>1</v>
      </c>
      <c r="X2800">
        <f t="shared" si="174"/>
        <v>94.9</v>
      </c>
      <c r="Y2800" t="str">
        <f t="shared" si="175"/>
        <v>Non-Senior</v>
      </c>
    </row>
    <row r="2801" spans="1:25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7082</v>
      </c>
      <c r="J2801" t="s">
        <v>7084</v>
      </c>
      <c r="K2801" t="s">
        <v>46</v>
      </c>
      <c r="L2801" t="s">
        <v>7084</v>
      </c>
      <c r="M2801" t="s">
        <v>7084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172"/>
        <v>49-60 Months</v>
      </c>
      <c r="W2801">
        <f t="shared" si="173"/>
        <v>0</v>
      </c>
      <c r="X2801">
        <f t="shared" si="174"/>
        <v>0</v>
      </c>
      <c r="Y2801" t="str">
        <f t="shared" si="175"/>
        <v>Non-Senior</v>
      </c>
    </row>
    <row r="2802" spans="1:25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7082</v>
      </c>
      <c r="J2802" t="s">
        <v>7084</v>
      </c>
      <c r="K2802" t="s">
        <v>46</v>
      </c>
      <c r="L2802" t="s">
        <v>7084</v>
      </c>
      <c r="M2802" t="s">
        <v>7084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172"/>
        <v>13-24 Months</v>
      </c>
      <c r="W2802">
        <f t="shared" si="173"/>
        <v>0</v>
      </c>
      <c r="X2802">
        <f t="shared" si="174"/>
        <v>0</v>
      </c>
      <c r="Y2802" t="str">
        <f t="shared" si="175"/>
        <v>Non-Senior</v>
      </c>
    </row>
    <row r="2803" spans="1:25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172"/>
        <v>61-72 Months</v>
      </c>
      <c r="W2803">
        <f t="shared" si="173"/>
        <v>0</v>
      </c>
      <c r="X2803">
        <f t="shared" si="174"/>
        <v>0</v>
      </c>
      <c r="Y2803" t="str">
        <f t="shared" si="175"/>
        <v>Non-Senior</v>
      </c>
    </row>
    <row r="2804" spans="1:25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172"/>
        <v>25-36 Months</v>
      </c>
      <c r="W2804">
        <f t="shared" si="173"/>
        <v>1</v>
      </c>
      <c r="X2804">
        <f t="shared" si="174"/>
        <v>104.9</v>
      </c>
      <c r="Y2804" t="str">
        <f t="shared" si="175"/>
        <v>Senior Citizen</v>
      </c>
    </row>
    <row r="2805" spans="1:25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7082</v>
      </c>
      <c r="J2805" t="s">
        <v>7084</v>
      </c>
      <c r="K2805" t="s">
        <v>46</v>
      </c>
      <c r="L2805" t="s">
        <v>7084</v>
      </c>
      <c r="M2805" t="s">
        <v>7084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172"/>
        <v>37-48 Months</v>
      </c>
      <c r="W2805">
        <f t="shared" si="173"/>
        <v>0</v>
      </c>
      <c r="X2805">
        <f t="shared" si="174"/>
        <v>0</v>
      </c>
      <c r="Y2805" t="str">
        <f t="shared" si="175"/>
        <v>Non-Senior</v>
      </c>
    </row>
    <row r="2806" spans="1:25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172"/>
        <v>0-12 Months</v>
      </c>
      <c r="W2806">
        <f t="shared" si="173"/>
        <v>1</v>
      </c>
      <c r="X2806">
        <f t="shared" si="174"/>
        <v>24.1</v>
      </c>
      <c r="Y2806" t="str">
        <f t="shared" si="175"/>
        <v>Non-Senior</v>
      </c>
    </row>
    <row r="2807" spans="1:25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172"/>
        <v>49-60 Months</v>
      </c>
      <c r="W2807">
        <f t="shared" si="173"/>
        <v>0</v>
      </c>
      <c r="X2807">
        <f t="shared" si="174"/>
        <v>0</v>
      </c>
      <c r="Y2807" t="str">
        <f t="shared" si="175"/>
        <v>Non-Senior</v>
      </c>
    </row>
    <row r="2808" spans="1:25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172"/>
        <v>49-60 Months</v>
      </c>
      <c r="W2808">
        <f t="shared" si="173"/>
        <v>0</v>
      </c>
      <c r="X2808">
        <f t="shared" si="174"/>
        <v>0</v>
      </c>
      <c r="Y2808" t="str">
        <f t="shared" si="175"/>
        <v>Non-Senior</v>
      </c>
    </row>
    <row r="2809" spans="1:25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7082</v>
      </c>
      <c r="J2809" t="s">
        <v>7084</v>
      </c>
      <c r="K2809" t="s">
        <v>46</v>
      </c>
      <c r="L2809" t="s">
        <v>7084</v>
      </c>
      <c r="M2809" t="s">
        <v>7084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172"/>
        <v>0-12 Months</v>
      </c>
      <c r="W2809">
        <f t="shared" si="173"/>
        <v>0</v>
      </c>
      <c r="X2809">
        <f t="shared" si="174"/>
        <v>0</v>
      </c>
      <c r="Y2809" t="str">
        <f t="shared" si="175"/>
        <v>Non-Senior</v>
      </c>
    </row>
    <row r="2810" spans="1:25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172"/>
        <v>0-12 Months</v>
      </c>
      <c r="W2810">
        <f t="shared" si="173"/>
        <v>0</v>
      </c>
      <c r="X2810">
        <f t="shared" si="174"/>
        <v>0</v>
      </c>
      <c r="Y2810" t="str">
        <f t="shared" si="175"/>
        <v>Non-Senior</v>
      </c>
    </row>
    <row r="2811" spans="1:25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172"/>
        <v>37-48 Months</v>
      </c>
      <c r="W2811">
        <f t="shared" si="173"/>
        <v>0</v>
      </c>
      <c r="X2811">
        <f t="shared" si="174"/>
        <v>0</v>
      </c>
      <c r="Y2811" t="str">
        <f t="shared" si="175"/>
        <v>Senior Citizen</v>
      </c>
    </row>
    <row r="2812" spans="1:25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172"/>
        <v>61-72 Months</v>
      </c>
      <c r="W2812">
        <f t="shared" si="173"/>
        <v>0</v>
      </c>
      <c r="X2812">
        <f t="shared" si="174"/>
        <v>0</v>
      </c>
      <c r="Y2812" t="str">
        <f t="shared" si="175"/>
        <v>Senior Citizen</v>
      </c>
    </row>
    <row r="2813" spans="1:25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7082</v>
      </c>
      <c r="J2813" t="s">
        <v>7084</v>
      </c>
      <c r="K2813" t="s">
        <v>46</v>
      </c>
      <c r="L2813" t="s">
        <v>7084</v>
      </c>
      <c r="M2813" t="s">
        <v>7084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172"/>
        <v>37-48 Months</v>
      </c>
      <c r="W2813">
        <f t="shared" si="173"/>
        <v>0</v>
      </c>
      <c r="X2813">
        <f t="shared" si="174"/>
        <v>0</v>
      </c>
      <c r="Y2813" t="str">
        <f t="shared" si="175"/>
        <v>Non-Senior</v>
      </c>
    </row>
    <row r="2814" spans="1:25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172"/>
        <v>61-72 Months</v>
      </c>
      <c r="W2814">
        <f t="shared" si="173"/>
        <v>1</v>
      </c>
      <c r="X2814">
        <f t="shared" si="174"/>
        <v>104.05</v>
      </c>
      <c r="Y2814" t="str">
        <f t="shared" si="175"/>
        <v>Non-Senior</v>
      </c>
    </row>
    <row r="2815" spans="1:25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7082</v>
      </c>
      <c r="J2815" t="s">
        <v>7084</v>
      </c>
      <c r="K2815" t="s">
        <v>46</v>
      </c>
      <c r="L2815" t="s">
        <v>7084</v>
      </c>
      <c r="M2815" t="s">
        <v>7084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172"/>
        <v>61-72 Months</v>
      </c>
      <c r="W2815">
        <f t="shared" si="173"/>
        <v>0</v>
      </c>
      <c r="X2815">
        <f t="shared" si="174"/>
        <v>0</v>
      </c>
      <c r="Y2815" t="str">
        <f t="shared" si="175"/>
        <v>Non-Senior</v>
      </c>
    </row>
    <row r="2816" spans="1:25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172"/>
        <v>61-72 Months</v>
      </c>
      <c r="W2816">
        <f t="shared" si="173"/>
        <v>0</v>
      </c>
      <c r="X2816">
        <f t="shared" si="174"/>
        <v>0</v>
      </c>
      <c r="Y2816" t="str">
        <f t="shared" si="175"/>
        <v>Non-Senior</v>
      </c>
    </row>
    <row r="2817" spans="1:25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172"/>
        <v>0-12 Months</v>
      </c>
      <c r="W2817">
        <f t="shared" si="173"/>
        <v>1</v>
      </c>
      <c r="X2817">
        <f t="shared" si="174"/>
        <v>88.35</v>
      </c>
      <c r="Y2817" t="str">
        <f t="shared" si="175"/>
        <v>Non-Senior</v>
      </c>
    </row>
    <row r="2818" spans="1:25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si="172"/>
        <v>61-72 Months</v>
      </c>
      <c r="W2818">
        <f t="shared" si="173"/>
        <v>0</v>
      </c>
      <c r="X2818">
        <f t="shared" si="174"/>
        <v>0</v>
      </c>
      <c r="Y2818" t="str">
        <f t="shared" si="175"/>
        <v>Non-Senior</v>
      </c>
    </row>
    <row r="2819" spans="1:25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7082</v>
      </c>
      <c r="J2819" t="s">
        <v>7084</v>
      </c>
      <c r="K2819" t="s">
        <v>46</v>
      </c>
      <c r="L2819" t="s">
        <v>7084</v>
      </c>
      <c r="M2819" t="s">
        <v>7084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ref="V2819:V2882" si="176">IF(F2819&lt;=12,"0-12 Months",IF(F2819&lt;=24,"13-24 Months",IF(F2819&lt;=36,"25-36 Months",IF(F2819&lt;=48,"37-48 Months",IF(F2819&lt;=60,"49-60 Months","61-72 Months")))))</f>
        <v>37-48 Months</v>
      </c>
      <c r="W2819">
        <f t="shared" ref="W2819:W2882" si="177">IF(U2819="Yes",1,0)</f>
        <v>0</v>
      </c>
      <c r="X2819">
        <f t="shared" ref="X2819:X2882" si="178">IF(U2819="Yes",S2819,0)</f>
        <v>0</v>
      </c>
      <c r="Y2819" t="str">
        <f t="shared" ref="Y2819:Y2882" si="179">IF(C2819=1,"Senior Citizen","Non-Senior")</f>
        <v>Non-Senior</v>
      </c>
    </row>
    <row r="2820" spans="1:25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176"/>
        <v>25-36 Months</v>
      </c>
      <c r="W2820">
        <f t="shared" si="177"/>
        <v>1</v>
      </c>
      <c r="X2820">
        <f t="shared" si="178"/>
        <v>94.65</v>
      </c>
      <c r="Y2820" t="str">
        <f t="shared" si="179"/>
        <v>Non-Senior</v>
      </c>
    </row>
    <row r="2821" spans="1:25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176"/>
        <v>0-12 Months</v>
      </c>
      <c r="W2821">
        <f t="shared" si="177"/>
        <v>0</v>
      </c>
      <c r="X2821">
        <f t="shared" si="178"/>
        <v>0</v>
      </c>
      <c r="Y2821" t="str">
        <f t="shared" si="179"/>
        <v>Non-Senior</v>
      </c>
    </row>
    <row r="2822" spans="1:25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7082</v>
      </c>
      <c r="J2822" t="s">
        <v>7084</v>
      </c>
      <c r="K2822" t="s">
        <v>46</v>
      </c>
      <c r="L2822" t="s">
        <v>7084</v>
      </c>
      <c r="M2822" t="s">
        <v>7084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176"/>
        <v>49-60 Months</v>
      </c>
      <c r="W2822">
        <f t="shared" si="177"/>
        <v>0</v>
      </c>
      <c r="X2822">
        <f t="shared" si="178"/>
        <v>0</v>
      </c>
      <c r="Y2822" t="str">
        <f t="shared" si="179"/>
        <v>Non-Senior</v>
      </c>
    </row>
    <row r="2823" spans="1:25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176"/>
        <v>0-12 Months</v>
      </c>
      <c r="W2823">
        <f t="shared" si="177"/>
        <v>1</v>
      </c>
      <c r="X2823">
        <f t="shared" si="178"/>
        <v>74.400000000000006</v>
      </c>
      <c r="Y2823" t="str">
        <f t="shared" si="179"/>
        <v>Senior Citizen</v>
      </c>
    </row>
    <row r="2824" spans="1:25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176"/>
        <v>37-48 Months</v>
      </c>
      <c r="W2824">
        <f t="shared" si="177"/>
        <v>1</v>
      </c>
      <c r="X2824">
        <f t="shared" si="178"/>
        <v>79.900000000000006</v>
      </c>
      <c r="Y2824" t="str">
        <f t="shared" si="179"/>
        <v>Non-Senior</v>
      </c>
    </row>
    <row r="2825" spans="1:25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7082</v>
      </c>
      <c r="J2825" t="s">
        <v>7084</v>
      </c>
      <c r="K2825" t="s">
        <v>46</v>
      </c>
      <c r="L2825" t="s">
        <v>7084</v>
      </c>
      <c r="M2825" t="s">
        <v>7084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176"/>
        <v>37-48 Months</v>
      </c>
      <c r="W2825">
        <f t="shared" si="177"/>
        <v>0</v>
      </c>
      <c r="X2825">
        <f t="shared" si="178"/>
        <v>0</v>
      </c>
      <c r="Y2825" t="str">
        <f t="shared" si="179"/>
        <v>Non-Senior</v>
      </c>
    </row>
    <row r="2826" spans="1:25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7082</v>
      </c>
      <c r="J2826" t="s">
        <v>7084</v>
      </c>
      <c r="K2826" t="s">
        <v>46</v>
      </c>
      <c r="L2826" t="s">
        <v>7084</v>
      </c>
      <c r="M2826" t="s">
        <v>7084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176"/>
        <v>61-72 Months</v>
      </c>
      <c r="W2826">
        <f t="shared" si="177"/>
        <v>0</v>
      </c>
      <c r="X2826">
        <f t="shared" si="178"/>
        <v>0</v>
      </c>
      <c r="Y2826" t="str">
        <f t="shared" si="179"/>
        <v>Non-Senior</v>
      </c>
    </row>
    <row r="2827" spans="1:25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7082</v>
      </c>
      <c r="J2827" t="s">
        <v>7084</v>
      </c>
      <c r="K2827" t="s">
        <v>46</v>
      </c>
      <c r="L2827" t="s">
        <v>7084</v>
      </c>
      <c r="M2827" t="s">
        <v>7084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176"/>
        <v>13-24 Months</v>
      </c>
      <c r="W2827">
        <f t="shared" si="177"/>
        <v>0</v>
      </c>
      <c r="X2827">
        <f t="shared" si="178"/>
        <v>0</v>
      </c>
      <c r="Y2827" t="str">
        <f t="shared" si="179"/>
        <v>Non-Senior</v>
      </c>
    </row>
    <row r="2828" spans="1:25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176"/>
        <v>13-24 Months</v>
      </c>
      <c r="W2828">
        <f t="shared" si="177"/>
        <v>0</v>
      </c>
      <c r="X2828">
        <f t="shared" si="178"/>
        <v>0</v>
      </c>
      <c r="Y2828" t="str">
        <f t="shared" si="179"/>
        <v>Non-Senior</v>
      </c>
    </row>
    <row r="2829" spans="1:25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176"/>
        <v>0-12 Months</v>
      </c>
      <c r="W2829">
        <f t="shared" si="177"/>
        <v>0</v>
      </c>
      <c r="X2829">
        <f t="shared" si="178"/>
        <v>0</v>
      </c>
      <c r="Y2829" t="str">
        <f t="shared" si="179"/>
        <v>Non-Senior</v>
      </c>
    </row>
    <row r="2830" spans="1:25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7082</v>
      </c>
      <c r="J2830" t="s">
        <v>7084</v>
      </c>
      <c r="K2830" t="s">
        <v>46</v>
      </c>
      <c r="L2830" t="s">
        <v>7084</v>
      </c>
      <c r="M2830" t="s">
        <v>7084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176"/>
        <v>0-12 Months</v>
      </c>
      <c r="W2830">
        <f t="shared" si="177"/>
        <v>0</v>
      </c>
      <c r="X2830">
        <f t="shared" si="178"/>
        <v>0</v>
      </c>
      <c r="Y2830" t="str">
        <f t="shared" si="179"/>
        <v>Non-Senior</v>
      </c>
    </row>
    <row r="2831" spans="1:25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176"/>
        <v>0-12 Months</v>
      </c>
      <c r="W2831">
        <f t="shared" si="177"/>
        <v>1</v>
      </c>
      <c r="X2831">
        <f t="shared" si="178"/>
        <v>69.7</v>
      </c>
      <c r="Y2831" t="str">
        <f t="shared" si="179"/>
        <v>Senior Citizen</v>
      </c>
    </row>
    <row r="2832" spans="1:25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176"/>
        <v>49-60 Months</v>
      </c>
      <c r="W2832">
        <f t="shared" si="177"/>
        <v>0</v>
      </c>
      <c r="X2832">
        <f t="shared" si="178"/>
        <v>0</v>
      </c>
      <c r="Y2832" t="str">
        <f t="shared" si="179"/>
        <v>Non-Senior</v>
      </c>
    </row>
    <row r="2833" spans="1:25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176"/>
        <v>0-12 Months</v>
      </c>
      <c r="W2833">
        <f t="shared" si="177"/>
        <v>1</v>
      </c>
      <c r="X2833">
        <f t="shared" si="178"/>
        <v>98.1</v>
      </c>
      <c r="Y2833" t="str">
        <f t="shared" si="179"/>
        <v>Senior Citizen</v>
      </c>
    </row>
    <row r="2834" spans="1:25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176"/>
        <v>37-48 Months</v>
      </c>
      <c r="W2834">
        <f t="shared" si="177"/>
        <v>0</v>
      </c>
      <c r="X2834">
        <f t="shared" si="178"/>
        <v>0</v>
      </c>
      <c r="Y2834" t="str">
        <f t="shared" si="179"/>
        <v>Non-Senior</v>
      </c>
    </row>
    <row r="2835" spans="1:25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176"/>
        <v>61-72 Months</v>
      </c>
      <c r="W2835">
        <f t="shared" si="177"/>
        <v>0</v>
      </c>
      <c r="X2835">
        <f t="shared" si="178"/>
        <v>0</v>
      </c>
      <c r="Y2835" t="str">
        <f t="shared" si="179"/>
        <v>Non-Senior</v>
      </c>
    </row>
    <row r="2836" spans="1:25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7082</v>
      </c>
      <c r="J2836" t="s">
        <v>7084</v>
      </c>
      <c r="K2836" t="s">
        <v>46</v>
      </c>
      <c r="L2836" t="s">
        <v>7084</v>
      </c>
      <c r="M2836" t="s">
        <v>7084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176"/>
        <v>37-48 Months</v>
      </c>
      <c r="W2836">
        <f t="shared" si="177"/>
        <v>0</v>
      </c>
      <c r="X2836">
        <f t="shared" si="178"/>
        <v>0</v>
      </c>
      <c r="Y2836" t="str">
        <f t="shared" si="179"/>
        <v>Non-Senior</v>
      </c>
    </row>
    <row r="2837" spans="1:25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176"/>
        <v>61-72 Months</v>
      </c>
      <c r="W2837">
        <f t="shared" si="177"/>
        <v>0</v>
      </c>
      <c r="X2837">
        <f t="shared" si="178"/>
        <v>0</v>
      </c>
      <c r="Y2837" t="str">
        <f t="shared" si="179"/>
        <v>Senior Citizen</v>
      </c>
    </row>
    <row r="2838" spans="1:25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176"/>
        <v>49-60 Months</v>
      </c>
      <c r="W2838">
        <f t="shared" si="177"/>
        <v>0</v>
      </c>
      <c r="X2838">
        <f t="shared" si="178"/>
        <v>0</v>
      </c>
      <c r="Y2838" t="str">
        <f t="shared" si="179"/>
        <v>Non-Senior</v>
      </c>
    </row>
    <row r="2839" spans="1:25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7082</v>
      </c>
      <c r="J2839" t="s">
        <v>7084</v>
      </c>
      <c r="K2839" t="s">
        <v>46</v>
      </c>
      <c r="L2839" t="s">
        <v>7084</v>
      </c>
      <c r="M2839" t="s">
        <v>7084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176"/>
        <v>0-12 Months</v>
      </c>
      <c r="W2839">
        <f t="shared" si="177"/>
        <v>1</v>
      </c>
      <c r="X2839">
        <f t="shared" si="178"/>
        <v>20.5</v>
      </c>
      <c r="Y2839" t="str">
        <f t="shared" si="179"/>
        <v>Non-Senior</v>
      </c>
    </row>
    <row r="2840" spans="1:25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7082</v>
      </c>
      <c r="J2840" t="s">
        <v>7084</v>
      </c>
      <c r="K2840" t="s">
        <v>46</v>
      </c>
      <c r="L2840" t="s">
        <v>7084</v>
      </c>
      <c r="M2840" t="s">
        <v>7084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176"/>
        <v>37-48 Months</v>
      </c>
      <c r="W2840">
        <f t="shared" si="177"/>
        <v>0</v>
      </c>
      <c r="X2840">
        <f t="shared" si="178"/>
        <v>0</v>
      </c>
      <c r="Y2840" t="str">
        <f t="shared" si="179"/>
        <v>Non-Senior</v>
      </c>
    </row>
    <row r="2841" spans="1:25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7082</v>
      </c>
      <c r="J2841" t="s">
        <v>7084</v>
      </c>
      <c r="K2841" t="s">
        <v>46</v>
      </c>
      <c r="L2841" t="s">
        <v>7084</v>
      </c>
      <c r="M2841" t="s">
        <v>7084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176"/>
        <v>37-48 Months</v>
      </c>
      <c r="W2841">
        <f t="shared" si="177"/>
        <v>0</v>
      </c>
      <c r="X2841">
        <f t="shared" si="178"/>
        <v>0</v>
      </c>
      <c r="Y2841" t="str">
        <f t="shared" si="179"/>
        <v>Non-Senior</v>
      </c>
    </row>
    <row r="2842" spans="1:25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176"/>
        <v>13-24 Months</v>
      </c>
      <c r="W2842">
        <f t="shared" si="177"/>
        <v>0</v>
      </c>
      <c r="X2842">
        <f t="shared" si="178"/>
        <v>0</v>
      </c>
      <c r="Y2842" t="str">
        <f t="shared" si="179"/>
        <v>Non-Senior</v>
      </c>
    </row>
    <row r="2843" spans="1:25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176"/>
        <v>0-12 Months</v>
      </c>
      <c r="W2843">
        <f t="shared" si="177"/>
        <v>0</v>
      </c>
      <c r="X2843">
        <f t="shared" si="178"/>
        <v>0</v>
      </c>
      <c r="Y2843" t="str">
        <f t="shared" si="179"/>
        <v>Non-Senior</v>
      </c>
    </row>
    <row r="2844" spans="1:25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176"/>
        <v>0-12 Months</v>
      </c>
      <c r="W2844">
        <f t="shared" si="177"/>
        <v>0</v>
      </c>
      <c r="X2844">
        <f t="shared" si="178"/>
        <v>0</v>
      </c>
      <c r="Y2844" t="str">
        <f t="shared" si="179"/>
        <v>Non-Senior</v>
      </c>
    </row>
    <row r="2845" spans="1:25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7082</v>
      </c>
      <c r="J2845" t="s">
        <v>7084</v>
      </c>
      <c r="K2845" t="s">
        <v>46</v>
      </c>
      <c r="L2845" t="s">
        <v>7084</v>
      </c>
      <c r="M2845" t="s">
        <v>7084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176"/>
        <v>49-60 Months</v>
      </c>
      <c r="W2845">
        <f t="shared" si="177"/>
        <v>0</v>
      </c>
      <c r="X2845">
        <f t="shared" si="178"/>
        <v>0</v>
      </c>
      <c r="Y2845" t="str">
        <f t="shared" si="179"/>
        <v>Non-Senior</v>
      </c>
    </row>
    <row r="2846" spans="1:25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176"/>
        <v>0-12 Months</v>
      </c>
      <c r="W2846">
        <f t="shared" si="177"/>
        <v>1</v>
      </c>
      <c r="X2846">
        <f t="shared" si="178"/>
        <v>99.6</v>
      </c>
      <c r="Y2846" t="str">
        <f t="shared" si="179"/>
        <v>Senior Citizen</v>
      </c>
    </row>
    <row r="2847" spans="1:25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176"/>
        <v>0-12 Months</v>
      </c>
      <c r="W2847">
        <f t="shared" si="177"/>
        <v>0</v>
      </c>
      <c r="X2847">
        <f t="shared" si="178"/>
        <v>0</v>
      </c>
      <c r="Y2847" t="str">
        <f t="shared" si="179"/>
        <v>Non-Senior</v>
      </c>
    </row>
    <row r="2848" spans="1:25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176"/>
        <v>0-12 Months</v>
      </c>
      <c r="W2848">
        <f t="shared" si="177"/>
        <v>0</v>
      </c>
      <c r="X2848">
        <f t="shared" si="178"/>
        <v>0</v>
      </c>
      <c r="Y2848" t="str">
        <f t="shared" si="179"/>
        <v>Non-Senior</v>
      </c>
    </row>
    <row r="2849" spans="1:25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176"/>
        <v>25-36 Months</v>
      </c>
      <c r="W2849">
        <f t="shared" si="177"/>
        <v>0</v>
      </c>
      <c r="X2849">
        <f t="shared" si="178"/>
        <v>0</v>
      </c>
      <c r="Y2849" t="str">
        <f t="shared" si="179"/>
        <v>Non-Senior</v>
      </c>
    </row>
    <row r="2850" spans="1:25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176"/>
        <v>13-24 Months</v>
      </c>
      <c r="W2850">
        <f t="shared" si="177"/>
        <v>0</v>
      </c>
      <c r="X2850">
        <f t="shared" si="178"/>
        <v>0</v>
      </c>
      <c r="Y2850" t="str">
        <f t="shared" si="179"/>
        <v>Non-Senior</v>
      </c>
    </row>
    <row r="2851" spans="1:25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7082</v>
      </c>
      <c r="J2851" t="s">
        <v>7084</v>
      </c>
      <c r="K2851" t="s">
        <v>46</v>
      </c>
      <c r="L2851" t="s">
        <v>7084</v>
      </c>
      <c r="M2851" t="s">
        <v>7084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176"/>
        <v>0-12 Months</v>
      </c>
      <c r="W2851">
        <f t="shared" si="177"/>
        <v>0</v>
      </c>
      <c r="X2851">
        <f t="shared" si="178"/>
        <v>0</v>
      </c>
      <c r="Y2851" t="str">
        <f t="shared" si="179"/>
        <v>Non-Senior</v>
      </c>
    </row>
    <row r="2852" spans="1:25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176"/>
        <v>49-60 Months</v>
      </c>
      <c r="W2852">
        <f t="shared" si="177"/>
        <v>0</v>
      </c>
      <c r="X2852">
        <f t="shared" si="178"/>
        <v>0</v>
      </c>
      <c r="Y2852" t="str">
        <f t="shared" si="179"/>
        <v>Senior Citizen</v>
      </c>
    </row>
    <row r="2853" spans="1:25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176"/>
        <v>61-72 Months</v>
      </c>
      <c r="W2853">
        <f t="shared" si="177"/>
        <v>0</v>
      </c>
      <c r="X2853">
        <f t="shared" si="178"/>
        <v>0</v>
      </c>
      <c r="Y2853" t="str">
        <f t="shared" si="179"/>
        <v>Non-Senior</v>
      </c>
    </row>
    <row r="2854" spans="1:25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176"/>
        <v>61-72 Months</v>
      </c>
      <c r="W2854">
        <f t="shared" si="177"/>
        <v>0</v>
      </c>
      <c r="X2854">
        <f t="shared" si="178"/>
        <v>0</v>
      </c>
      <c r="Y2854" t="str">
        <f t="shared" si="179"/>
        <v>Non-Senior</v>
      </c>
    </row>
    <row r="2855" spans="1:25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176"/>
        <v>49-60 Months</v>
      </c>
      <c r="W2855">
        <f t="shared" si="177"/>
        <v>0</v>
      </c>
      <c r="X2855">
        <f t="shared" si="178"/>
        <v>0</v>
      </c>
      <c r="Y2855" t="str">
        <f t="shared" si="179"/>
        <v>Non-Senior</v>
      </c>
    </row>
    <row r="2856" spans="1:25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176"/>
        <v>13-24 Months</v>
      </c>
      <c r="W2856">
        <f t="shared" si="177"/>
        <v>0</v>
      </c>
      <c r="X2856">
        <f t="shared" si="178"/>
        <v>0</v>
      </c>
      <c r="Y2856" t="str">
        <f t="shared" si="179"/>
        <v>Non-Senior</v>
      </c>
    </row>
    <row r="2857" spans="1:25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7082</v>
      </c>
      <c r="J2857" t="s">
        <v>7084</v>
      </c>
      <c r="K2857" t="s">
        <v>46</v>
      </c>
      <c r="L2857" t="s">
        <v>7084</v>
      </c>
      <c r="M2857" t="s">
        <v>7084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176"/>
        <v>37-48 Months</v>
      </c>
      <c r="W2857">
        <f t="shared" si="177"/>
        <v>0</v>
      </c>
      <c r="X2857">
        <f t="shared" si="178"/>
        <v>0</v>
      </c>
      <c r="Y2857" t="str">
        <f t="shared" si="179"/>
        <v>Non-Senior</v>
      </c>
    </row>
    <row r="2858" spans="1:25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176"/>
        <v>0-12 Months</v>
      </c>
      <c r="W2858">
        <f t="shared" si="177"/>
        <v>0</v>
      </c>
      <c r="X2858">
        <f t="shared" si="178"/>
        <v>0</v>
      </c>
      <c r="Y2858" t="str">
        <f t="shared" si="179"/>
        <v>Non-Senior</v>
      </c>
    </row>
    <row r="2859" spans="1:25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176"/>
        <v>37-48 Months</v>
      </c>
      <c r="W2859">
        <f t="shared" si="177"/>
        <v>0</v>
      </c>
      <c r="X2859">
        <f t="shared" si="178"/>
        <v>0</v>
      </c>
      <c r="Y2859" t="str">
        <f t="shared" si="179"/>
        <v>Non-Senior</v>
      </c>
    </row>
    <row r="2860" spans="1:25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7082</v>
      </c>
      <c r="J2860" t="s">
        <v>7084</v>
      </c>
      <c r="K2860" t="s">
        <v>46</v>
      </c>
      <c r="L2860" t="s">
        <v>7084</v>
      </c>
      <c r="M2860" t="s">
        <v>7084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176"/>
        <v>0-12 Months</v>
      </c>
      <c r="W2860">
        <f t="shared" si="177"/>
        <v>0</v>
      </c>
      <c r="X2860">
        <f t="shared" si="178"/>
        <v>0</v>
      </c>
      <c r="Y2860" t="str">
        <f t="shared" si="179"/>
        <v>Non-Senior</v>
      </c>
    </row>
    <row r="2861" spans="1:25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176"/>
        <v>61-72 Months</v>
      </c>
      <c r="W2861">
        <f t="shared" si="177"/>
        <v>0</v>
      </c>
      <c r="X2861">
        <f t="shared" si="178"/>
        <v>0</v>
      </c>
      <c r="Y2861" t="str">
        <f t="shared" si="179"/>
        <v>Senior Citizen</v>
      </c>
    </row>
    <row r="2862" spans="1:25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176"/>
        <v>61-72 Months</v>
      </c>
      <c r="W2862">
        <f t="shared" si="177"/>
        <v>0</v>
      </c>
      <c r="X2862">
        <f t="shared" si="178"/>
        <v>0</v>
      </c>
      <c r="Y2862" t="str">
        <f t="shared" si="179"/>
        <v>Senior Citizen</v>
      </c>
    </row>
    <row r="2863" spans="1:25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176"/>
        <v>0-12 Months</v>
      </c>
      <c r="W2863">
        <f t="shared" si="177"/>
        <v>1</v>
      </c>
      <c r="X2863">
        <f t="shared" si="178"/>
        <v>81.95</v>
      </c>
      <c r="Y2863" t="str">
        <f t="shared" si="179"/>
        <v>Non-Senior</v>
      </c>
    </row>
    <row r="2864" spans="1:25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176"/>
        <v>0-12 Months</v>
      </c>
      <c r="W2864">
        <f t="shared" si="177"/>
        <v>1</v>
      </c>
      <c r="X2864">
        <f t="shared" si="178"/>
        <v>69.349999999999994</v>
      </c>
      <c r="Y2864" t="str">
        <f t="shared" si="179"/>
        <v>Non-Senior</v>
      </c>
    </row>
    <row r="2865" spans="1:25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176"/>
        <v>0-12 Months</v>
      </c>
      <c r="W2865">
        <f t="shared" si="177"/>
        <v>0</v>
      </c>
      <c r="X2865">
        <f t="shared" si="178"/>
        <v>0</v>
      </c>
      <c r="Y2865" t="str">
        <f t="shared" si="179"/>
        <v>Non-Senior</v>
      </c>
    </row>
    <row r="2866" spans="1:25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176"/>
        <v>0-12 Months</v>
      </c>
      <c r="W2866">
        <f t="shared" si="177"/>
        <v>0</v>
      </c>
      <c r="X2866">
        <f t="shared" si="178"/>
        <v>0</v>
      </c>
      <c r="Y2866" t="str">
        <f t="shared" si="179"/>
        <v>Non-Senior</v>
      </c>
    </row>
    <row r="2867" spans="1:25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176"/>
        <v>61-72 Months</v>
      </c>
      <c r="W2867">
        <f t="shared" si="177"/>
        <v>0</v>
      </c>
      <c r="X2867">
        <f t="shared" si="178"/>
        <v>0</v>
      </c>
      <c r="Y2867" t="str">
        <f t="shared" si="179"/>
        <v>Non-Senior</v>
      </c>
    </row>
    <row r="2868" spans="1:25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176"/>
        <v>0-12 Months</v>
      </c>
      <c r="W2868">
        <f t="shared" si="177"/>
        <v>0</v>
      </c>
      <c r="X2868">
        <f t="shared" si="178"/>
        <v>0</v>
      </c>
      <c r="Y2868" t="str">
        <f t="shared" si="179"/>
        <v>Non-Senior</v>
      </c>
    </row>
    <row r="2869" spans="1:25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7082</v>
      </c>
      <c r="J2869" t="s">
        <v>7084</v>
      </c>
      <c r="K2869" t="s">
        <v>46</v>
      </c>
      <c r="L2869" t="s">
        <v>7084</v>
      </c>
      <c r="M2869" t="s">
        <v>7084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176"/>
        <v>13-24 Months</v>
      </c>
      <c r="W2869">
        <f t="shared" si="177"/>
        <v>0</v>
      </c>
      <c r="X2869">
        <f t="shared" si="178"/>
        <v>0</v>
      </c>
      <c r="Y2869" t="str">
        <f t="shared" si="179"/>
        <v>Non-Senior</v>
      </c>
    </row>
    <row r="2870" spans="1:25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176"/>
        <v>25-36 Months</v>
      </c>
      <c r="W2870">
        <f t="shared" si="177"/>
        <v>0</v>
      </c>
      <c r="X2870">
        <f t="shared" si="178"/>
        <v>0</v>
      </c>
      <c r="Y2870" t="str">
        <f t="shared" si="179"/>
        <v>Non-Senior</v>
      </c>
    </row>
    <row r="2871" spans="1:25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176"/>
        <v>0-12 Months</v>
      </c>
      <c r="W2871">
        <f t="shared" si="177"/>
        <v>1</v>
      </c>
      <c r="X2871">
        <f t="shared" si="178"/>
        <v>91.1</v>
      </c>
      <c r="Y2871" t="str">
        <f t="shared" si="179"/>
        <v>Non-Senior</v>
      </c>
    </row>
    <row r="2872" spans="1:25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176"/>
        <v>49-60 Months</v>
      </c>
      <c r="W2872">
        <f t="shared" si="177"/>
        <v>0</v>
      </c>
      <c r="X2872">
        <f t="shared" si="178"/>
        <v>0</v>
      </c>
      <c r="Y2872" t="str">
        <f t="shared" si="179"/>
        <v>Non-Senior</v>
      </c>
    </row>
    <row r="2873" spans="1:25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176"/>
        <v>13-24 Months</v>
      </c>
      <c r="W2873">
        <f t="shared" si="177"/>
        <v>1</v>
      </c>
      <c r="X2873">
        <f t="shared" si="178"/>
        <v>86.1</v>
      </c>
      <c r="Y2873" t="str">
        <f t="shared" si="179"/>
        <v>Non-Senior</v>
      </c>
    </row>
    <row r="2874" spans="1:25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7082</v>
      </c>
      <c r="J2874" t="s">
        <v>7084</v>
      </c>
      <c r="K2874" t="s">
        <v>46</v>
      </c>
      <c r="L2874" t="s">
        <v>7084</v>
      </c>
      <c r="M2874" t="s">
        <v>7084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176"/>
        <v>37-48 Months</v>
      </c>
      <c r="W2874">
        <f t="shared" si="177"/>
        <v>0</v>
      </c>
      <c r="X2874">
        <f t="shared" si="178"/>
        <v>0</v>
      </c>
      <c r="Y2874" t="str">
        <f t="shared" si="179"/>
        <v>Non-Senior</v>
      </c>
    </row>
    <row r="2875" spans="1:25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176"/>
        <v>25-36 Months</v>
      </c>
      <c r="W2875">
        <f t="shared" si="177"/>
        <v>1</v>
      </c>
      <c r="X2875">
        <f t="shared" si="178"/>
        <v>94.7</v>
      </c>
      <c r="Y2875" t="str">
        <f t="shared" si="179"/>
        <v>Non-Senior</v>
      </c>
    </row>
    <row r="2876" spans="1:25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7082</v>
      </c>
      <c r="J2876" t="s">
        <v>7084</v>
      </c>
      <c r="K2876" t="s">
        <v>46</v>
      </c>
      <c r="L2876" t="s">
        <v>7084</v>
      </c>
      <c r="M2876" t="s">
        <v>7084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176"/>
        <v>61-72 Months</v>
      </c>
      <c r="W2876">
        <f t="shared" si="177"/>
        <v>0</v>
      </c>
      <c r="X2876">
        <f t="shared" si="178"/>
        <v>0</v>
      </c>
      <c r="Y2876" t="str">
        <f t="shared" si="179"/>
        <v>Non-Senior</v>
      </c>
    </row>
    <row r="2877" spans="1:25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176"/>
        <v>13-24 Months</v>
      </c>
      <c r="W2877">
        <f t="shared" si="177"/>
        <v>1</v>
      </c>
      <c r="X2877">
        <f t="shared" si="178"/>
        <v>85.1</v>
      </c>
      <c r="Y2877" t="str">
        <f t="shared" si="179"/>
        <v>Non-Senior</v>
      </c>
    </row>
    <row r="2878" spans="1:25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7082</v>
      </c>
      <c r="J2878" t="s">
        <v>7084</v>
      </c>
      <c r="K2878" t="s">
        <v>46</v>
      </c>
      <c r="L2878" t="s">
        <v>7084</v>
      </c>
      <c r="M2878" t="s">
        <v>7084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176"/>
        <v>13-24 Months</v>
      </c>
      <c r="W2878">
        <f t="shared" si="177"/>
        <v>0</v>
      </c>
      <c r="X2878">
        <f t="shared" si="178"/>
        <v>0</v>
      </c>
      <c r="Y2878" t="str">
        <f t="shared" si="179"/>
        <v>Non-Senior</v>
      </c>
    </row>
    <row r="2879" spans="1:25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176"/>
        <v>61-72 Months</v>
      </c>
      <c r="W2879">
        <f t="shared" si="177"/>
        <v>1</v>
      </c>
      <c r="X2879">
        <f t="shared" si="178"/>
        <v>99.15</v>
      </c>
      <c r="Y2879" t="str">
        <f t="shared" si="179"/>
        <v>Non-Senior</v>
      </c>
    </row>
    <row r="2880" spans="1:25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176"/>
        <v>13-24 Months</v>
      </c>
      <c r="W2880">
        <f t="shared" si="177"/>
        <v>0</v>
      </c>
      <c r="X2880">
        <f t="shared" si="178"/>
        <v>0</v>
      </c>
      <c r="Y2880" t="str">
        <f t="shared" si="179"/>
        <v>Non-Senior</v>
      </c>
    </row>
    <row r="2881" spans="1:25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176"/>
        <v>61-72 Months</v>
      </c>
      <c r="W2881">
        <f t="shared" si="177"/>
        <v>1</v>
      </c>
      <c r="X2881">
        <f t="shared" si="178"/>
        <v>102.95</v>
      </c>
      <c r="Y2881" t="str">
        <f t="shared" si="179"/>
        <v>Senior Citizen</v>
      </c>
    </row>
    <row r="2882" spans="1:25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si="176"/>
        <v>0-12 Months</v>
      </c>
      <c r="W2882">
        <f t="shared" si="177"/>
        <v>0</v>
      </c>
      <c r="X2882">
        <f t="shared" si="178"/>
        <v>0</v>
      </c>
      <c r="Y2882" t="str">
        <f t="shared" si="179"/>
        <v>Non-Senior</v>
      </c>
    </row>
    <row r="2883" spans="1:25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ref="V2883:V2946" si="180">IF(F2883&lt;=12,"0-12 Months",IF(F2883&lt;=24,"13-24 Months",IF(F2883&lt;=36,"25-36 Months",IF(F2883&lt;=48,"37-48 Months",IF(F2883&lt;=60,"49-60 Months","61-72 Months")))))</f>
        <v>25-36 Months</v>
      </c>
      <c r="W2883">
        <f t="shared" ref="W2883:W2946" si="181">IF(U2883="Yes",1,0)</f>
        <v>0</v>
      </c>
      <c r="X2883">
        <f t="shared" ref="X2883:X2946" si="182">IF(U2883="Yes",S2883,0)</f>
        <v>0</v>
      </c>
      <c r="Y2883" t="str">
        <f t="shared" ref="Y2883:Y2946" si="183">IF(C2883=1,"Senior Citizen","Non-Senior")</f>
        <v>Non-Senior</v>
      </c>
    </row>
    <row r="2884" spans="1:25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180"/>
        <v>0-12 Months</v>
      </c>
      <c r="W2884">
        <f t="shared" si="181"/>
        <v>0</v>
      </c>
      <c r="X2884">
        <f t="shared" si="182"/>
        <v>0</v>
      </c>
      <c r="Y2884" t="str">
        <f t="shared" si="183"/>
        <v>Non-Senior</v>
      </c>
    </row>
    <row r="2885" spans="1:25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7082</v>
      </c>
      <c r="J2885" t="s">
        <v>7084</v>
      </c>
      <c r="K2885" t="s">
        <v>46</v>
      </c>
      <c r="L2885" t="s">
        <v>7084</v>
      </c>
      <c r="M2885" t="s">
        <v>7084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180"/>
        <v>61-72 Months</v>
      </c>
      <c r="W2885">
        <f t="shared" si="181"/>
        <v>0</v>
      </c>
      <c r="X2885">
        <f t="shared" si="182"/>
        <v>0</v>
      </c>
      <c r="Y2885" t="str">
        <f t="shared" si="183"/>
        <v>Non-Senior</v>
      </c>
    </row>
    <row r="2886" spans="1:25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180"/>
        <v>61-72 Months</v>
      </c>
      <c r="W2886">
        <f t="shared" si="181"/>
        <v>0</v>
      </c>
      <c r="X2886">
        <f t="shared" si="182"/>
        <v>0</v>
      </c>
      <c r="Y2886" t="str">
        <f t="shared" si="183"/>
        <v>Senior Citizen</v>
      </c>
    </row>
    <row r="2887" spans="1:25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180"/>
        <v>61-72 Months</v>
      </c>
      <c r="W2887">
        <f t="shared" si="181"/>
        <v>0</v>
      </c>
      <c r="X2887">
        <f t="shared" si="182"/>
        <v>0</v>
      </c>
      <c r="Y2887" t="str">
        <f t="shared" si="183"/>
        <v>Senior Citizen</v>
      </c>
    </row>
    <row r="2888" spans="1:25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180"/>
        <v>49-60 Months</v>
      </c>
      <c r="W2888">
        <f t="shared" si="181"/>
        <v>0</v>
      </c>
      <c r="X2888">
        <f t="shared" si="182"/>
        <v>0</v>
      </c>
      <c r="Y2888" t="str">
        <f t="shared" si="183"/>
        <v>Non-Senior</v>
      </c>
    </row>
    <row r="2889" spans="1:25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180"/>
        <v>0-12 Months</v>
      </c>
      <c r="W2889">
        <f t="shared" si="181"/>
        <v>1</v>
      </c>
      <c r="X2889">
        <f t="shared" si="182"/>
        <v>45.05</v>
      </c>
      <c r="Y2889" t="str">
        <f t="shared" si="183"/>
        <v>Non-Senior</v>
      </c>
    </row>
    <row r="2890" spans="1:25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180"/>
        <v>0-12 Months</v>
      </c>
      <c r="W2890">
        <f t="shared" si="181"/>
        <v>1</v>
      </c>
      <c r="X2890">
        <f t="shared" si="182"/>
        <v>71</v>
      </c>
      <c r="Y2890" t="str">
        <f t="shared" si="183"/>
        <v>Senior Citizen</v>
      </c>
    </row>
    <row r="2891" spans="1:25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180"/>
        <v>49-60 Months</v>
      </c>
      <c r="W2891">
        <f t="shared" si="181"/>
        <v>0</v>
      </c>
      <c r="X2891">
        <f t="shared" si="182"/>
        <v>0</v>
      </c>
      <c r="Y2891" t="str">
        <f t="shared" si="183"/>
        <v>Non-Senior</v>
      </c>
    </row>
    <row r="2892" spans="1:25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180"/>
        <v>37-48 Months</v>
      </c>
      <c r="W2892">
        <f t="shared" si="181"/>
        <v>1</v>
      </c>
      <c r="X2892">
        <f t="shared" si="182"/>
        <v>70.55</v>
      </c>
      <c r="Y2892" t="str">
        <f t="shared" si="183"/>
        <v>Senior Citizen</v>
      </c>
    </row>
    <row r="2893" spans="1:25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180"/>
        <v>0-12 Months</v>
      </c>
      <c r="W2893">
        <f t="shared" si="181"/>
        <v>1</v>
      </c>
      <c r="X2893">
        <f t="shared" si="182"/>
        <v>79.7</v>
      </c>
      <c r="Y2893" t="str">
        <f t="shared" si="183"/>
        <v>Non-Senior</v>
      </c>
    </row>
    <row r="2894" spans="1:25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7082</v>
      </c>
      <c r="J2894" t="s">
        <v>7084</v>
      </c>
      <c r="K2894" t="s">
        <v>46</v>
      </c>
      <c r="L2894" t="s">
        <v>7084</v>
      </c>
      <c r="M2894" t="s">
        <v>7084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180"/>
        <v>0-12 Months</v>
      </c>
      <c r="W2894">
        <f t="shared" si="181"/>
        <v>0</v>
      </c>
      <c r="X2894">
        <f t="shared" si="182"/>
        <v>0</v>
      </c>
      <c r="Y2894" t="str">
        <f t="shared" si="183"/>
        <v>Non-Senior</v>
      </c>
    </row>
    <row r="2895" spans="1:25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180"/>
        <v>13-24 Months</v>
      </c>
      <c r="W2895">
        <f t="shared" si="181"/>
        <v>1</v>
      </c>
      <c r="X2895">
        <f t="shared" si="182"/>
        <v>59</v>
      </c>
      <c r="Y2895" t="str">
        <f t="shared" si="183"/>
        <v>Non-Senior</v>
      </c>
    </row>
    <row r="2896" spans="1:25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180"/>
        <v>37-48 Months</v>
      </c>
      <c r="W2896">
        <f t="shared" si="181"/>
        <v>1</v>
      </c>
      <c r="X2896">
        <f t="shared" si="182"/>
        <v>60.35</v>
      </c>
      <c r="Y2896" t="str">
        <f t="shared" si="183"/>
        <v>Non-Senior</v>
      </c>
    </row>
    <row r="2897" spans="1:25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7082</v>
      </c>
      <c r="J2897" t="s">
        <v>7084</v>
      </c>
      <c r="K2897" t="s">
        <v>46</v>
      </c>
      <c r="L2897" t="s">
        <v>7084</v>
      </c>
      <c r="M2897" t="s">
        <v>7084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180"/>
        <v>37-48 Months</v>
      </c>
      <c r="W2897">
        <f t="shared" si="181"/>
        <v>0</v>
      </c>
      <c r="X2897">
        <f t="shared" si="182"/>
        <v>0</v>
      </c>
      <c r="Y2897" t="str">
        <f t="shared" si="183"/>
        <v>Non-Senior</v>
      </c>
    </row>
    <row r="2898" spans="1:25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7082</v>
      </c>
      <c r="J2898" t="s">
        <v>7084</v>
      </c>
      <c r="K2898" t="s">
        <v>46</v>
      </c>
      <c r="L2898" t="s">
        <v>7084</v>
      </c>
      <c r="M2898" t="s">
        <v>7084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180"/>
        <v>13-24 Months</v>
      </c>
      <c r="W2898">
        <f t="shared" si="181"/>
        <v>0</v>
      </c>
      <c r="X2898">
        <f t="shared" si="182"/>
        <v>0</v>
      </c>
      <c r="Y2898" t="str">
        <f t="shared" si="183"/>
        <v>Non-Senior</v>
      </c>
    </row>
    <row r="2899" spans="1:25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7082</v>
      </c>
      <c r="J2899" t="s">
        <v>7084</v>
      </c>
      <c r="K2899" t="s">
        <v>46</v>
      </c>
      <c r="L2899" t="s">
        <v>7084</v>
      </c>
      <c r="M2899" t="s">
        <v>7084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180"/>
        <v>37-48 Months</v>
      </c>
      <c r="W2899">
        <f t="shared" si="181"/>
        <v>0</v>
      </c>
      <c r="X2899">
        <f t="shared" si="182"/>
        <v>0</v>
      </c>
      <c r="Y2899" t="str">
        <f t="shared" si="183"/>
        <v>Non-Senior</v>
      </c>
    </row>
    <row r="2900" spans="1:25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180"/>
        <v>0-12 Months</v>
      </c>
      <c r="W2900">
        <f t="shared" si="181"/>
        <v>0</v>
      </c>
      <c r="X2900">
        <f t="shared" si="182"/>
        <v>0</v>
      </c>
      <c r="Y2900" t="str">
        <f t="shared" si="183"/>
        <v>Non-Senior</v>
      </c>
    </row>
    <row r="2901" spans="1:25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180"/>
        <v>61-72 Months</v>
      </c>
      <c r="W2901">
        <f t="shared" si="181"/>
        <v>0</v>
      </c>
      <c r="X2901">
        <f t="shared" si="182"/>
        <v>0</v>
      </c>
      <c r="Y2901" t="str">
        <f t="shared" si="183"/>
        <v>Non-Senior</v>
      </c>
    </row>
    <row r="2902" spans="1:25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180"/>
        <v>0-12 Months</v>
      </c>
      <c r="W2902">
        <f t="shared" si="181"/>
        <v>1</v>
      </c>
      <c r="X2902">
        <f t="shared" si="182"/>
        <v>69.25</v>
      </c>
      <c r="Y2902" t="str">
        <f t="shared" si="183"/>
        <v>Senior Citizen</v>
      </c>
    </row>
    <row r="2903" spans="1:25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180"/>
        <v>61-72 Months</v>
      </c>
      <c r="W2903">
        <f t="shared" si="181"/>
        <v>0</v>
      </c>
      <c r="X2903">
        <f t="shared" si="182"/>
        <v>0</v>
      </c>
      <c r="Y2903" t="str">
        <f t="shared" si="183"/>
        <v>Non-Senior</v>
      </c>
    </row>
    <row r="2904" spans="1:25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180"/>
        <v>0-12 Months</v>
      </c>
      <c r="W2904">
        <f t="shared" si="181"/>
        <v>0</v>
      </c>
      <c r="X2904">
        <f t="shared" si="182"/>
        <v>0</v>
      </c>
      <c r="Y2904" t="str">
        <f t="shared" si="183"/>
        <v>Senior Citizen</v>
      </c>
    </row>
    <row r="2905" spans="1:25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180"/>
        <v>0-12 Months</v>
      </c>
      <c r="W2905">
        <f t="shared" si="181"/>
        <v>0</v>
      </c>
      <c r="X2905">
        <f t="shared" si="182"/>
        <v>0</v>
      </c>
      <c r="Y2905" t="str">
        <f t="shared" si="183"/>
        <v>Non-Senior</v>
      </c>
    </row>
    <row r="2906" spans="1:25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180"/>
        <v>25-36 Months</v>
      </c>
      <c r="W2906">
        <f t="shared" si="181"/>
        <v>1</v>
      </c>
      <c r="X2906">
        <f t="shared" si="182"/>
        <v>70.95</v>
      </c>
      <c r="Y2906" t="str">
        <f t="shared" si="183"/>
        <v>Non-Senior</v>
      </c>
    </row>
    <row r="2907" spans="1:25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180"/>
        <v>13-24 Months</v>
      </c>
      <c r="W2907">
        <f t="shared" si="181"/>
        <v>0</v>
      </c>
      <c r="X2907">
        <f t="shared" si="182"/>
        <v>0</v>
      </c>
      <c r="Y2907" t="str">
        <f t="shared" si="183"/>
        <v>Non-Senior</v>
      </c>
    </row>
    <row r="2908" spans="1:25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180"/>
        <v>0-12 Months</v>
      </c>
      <c r="W2908">
        <f t="shared" si="181"/>
        <v>0</v>
      </c>
      <c r="X2908">
        <f t="shared" si="182"/>
        <v>0</v>
      </c>
      <c r="Y2908" t="str">
        <f t="shared" si="183"/>
        <v>Non-Senior</v>
      </c>
    </row>
    <row r="2909" spans="1:25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180"/>
        <v>13-24 Months</v>
      </c>
      <c r="W2909">
        <f t="shared" si="181"/>
        <v>1</v>
      </c>
      <c r="X2909">
        <f t="shared" si="182"/>
        <v>89</v>
      </c>
      <c r="Y2909" t="str">
        <f t="shared" si="183"/>
        <v>Non-Senior</v>
      </c>
    </row>
    <row r="2910" spans="1:25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180"/>
        <v>13-24 Months</v>
      </c>
      <c r="W2910">
        <f t="shared" si="181"/>
        <v>1</v>
      </c>
      <c r="X2910">
        <f t="shared" si="182"/>
        <v>99.4</v>
      </c>
      <c r="Y2910" t="str">
        <f t="shared" si="183"/>
        <v>Non-Senior</v>
      </c>
    </row>
    <row r="2911" spans="1:25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180"/>
        <v>37-48 Months</v>
      </c>
      <c r="W2911">
        <f t="shared" si="181"/>
        <v>0</v>
      </c>
      <c r="X2911">
        <f t="shared" si="182"/>
        <v>0</v>
      </c>
      <c r="Y2911" t="str">
        <f t="shared" si="183"/>
        <v>Non-Senior</v>
      </c>
    </row>
    <row r="2912" spans="1:25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7082</v>
      </c>
      <c r="J2912" t="s">
        <v>7084</v>
      </c>
      <c r="K2912" t="s">
        <v>46</v>
      </c>
      <c r="L2912" t="s">
        <v>7084</v>
      </c>
      <c r="M2912" t="s">
        <v>7084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180"/>
        <v>25-36 Months</v>
      </c>
      <c r="W2912">
        <f t="shared" si="181"/>
        <v>0</v>
      </c>
      <c r="X2912">
        <f t="shared" si="182"/>
        <v>0</v>
      </c>
      <c r="Y2912" t="str">
        <f t="shared" si="183"/>
        <v>Non-Senior</v>
      </c>
    </row>
    <row r="2913" spans="1:25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180"/>
        <v>0-12 Months</v>
      </c>
      <c r="W2913">
        <f t="shared" si="181"/>
        <v>1</v>
      </c>
      <c r="X2913">
        <f t="shared" si="182"/>
        <v>73.5</v>
      </c>
      <c r="Y2913" t="str">
        <f t="shared" si="183"/>
        <v>Non-Senior</v>
      </c>
    </row>
    <row r="2914" spans="1:25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180"/>
        <v>25-36 Months</v>
      </c>
      <c r="W2914">
        <f t="shared" si="181"/>
        <v>0</v>
      </c>
      <c r="X2914">
        <f t="shared" si="182"/>
        <v>0</v>
      </c>
      <c r="Y2914" t="str">
        <f t="shared" si="183"/>
        <v>Senior Citizen</v>
      </c>
    </row>
    <row r="2915" spans="1:25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180"/>
        <v>49-60 Months</v>
      </c>
      <c r="W2915">
        <f t="shared" si="181"/>
        <v>0</v>
      </c>
      <c r="X2915">
        <f t="shared" si="182"/>
        <v>0</v>
      </c>
      <c r="Y2915" t="str">
        <f t="shared" si="183"/>
        <v>Non-Senior</v>
      </c>
    </row>
    <row r="2916" spans="1:25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180"/>
        <v>25-36 Months</v>
      </c>
      <c r="W2916">
        <f t="shared" si="181"/>
        <v>0</v>
      </c>
      <c r="X2916">
        <f t="shared" si="182"/>
        <v>0</v>
      </c>
      <c r="Y2916" t="str">
        <f t="shared" si="183"/>
        <v>Non-Senior</v>
      </c>
    </row>
    <row r="2917" spans="1:25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180"/>
        <v>61-72 Months</v>
      </c>
      <c r="W2917">
        <f t="shared" si="181"/>
        <v>0</v>
      </c>
      <c r="X2917">
        <f t="shared" si="182"/>
        <v>0</v>
      </c>
      <c r="Y2917" t="str">
        <f t="shared" si="183"/>
        <v>Non-Senior</v>
      </c>
    </row>
    <row r="2918" spans="1:25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180"/>
        <v>49-60 Months</v>
      </c>
      <c r="W2918">
        <f t="shared" si="181"/>
        <v>0</v>
      </c>
      <c r="X2918">
        <f t="shared" si="182"/>
        <v>0</v>
      </c>
      <c r="Y2918" t="str">
        <f t="shared" si="183"/>
        <v>Non-Senior</v>
      </c>
    </row>
    <row r="2919" spans="1:25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7082</v>
      </c>
      <c r="J2919" t="s">
        <v>7084</v>
      </c>
      <c r="K2919" t="s">
        <v>46</v>
      </c>
      <c r="L2919" t="s">
        <v>7084</v>
      </c>
      <c r="M2919" t="s">
        <v>7084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180"/>
        <v>61-72 Months</v>
      </c>
      <c r="W2919">
        <f t="shared" si="181"/>
        <v>0</v>
      </c>
      <c r="X2919">
        <f t="shared" si="182"/>
        <v>0</v>
      </c>
      <c r="Y2919" t="str">
        <f t="shared" si="183"/>
        <v>Non-Senior</v>
      </c>
    </row>
    <row r="2920" spans="1:25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180"/>
        <v>0-12 Months</v>
      </c>
      <c r="W2920">
        <f t="shared" si="181"/>
        <v>0</v>
      </c>
      <c r="X2920">
        <f t="shared" si="182"/>
        <v>0</v>
      </c>
      <c r="Y2920" t="str">
        <f t="shared" si="183"/>
        <v>Senior Citizen</v>
      </c>
    </row>
    <row r="2921" spans="1:25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180"/>
        <v>49-60 Months</v>
      </c>
      <c r="W2921">
        <f t="shared" si="181"/>
        <v>0</v>
      </c>
      <c r="X2921">
        <f t="shared" si="182"/>
        <v>0</v>
      </c>
      <c r="Y2921" t="str">
        <f t="shared" si="183"/>
        <v>Non-Senior</v>
      </c>
    </row>
    <row r="2922" spans="1:25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180"/>
        <v>61-72 Months</v>
      </c>
      <c r="W2922">
        <f t="shared" si="181"/>
        <v>0</v>
      </c>
      <c r="X2922">
        <f t="shared" si="182"/>
        <v>0</v>
      </c>
      <c r="Y2922" t="str">
        <f t="shared" si="183"/>
        <v>Non-Senior</v>
      </c>
    </row>
    <row r="2923" spans="1:25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180"/>
        <v>0-12 Months</v>
      </c>
      <c r="W2923">
        <f t="shared" si="181"/>
        <v>1</v>
      </c>
      <c r="X2923">
        <f t="shared" si="182"/>
        <v>95.5</v>
      </c>
      <c r="Y2923" t="str">
        <f t="shared" si="183"/>
        <v>Non-Senior</v>
      </c>
    </row>
    <row r="2924" spans="1:25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180"/>
        <v>25-36 Months</v>
      </c>
      <c r="W2924">
        <f t="shared" si="181"/>
        <v>1</v>
      </c>
      <c r="X2924">
        <f t="shared" si="182"/>
        <v>92.35</v>
      </c>
      <c r="Y2924" t="str">
        <f t="shared" si="183"/>
        <v>Non-Senior</v>
      </c>
    </row>
    <row r="2925" spans="1:25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180"/>
        <v>49-60 Months</v>
      </c>
      <c r="W2925">
        <f t="shared" si="181"/>
        <v>0</v>
      </c>
      <c r="X2925">
        <f t="shared" si="182"/>
        <v>0</v>
      </c>
      <c r="Y2925" t="str">
        <f t="shared" si="183"/>
        <v>Non-Senior</v>
      </c>
    </row>
    <row r="2926" spans="1:25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180"/>
        <v>0-12 Months</v>
      </c>
      <c r="W2926">
        <f t="shared" si="181"/>
        <v>1</v>
      </c>
      <c r="X2926">
        <f t="shared" si="182"/>
        <v>74.55</v>
      </c>
      <c r="Y2926" t="str">
        <f t="shared" si="183"/>
        <v>Non-Senior</v>
      </c>
    </row>
    <row r="2927" spans="1:25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180"/>
        <v>49-60 Months</v>
      </c>
      <c r="W2927">
        <f t="shared" si="181"/>
        <v>0</v>
      </c>
      <c r="X2927">
        <f t="shared" si="182"/>
        <v>0</v>
      </c>
      <c r="Y2927" t="str">
        <f t="shared" si="183"/>
        <v>Non-Senior</v>
      </c>
    </row>
    <row r="2928" spans="1:25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180"/>
        <v>61-72 Months</v>
      </c>
      <c r="W2928">
        <f t="shared" si="181"/>
        <v>0</v>
      </c>
      <c r="X2928">
        <f t="shared" si="182"/>
        <v>0</v>
      </c>
      <c r="Y2928" t="str">
        <f t="shared" si="183"/>
        <v>Non-Senior</v>
      </c>
    </row>
    <row r="2929" spans="1:25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180"/>
        <v>0-12 Months</v>
      </c>
      <c r="W2929">
        <f t="shared" si="181"/>
        <v>0</v>
      </c>
      <c r="X2929">
        <f t="shared" si="182"/>
        <v>0</v>
      </c>
      <c r="Y2929" t="str">
        <f t="shared" si="183"/>
        <v>Non-Senior</v>
      </c>
    </row>
    <row r="2930" spans="1:25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180"/>
        <v>61-72 Months</v>
      </c>
      <c r="W2930">
        <f t="shared" si="181"/>
        <v>0</v>
      </c>
      <c r="X2930">
        <f t="shared" si="182"/>
        <v>0</v>
      </c>
      <c r="Y2930" t="str">
        <f t="shared" si="183"/>
        <v>Non-Senior</v>
      </c>
    </row>
    <row r="2931" spans="1:25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180"/>
        <v>37-48 Months</v>
      </c>
      <c r="W2931">
        <f t="shared" si="181"/>
        <v>0</v>
      </c>
      <c r="X2931">
        <f t="shared" si="182"/>
        <v>0</v>
      </c>
      <c r="Y2931" t="str">
        <f t="shared" si="183"/>
        <v>Non-Senior</v>
      </c>
    </row>
    <row r="2932" spans="1:25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7082</v>
      </c>
      <c r="J2932" t="s">
        <v>7084</v>
      </c>
      <c r="K2932" t="s">
        <v>46</v>
      </c>
      <c r="L2932" t="s">
        <v>7084</v>
      </c>
      <c r="M2932" t="s">
        <v>7084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180"/>
        <v>25-36 Months</v>
      </c>
      <c r="W2932">
        <f t="shared" si="181"/>
        <v>0</v>
      </c>
      <c r="X2932">
        <f t="shared" si="182"/>
        <v>0</v>
      </c>
      <c r="Y2932" t="str">
        <f t="shared" si="183"/>
        <v>Non-Senior</v>
      </c>
    </row>
    <row r="2933" spans="1:25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180"/>
        <v>25-36 Months</v>
      </c>
      <c r="W2933">
        <f t="shared" si="181"/>
        <v>0</v>
      </c>
      <c r="X2933">
        <f t="shared" si="182"/>
        <v>0</v>
      </c>
      <c r="Y2933" t="str">
        <f t="shared" si="183"/>
        <v>Senior Citizen</v>
      </c>
    </row>
    <row r="2934" spans="1:25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180"/>
        <v>49-60 Months</v>
      </c>
      <c r="W2934">
        <f t="shared" si="181"/>
        <v>0</v>
      </c>
      <c r="X2934">
        <f t="shared" si="182"/>
        <v>0</v>
      </c>
      <c r="Y2934" t="str">
        <f t="shared" si="183"/>
        <v>Senior Citizen</v>
      </c>
    </row>
    <row r="2935" spans="1:25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7082</v>
      </c>
      <c r="J2935" t="s">
        <v>7084</v>
      </c>
      <c r="K2935" t="s">
        <v>46</v>
      </c>
      <c r="L2935" t="s">
        <v>7084</v>
      </c>
      <c r="M2935" t="s">
        <v>7084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180"/>
        <v>61-72 Months</v>
      </c>
      <c r="W2935">
        <f t="shared" si="181"/>
        <v>0</v>
      </c>
      <c r="X2935">
        <f t="shared" si="182"/>
        <v>0</v>
      </c>
      <c r="Y2935" t="str">
        <f t="shared" si="183"/>
        <v>Non-Senior</v>
      </c>
    </row>
    <row r="2936" spans="1:25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7082</v>
      </c>
      <c r="J2936" t="s">
        <v>7084</v>
      </c>
      <c r="K2936" t="s">
        <v>46</v>
      </c>
      <c r="L2936" t="s">
        <v>7084</v>
      </c>
      <c r="M2936" t="s">
        <v>7084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180"/>
        <v>0-12 Months</v>
      </c>
      <c r="W2936">
        <f t="shared" si="181"/>
        <v>0</v>
      </c>
      <c r="X2936">
        <f t="shared" si="182"/>
        <v>0</v>
      </c>
      <c r="Y2936" t="str">
        <f t="shared" si="183"/>
        <v>Non-Senior</v>
      </c>
    </row>
    <row r="2937" spans="1:25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180"/>
        <v>61-72 Months</v>
      </c>
      <c r="W2937">
        <f t="shared" si="181"/>
        <v>0</v>
      </c>
      <c r="X2937">
        <f t="shared" si="182"/>
        <v>0</v>
      </c>
      <c r="Y2937" t="str">
        <f t="shared" si="183"/>
        <v>Non-Senior</v>
      </c>
    </row>
    <row r="2938" spans="1:25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180"/>
        <v>37-48 Months</v>
      </c>
      <c r="W2938">
        <f t="shared" si="181"/>
        <v>0</v>
      </c>
      <c r="X2938">
        <f t="shared" si="182"/>
        <v>0</v>
      </c>
      <c r="Y2938" t="str">
        <f t="shared" si="183"/>
        <v>Non-Senior</v>
      </c>
    </row>
    <row r="2939" spans="1:25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180"/>
        <v>61-72 Months</v>
      </c>
      <c r="W2939">
        <f t="shared" si="181"/>
        <v>0</v>
      </c>
      <c r="X2939">
        <f t="shared" si="182"/>
        <v>0</v>
      </c>
      <c r="Y2939" t="str">
        <f t="shared" si="183"/>
        <v>Non-Senior</v>
      </c>
    </row>
    <row r="2940" spans="1:25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180"/>
        <v>49-60 Months</v>
      </c>
      <c r="W2940">
        <f t="shared" si="181"/>
        <v>0</v>
      </c>
      <c r="X2940">
        <f t="shared" si="182"/>
        <v>0</v>
      </c>
      <c r="Y2940" t="str">
        <f t="shared" si="183"/>
        <v>Non-Senior</v>
      </c>
    </row>
    <row r="2941" spans="1:25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180"/>
        <v>0-12 Months</v>
      </c>
      <c r="W2941">
        <f t="shared" si="181"/>
        <v>1</v>
      </c>
      <c r="X2941">
        <f t="shared" si="182"/>
        <v>83.8</v>
      </c>
      <c r="Y2941" t="str">
        <f t="shared" si="183"/>
        <v>Senior Citizen</v>
      </c>
    </row>
    <row r="2942" spans="1:25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180"/>
        <v>49-60 Months</v>
      </c>
      <c r="W2942">
        <f t="shared" si="181"/>
        <v>1</v>
      </c>
      <c r="X2942">
        <f t="shared" si="182"/>
        <v>54.45</v>
      </c>
      <c r="Y2942" t="str">
        <f t="shared" si="183"/>
        <v>Senior Citizen</v>
      </c>
    </row>
    <row r="2943" spans="1:25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180"/>
        <v>61-72 Months</v>
      </c>
      <c r="W2943">
        <f t="shared" si="181"/>
        <v>0</v>
      </c>
      <c r="X2943">
        <f t="shared" si="182"/>
        <v>0</v>
      </c>
      <c r="Y2943" t="str">
        <f t="shared" si="183"/>
        <v>Non-Senior</v>
      </c>
    </row>
    <row r="2944" spans="1:25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7082</v>
      </c>
      <c r="J2944" t="s">
        <v>7084</v>
      </c>
      <c r="K2944" t="s">
        <v>46</v>
      </c>
      <c r="L2944" t="s">
        <v>7084</v>
      </c>
      <c r="M2944" t="s">
        <v>7084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180"/>
        <v>37-48 Months</v>
      </c>
      <c r="W2944">
        <f t="shared" si="181"/>
        <v>0</v>
      </c>
      <c r="X2944">
        <f t="shared" si="182"/>
        <v>0</v>
      </c>
      <c r="Y2944" t="str">
        <f t="shared" si="183"/>
        <v>Non-Senior</v>
      </c>
    </row>
    <row r="2945" spans="1:25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7082</v>
      </c>
      <c r="J2945" t="s">
        <v>7084</v>
      </c>
      <c r="K2945" t="s">
        <v>46</v>
      </c>
      <c r="L2945" t="s">
        <v>7084</v>
      </c>
      <c r="M2945" t="s">
        <v>7084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180"/>
        <v>37-48 Months</v>
      </c>
      <c r="W2945">
        <f t="shared" si="181"/>
        <v>0</v>
      </c>
      <c r="X2945">
        <f t="shared" si="182"/>
        <v>0</v>
      </c>
      <c r="Y2945" t="str">
        <f t="shared" si="183"/>
        <v>Non-Senior</v>
      </c>
    </row>
    <row r="2946" spans="1:25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si="180"/>
        <v>0-12 Months</v>
      </c>
      <c r="W2946">
        <f t="shared" si="181"/>
        <v>0</v>
      </c>
      <c r="X2946">
        <f t="shared" si="182"/>
        <v>0</v>
      </c>
      <c r="Y2946" t="str">
        <f t="shared" si="183"/>
        <v>Non-Senior</v>
      </c>
    </row>
    <row r="2947" spans="1:25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ref="V2947:V3010" si="184">IF(F2947&lt;=12,"0-12 Months",IF(F2947&lt;=24,"13-24 Months",IF(F2947&lt;=36,"25-36 Months",IF(F2947&lt;=48,"37-48 Months",IF(F2947&lt;=60,"49-60 Months","61-72 Months")))))</f>
        <v>0-12 Months</v>
      </c>
      <c r="W2947">
        <f t="shared" ref="W2947:W3010" si="185">IF(U2947="Yes",1,0)</f>
        <v>0</v>
      </c>
      <c r="X2947">
        <f t="shared" ref="X2947:X3010" si="186">IF(U2947="Yes",S2947,0)</f>
        <v>0</v>
      </c>
      <c r="Y2947" t="str">
        <f t="shared" ref="Y2947:Y3010" si="187">IF(C2947=1,"Senior Citizen","Non-Senior")</f>
        <v>Non-Senior</v>
      </c>
    </row>
    <row r="2948" spans="1:25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184"/>
        <v>49-60 Months</v>
      </c>
      <c r="W2948">
        <f t="shared" si="185"/>
        <v>0</v>
      </c>
      <c r="X2948">
        <f t="shared" si="186"/>
        <v>0</v>
      </c>
      <c r="Y2948" t="str">
        <f t="shared" si="187"/>
        <v>Non-Senior</v>
      </c>
    </row>
    <row r="2949" spans="1:25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184"/>
        <v>49-60 Months</v>
      </c>
      <c r="W2949">
        <f t="shared" si="185"/>
        <v>0</v>
      </c>
      <c r="X2949">
        <f t="shared" si="186"/>
        <v>0</v>
      </c>
      <c r="Y2949" t="str">
        <f t="shared" si="187"/>
        <v>Non-Senior</v>
      </c>
    </row>
    <row r="2950" spans="1:25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184"/>
        <v>37-48 Months</v>
      </c>
      <c r="W2950">
        <f t="shared" si="185"/>
        <v>1</v>
      </c>
      <c r="X2950">
        <f t="shared" si="186"/>
        <v>99.8</v>
      </c>
      <c r="Y2950" t="str">
        <f t="shared" si="187"/>
        <v>Senior Citizen</v>
      </c>
    </row>
    <row r="2951" spans="1:25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184"/>
        <v>49-60 Months</v>
      </c>
      <c r="W2951">
        <f t="shared" si="185"/>
        <v>0</v>
      </c>
      <c r="X2951">
        <f t="shared" si="186"/>
        <v>0</v>
      </c>
      <c r="Y2951" t="str">
        <f t="shared" si="187"/>
        <v>Non-Senior</v>
      </c>
    </row>
    <row r="2952" spans="1:25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7082</v>
      </c>
      <c r="J2952" t="s">
        <v>7084</v>
      </c>
      <c r="K2952" t="s">
        <v>46</v>
      </c>
      <c r="L2952" t="s">
        <v>7084</v>
      </c>
      <c r="M2952" t="s">
        <v>7084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184"/>
        <v>0-12 Months</v>
      </c>
      <c r="W2952">
        <f t="shared" si="185"/>
        <v>0</v>
      </c>
      <c r="X2952">
        <f t="shared" si="186"/>
        <v>0</v>
      </c>
      <c r="Y2952" t="str">
        <f t="shared" si="187"/>
        <v>Non-Senior</v>
      </c>
    </row>
    <row r="2953" spans="1:25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184"/>
        <v>13-24 Months</v>
      </c>
      <c r="W2953">
        <f t="shared" si="185"/>
        <v>0</v>
      </c>
      <c r="X2953">
        <f t="shared" si="186"/>
        <v>0</v>
      </c>
      <c r="Y2953" t="str">
        <f t="shared" si="187"/>
        <v>Non-Senior</v>
      </c>
    </row>
    <row r="2954" spans="1:25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7082</v>
      </c>
      <c r="J2954" t="s">
        <v>7084</v>
      </c>
      <c r="K2954" t="s">
        <v>46</v>
      </c>
      <c r="L2954" t="s">
        <v>7084</v>
      </c>
      <c r="M2954" t="s">
        <v>7084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184"/>
        <v>25-36 Months</v>
      </c>
      <c r="W2954">
        <f t="shared" si="185"/>
        <v>0</v>
      </c>
      <c r="X2954">
        <f t="shared" si="186"/>
        <v>0</v>
      </c>
      <c r="Y2954" t="str">
        <f t="shared" si="187"/>
        <v>Non-Senior</v>
      </c>
    </row>
    <row r="2955" spans="1:25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184"/>
        <v>13-24 Months</v>
      </c>
      <c r="W2955">
        <f t="shared" si="185"/>
        <v>1</v>
      </c>
      <c r="X2955">
        <f t="shared" si="186"/>
        <v>105.85</v>
      </c>
      <c r="Y2955" t="str">
        <f t="shared" si="187"/>
        <v>Non-Senior</v>
      </c>
    </row>
    <row r="2956" spans="1:25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184"/>
        <v>0-12 Months</v>
      </c>
      <c r="W2956">
        <f t="shared" si="185"/>
        <v>1</v>
      </c>
      <c r="X2956">
        <f t="shared" si="186"/>
        <v>75.45</v>
      </c>
      <c r="Y2956" t="str">
        <f t="shared" si="187"/>
        <v>Non-Senior</v>
      </c>
    </row>
    <row r="2957" spans="1:25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184"/>
        <v>0-12 Months</v>
      </c>
      <c r="W2957">
        <f t="shared" si="185"/>
        <v>1</v>
      </c>
      <c r="X2957">
        <f t="shared" si="186"/>
        <v>93.85</v>
      </c>
      <c r="Y2957" t="str">
        <f t="shared" si="187"/>
        <v>Non-Senior</v>
      </c>
    </row>
    <row r="2958" spans="1:25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184"/>
        <v>49-60 Months</v>
      </c>
      <c r="W2958">
        <f t="shared" si="185"/>
        <v>0</v>
      </c>
      <c r="X2958">
        <f t="shared" si="186"/>
        <v>0</v>
      </c>
      <c r="Y2958" t="str">
        <f t="shared" si="187"/>
        <v>Non-Senior</v>
      </c>
    </row>
    <row r="2959" spans="1:25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184"/>
        <v>0-12 Months</v>
      </c>
      <c r="W2959">
        <f t="shared" si="185"/>
        <v>0</v>
      </c>
      <c r="X2959">
        <f t="shared" si="186"/>
        <v>0</v>
      </c>
      <c r="Y2959" t="str">
        <f t="shared" si="187"/>
        <v>Non-Senior</v>
      </c>
    </row>
    <row r="2960" spans="1:25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7082</v>
      </c>
      <c r="J2960" t="s">
        <v>7084</v>
      </c>
      <c r="K2960" t="s">
        <v>46</v>
      </c>
      <c r="L2960" t="s">
        <v>7084</v>
      </c>
      <c r="M2960" t="s">
        <v>7084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184"/>
        <v>0-12 Months</v>
      </c>
      <c r="W2960">
        <f t="shared" si="185"/>
        <v>0</v>
      </c>
      <c r="X2960">
        <f t="shared" si="186"/>
        <v>0</v>
      </c>
      <c r="Y2960" t="str">
        <f t="shared" si="187"/>
        <v>Non-Senior</v>
      </c>
    </row>
    <row r="2961" spans="1:25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184"/>
        <v>25-36 Months</v>
      </c>
      <c r="W2961">
        <f t="shared" si="185"/>
        <v>0</v>
      </c>
      <c r="X2961">
        <f t="shared" si="186"/>
        <v>0</v>
      </c>
      <c r="Y2961" t="str">
        <f t="shared" si="187"/>
        <v>Non-Senior</v>
      </c>
    </row>
    <row r="2962" spans="1:25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184"/>
        <v>13-24 Months</v>
      </c>
      <c r="W2962">
        <f t="shared" si="185"/>
        <v>1</v>
      </c>
      <c r="X2962">
        <f t="shared" si="186"/>
        <v>100.75</v>
      </c>
      <c r="Y2962" t="str">
        <f t="shared" si="187"/>
        <v>Non-Senior</v>
      </c>
    </row>
    <row r="2963" spans="1:25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184"/>
        <v>0-12 Months</v>
      </c>
      <c r="W2963">
        <f t="shared" si="185"/>
        <v>0</v>
      </c>
      <c r="X2963">
        <f t="shared" si="186"/>
        <v>0</v>
      </c>
      <c r="Y2963" t="str">
        <f t="shared" si="187"/>
        <v>Non-Senior</v>
      </c>
    </row>
    <row r="2964" spans="1:25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184"/>
        <v>0-12 Months</v>
      </c>
      <c r="W2964">
        <f t="shared" si="185"/>
        <v>1</v>
      </c>
      <c r="X2964">
        <f t="shared" si="186"/>
        <v>31</v>
      </c>
      <c r="Y2964" t="str">
        <f t="shared" si="187"/>
        <v>Non-Senior</v>
      </c>
    </row>
    <row r="2965" spans="1:25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7082</v>
      </c>
      <c r="J2965" t="s">
        <v>7084</v>
      </c>
      <c r="K2965" t="s">
        <v>46</v>
      </c>
      <c r="L2965" t="s">
        <v>7084</v>
      </c>
      <c r="M2965" t="s">
        <v>7084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184"/>
        <v>25-36 Months</v>
      </c>
      <c r="W2965">
        <f t="shared" si="185"/>
        <v>0</v>
      </c>
      <c r="X2965">
        <f t="shared" si="186"/>
        <v>0</v>
      </c>
      <c r="Y2965" t="str">
        <f t="shared" si="187"/>
        <v>Non-Senior</v>
      </c>
    </row>
    <row r="2966" spans="1:25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184"/>
        <v>13-24 Months</v>
      </c>
      <c r="W2966">
        <f t="shared" si="185"/>
        <v>0</v>
      </c>
      <c r="X2966">
        <f t="shared" si="186"/>
        <v>0</v>
      </c>
      <c r="Y2966" t="str">
        <f t="shared" si="187"/>
        <v>Non-Senior</v>
      </c>
    </row>
    <row r="2967" spans="1:25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184"/>
        <v>49-60 Months</v>
      </c>
      <c r="W2967">
        <f t="shared" si="185"/>
        <v>1</v>
      </c>
      <c r="X2967">
        <f t="shared" si="186"/>
        <v>80</v>
      </c>
      <c r="Y2967" t="str">
        <f t="shared" si="187"/>
        <v>Non-Senior</v>
      </c>
    </row>
    <row r="2968" spans="1:25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184"/>
        <v>13-24 Months</v>
      </c>
      <c r="W2968">
        <f t="shared" si="185"/>
        <v>0</v>
      </c>
      <c r="X2968">
        <f t="shared" si="186"/>
        <v>0</v>
      </c>
      <c r="Y2968" t="str">
        <f t="shared" si="187"/>
        <v>Senior Citizen</v>
      </c>
    </row>
    <row r="2969" spans="1:25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184"/>
        <v>49-60 Months</v>
      </c>
      <c r="W2969">
        <f t="shared" si="185"/>
        <v>0</v>
      </c>
      <c r="X2969">
        <f t="shared" si="186"/>
        <v>0</v>
      </c>
      <c r="Y2969" t="str">
        <f t="shared" si="187"/>
        <v>Non-Senior</v>
      </c>
    </row>
    <row r="2970" spans="1:25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184"/>
        <v>0-12 Months</v>
      </c>
      <c r="W2970">
        <f t="shared" si="185"/>
        <v>0</v>
      </c>
      <c r="X2970">
        <f t="shared" si="186"/>
        <v>0</v>
      </c>
      <c r="Y2970" t="str">
        <f t="shared" si="187"/>
        <v>Non-Senior</v>
      </c>
    </row>
    <row r="2971" spans="1:25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184"/>
        <v>61-72 Months</v>
      </c>
      <c r="W2971">
        <f t="shared" si="185"/>
        <v>0</v>
      </c>
      <c r="X2971">
        <f t="shared" si="186"/>
        <v>0</v>
      </c>
      <c r="Y2971" t="str">
        <f t="shared" si="187"/>
        <v>Non-Senior</v>
      </c>
    </row>
    <row r="2972" spans="1:25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184"/>
        <v>0-12 Months</v>
      </c>
      <c r="W2972">
        <f t="shared" si="185"/>
        <v>1</v>
      </c>
      <c r="X2972">
        <f t="shared" si="186"/>
        <v>70.25</v>
      </c>
      <c r="Y2972" t="str">
        <f t="shared" si="187"/>
        <v>Senior Citizen</v>
      </c>
    </row>
    <row r="2973" spans="1:25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184"/>
        <v>49-60 Months</v>
      </c>
      <c r="W2973">
        <f t="shared" si="185"/>
        <v>0</v>
      </c>
      <c r="X2973">
        <f t="shared" si="186"/>
        <v>0</v>
      </c>
      <c r="Y2973" t="str">
        <f t="shared" si="187"/>
        <v>Non-Senior</v>
      </c>
    </row>
    <row r="2974" spans="1:25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184"/>
        <v>61-72 Months</v>
      </c>
      <c r="W2974">
        <f t="shared" si="185"/>
        <v>0</v>
      </c>
      <c r="X2974">
        <f t="shared" si="186"/>
        <v>0</v>
      </c>
      <c r="Y2974" t="str">
        <f t="shared" si="187"/>
        <v>Non-Senior</v>
      </c>
    </row>
    <row r="2975" spans="1:25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184"/>
        <v>61-72 Months</v>
      </c>
      <c r="W2975">
        <f t="shared" si="185"/>
        <v>1</v>
      </c>
      <c r="X2975">
        <f t="shared" si="186"/>
        <v>100.15</v>
      </c>
      <c r="Y2975" t="str">
        <f t="shared" si="187"/>
        <v>Non-Senior</v>
      </c>
    </row>
    <row r="2976" spans="1:25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184"/>
        <v>25-36 Months</v>
      </c>
      <c r="W2976">
        <f t="shared" si="185"/>
        <v>1</v>
      </c>
      <c r="X2976">
        <f t="shared" si="186"/>
        <v>94.5</v>
      </c>
      <c r="Y2976" t="str">
        <f t="shared" si="187"/>
        <v>Non-Senior</v>
      </c>
    </row>
    <row r="2977" spans="1:25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184"/>
        <v>0-12 Months</v>
      </c>
      <c r="W2977">
        <f t="shared" si="185"/>
        <v>0</v>
      </c>
      <c r="X2977">
        <f t="shared" si="186"/>
        <v>0</v>
      </c>
      <c r="Y2977" t="str">
        <f t="shared" si="187"/>
        <v>Non-Senior</v>
      </c>
    </row>
    <row r="2978" spans="1:25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7082</v>
      </c>
      <c r="J2978" t="s">
        <v>7084</v>
      </c>
      <c r="K2978" t="s">
        <v>46</v>
      </c>
      <c r="L2978" t="s">
        <v>7084</v>
      </c>
      <c r="M2978" t="s">
        <v>7084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184"/>
        <v>13-24 Months</v>
      </c>
      <c r="W2978">
        <f t="shared" si="185"/>
        <v>0</v>
      </c>
      <c r="X2978">
        <f t="shared" si="186"/>
        <v>0</v>
      </c>
      <c r="Y2978" t="str">
        <f t="shared" si="187"/>
        <v>Non-Senior</v>
      </c>
    </row>
    <row r="2979" spans="1:25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7082</v>
      </c>
      <c r="J2979" t="s">
        <v>7084</v>
      </c>
      <c r="K2979" t="s">
        <v>46</v>
      </c>
      <c r="L2979" t="s">
        <v>7084</v>
      </c>
      <c r="M2979" t="s">
        <v>7084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184"/>
        <v>0-12 Months</v>
      </c>
      <c r="W2979">
        <f t="shared" si="185"/>
        <v>0</v>
      </c>
      <c r="X2979">
        <f t="shared" si="186"/>
        <v>0</v>
      </c>
      <c r="Y2979" t="str">
        <f t="shared" si="187"/>
        <v>Non-Senior</v>
      </c>
    </row>
    <row r="2980" spans="1:25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184"/>
        <v>13-24 Months</v>
      </c>
      <c r="W2980">
        <f t="shared" si="185"/>
        <v>0</v>
      </c>
      <c r="X2980">
        <f t="shared" si="186"/>
        <v>0</v>
      </c>
      <c r="Y2980" t="str">
        <f t="shared" si="187"/>
        <v>Non-Senior</v>
      </c>
    </row>
    <row r="2981" spans="1:25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184"/>
        <v>49-60 Months</v>
      </c>
      <c r="W2981">
        <f t="shared" si="185"/>
        <v>0</v>
      </c>
      <c r="X2981">
        <f t="shared" si="186"/>
        <v>0</v>
      </c>
      <c r="Y2981" t="str">
        <f t="shared" si="187"/>
        <v>Senior Citizen</v>
      </c>
    </row>
    <row r="2982" spans="1:25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7082</v>
      </c>
      <c r="J2982" t="s">
        <v>7084</v>
      </c>
      <c r="K2982" t="s">
        <v>46</v>
      </c>
      <c r="L2982" t="s">
        <v>7084</v>
      </c>
      <c r="M2982" t="s">
        <v>7084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184"/>
        <v>61-72 Months</v>
      </c>
      <c r="W2982">
        <f t="shared" si="185"/>
        <v>0</v>
      </c>
      <c r="X2982">
        <f t="shared" si="186"/>
        <v>0</v>
      </c>
      <c r="Y2982" t="str">
        <f t="shared" si="187"/>
        <v>Non-Senior</v>
      </c>
    </row>
    <row r="2983" spans="1:25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7082</v>
      </c>
      <c r="J2983" t="s">
        <v>7084</v>
      </c>
      <c r="K2983" t="s">
        <v>46</v>
      </c>
      <c r="L2983" t="s">
        <v>7084</v>
      </c>
      <c r="M2983" t="s">
        <v>7084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184"/>
        <v>61-72 Months</v>
      </c>
      <c r="W2983">
        <f t="shared" si="185"/>
        <v>0</v>
      </c>
      <c r="X2983">
        <f t="shared" si="186"/>
        <v>0</v>
      </c>
      <c r="Y2983" t="str">
        <f t="shared" si="187"/>
        <v>Non-Senior</v>
      </c>
    </row>
    <row r="2984" spans="1:25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7082</v>
      </c>
      <c r="J2984" t="s">
        <v>7084</v>
      </c>
      <c r="K2984" t="s">
        <v>46</v>
      </c>
      <c r="L2984" t="s">
        <v>7084</v>
      </c>
      <c r="M2984" t="s">
        <v>7084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184"/>
        <v>49-60 Months</v>
      </c>
      <c r="W2984">
        <f t="shared" si="185"/>
        <v>0</v>
      </c>
      <c r="X2984">
        <f t="shared" si="186"/>
        <v>0</v>
      </c>
      <c r="Y2984" t="str">
        <f t="shared" si="187"/>
        <v>Non-Senior</v>
      </c>
    </row>
    <row r="2985" spans="1:25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184"/>
        <v>61-72 Months</v>
      </c>
      <c r="W2985">
        <f t="shared" si="185"/>
        <v>0</v>
      </c>
      <c r="X2985">
        <f t="shared" si="186"/>
        <v>0</v>
      </c>
      <c r="Y2985" t="str">
        <f t="shared" si="187"/>
        <v>Non-Senior</v>
      </c>
    </row>
    <row r="2986" spans="1:25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7082</v>
      </c>
      <c r="J2986" t="s">
        <v>7084</v>
      </c>
      <c r="K2986" t="s">
        <v>46</v>
      </c>
      <c r="L2986" t="s">
        <v>7084</v>
      </c>
      <c r="M2986" t="s">
        <v>7084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184"/>
        <v>25-36 Months</v>
      </c>
      <c r="W2986">
        <f t="shared" si="185"/>
        <v>0</v>
      </c>
      <c r="X2986">
        <f t="shared" si="186"/>
        <v>0</v>
      </c>
      <c r="Y2986" t="str">
        <f t="shared" si="187"/>
        <v>Non-Senior</v>
      </c>
    </row>
    <row r="2987" spans="1:25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184"/>
        <v>25-36 Months</v>
      </c>
      <c r="W2987">
        <f t="shared" si="185"/>
        <v>0</v>
      </c>
      <c r="X2987">
        <f t="shared" si="186"/>
        <v>0</v>
      </c>
      <c r="Y2987" t="str">
        <f t="shared" si="187"/>
        <v>Non-Senior</v>
      </c>
    </row>
    <row r="2988" spans="1:25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184"/>
        <v>49-60 Months</v>
      </c>
      <c r="W2988">
        <f t="shared" si="185"/>
        <v>0</v>
      </c>
      <c r="X2988">
        <f t="shared" si="186"/>
        <v>0</v>
      </c>
      <c r="Y2988" t="str">
        <f t="shared" si="187"/>
        <v>Non-Senior</v>
      </c>
    </row>
    <row r="2989" spans="1:25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7082</v>
      </c>
      <c r="J2989" t="s">
        <v>7084</v>
      </c>
      <c r="K2989" t="s">
        <v>46</v>
      </c>
      <c r="L2989" t="s">
        <v>7084</v>
      </c>
      <c r="M2989" t="s">
        <v>7084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184"/>
        <v>25-36 Months</v>
      </c>
      <c r="W2989">
        <f t="shared" si="185"/>
        <v>0</v>
      </c>
      <c r="X2989">
        <f t="shared" si="186"/>
        <v>0</v>
      </c>
      <c r="Y2989" t="str">
        <f t="shared" si="187"/>
        <v>Non-Senior</v>
      </c>
    </row>
    <row r="2990" spans="1:25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184"/>
        <v>61-72 Months</v>
      </c>
      <c r="W2990">
        <f t="shared" si="185"/>
        <v>0</v>
      </c>
      <c r="X2990">
        <f t="shared" si="186"/>
        <v>0</v>
      </c>
      <c r="Y2990" t="str">
        <f t="shared" si="187"/>
        <v>Non-Senior</v>
      </c>
    </row>
    <row r="2991" spans="1:25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7082</v>
      </c>
      <c r="J2991" t="s">
        <v>7084</v>
      </c>
      <c r="K2991" t="s">
        <v>46</v>
      </c>
      <c r="L2991" t="s">
        <v>7084</v>
      </c>
      <c r="M2991" t="s">
        <v>7084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184"/>
        <v>0-12 Months</v>
      </c>
      <c r="W2991">
        <f t="shared" si="185"/>
        <v>0</v>
      </c>
      <c r="X2991">
        <f t="shared" si="186"/>
        <v>0</v>
      </c>
      <c r="Y2991" t="str">
        <f t="shared" si="187"/>
        <v>Non-Senior</v>
      </c>
    </row>
    <row r="2992" spans="1:25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184"/>
        <v>0-12 Months</v>
      </c>
      <c r="W2992">
        <f t="shared" si="185"/>
        <v>1</v>
      </c>
      <c r="X2992">
        <f t="shared" si="186"/>
        <v>33.9</v>
      </c>
      <c r="Y2992" t="str">
        <f t="shared" si="187"/>
        <v>Non-Senior</v>
      </c>
    </row>
    <row r="2993" spans="1:25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184"/>
        <v>37-48 Months</v>
      </c>
      <c r="W2993">
        <f t="shared" si="185"/>
        <v>0</v>
      </c>
      <c r="X2993">
        <f t="shared" si="186"/>
        <v>0</v>
      </c>
      <c r="Y2993" t="str">
        <f t="shared" si="187"/>
        <v>Senior Citizen</v>
      </c>
    </row>
    <row r="2994" spans="1:25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184"/>
        <v>0-12 Months</v>
      </c>
      <c r="W2994">
        <f t="shared" si="185"/>
        <v>0</v>
      </c>
      <c r="X2994">
        <f t="shared" si="186"/>
        <v>0</v>
      </c>
      <c r="Y2994" t="str">
        <f t="shared" si="187"/>
        <v>Non-Senior</v>
      </c>
    </row>
    <row r="2995" spans="1:25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7082</v>
      </c>
      <c r="J2995" t="s">
        <v>7084</v>
      </c>
      <c r="K2995" t="s">
        <v>46</v>
      </c>
      <c r="L2995" t="s">
        <v>7084</v>
      </c>
      <c r="M2995" t="s">
        <v>7084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184"/>
        <v>0-12 Months</v>
      </c>
      <c r="W2995">
        <f t="shared" si="185"/>
        <v>0</v>
      </c>
      <c r="X2995">
        <f t="shared" si="186"/>
        <v>0</v>
      </c>
      <c r="Y2995" t="str">
        <f t="shared" si="187"/>
        <v>Non-Senior</v>
      </c>
    </row>
    <row r="2996" spans="1:25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184"/>
        <v>61-72 Months</v>
      </c>
      <c r="W2996">
        <f t="shared" si="185"/>
        <v>0</v>
      </c>
      <c r="X2996">
        <f t="shared" si="186"/>
        <v>0</v>
      </c>
      <c r="Y2996" t="str">
        <f t="shared" si="187"/>
        <v>Non-Senior</v>
      </c>
    </row>
    <row r="2997" spans="1:25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184"/>
        <v>0-12 Months</v>
      </c>
      <c r="W2997">
        <f t="shared" si="185"/>
        <v>0</v>
      </c>
      <c r="X2997">
        <f t="shared" si="186"/>
        <v>0</v>
      </c>
      <c r="Y2997" t="str">
        <f t="shared" si="187"/>
        <v>Non-Senior</v>
      </c>
    </row>
    <row r="2998" spans="1:25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184"/>
        <v>13-24 Months</v>
      </c>
      <c r="W2998">
        <f t="shared" si="185"/>
        <v>0</v>
      </c>
      <c r="X2998">
        <f t="shared" si="186"/>
        <v>0</v>
      </c>
      <c r="Y2998" t="str">
        <f t="shared" si="187"/>
        <v>Non-Senior</v>
      </c>
    </row>
    <row r="2999" spans="1:25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184"/>
        <v>61-72 Months</v>
      </c>
      <c r="W2999">
        <f t="shared" si="185"/>
        <v>1</v>
      </c>
      <c r="X2999">
        <f t="shared" si="186"/>
        <v>89.95</v>
      </c>
      <c r="Y2999" t="str">
        <f t="shared" si="187"/>
        <v>Senior Citizen</v>
      </c>
    </row>
    <row r="3000" spans="1:25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184"/>
        <v>0-12 Months</v>
      </c>
      <c r="W3000">
        <f t="shared" si="185"/>
        <v>0</v>
      </c>
      <c r="X3000">
        <f t="shared" si="186"/>
        <v>0</v>
      </c>
      <c r="Y3000" t="str">
        <f t="shared" si="187"/>
        <v>Non-Senior</v>
      </c>
    </row>
    <row r="3001" spans="1:25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7082</v>
      </c>
      <c r="J3001" t="s">
        <v>7084</v>
      </c>
      <c r="K3001" t="s">
        <v>46</v>
      </c>
      <c r="L3001" t="s">
        <v>7084</v>
      </c>
      <c r="M3001" t="s">
        <v>7084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184"/>
        <v>13-24 Months</v>
      </c>
      <c r="W3001">
        <f t="shared" si="185"/>
        <v>0</v>
      </c>
      <c r="X3001">
        <f t="shared" si="186"/>
        <v>0</v>
      </c>
      <c r="Y3001" t="str">
        <f t="shared" si="187"/>
        <v>Non-Senior</v>
      </c>
    </row>
    <row r="3002" spans="1:25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184"/>
        <v>0-12 Months</v>
      </c>
      <c r="W3002">
        <f t="shared" si="185"/>
        <v>1</v>
      </c>
      <c r="X3002">
        <f t="shared" si="186"/>
        <v>84.45</v>
      </c>
      <c r="Y3002" t="str">
        <f t="shared" si="187"/>
        <v>Non-Senior</v>
      </c>
    </row>
    <row r="3003" spans="1:25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7082</v>
      </c>
      <c r="J3003" t="s">
        <v>7084</v>
      </c>
      <c r="K3003" t="s">
        <v>46</v>
      </c>
      <c r="L3003" t="s">
        <v>7084</v>
      </c>
      <c r="M3003" t="s">
        <v>7084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184"/>
        <v>0-12 Months</v>
      </c>
      <c r="W3003">
        <f t="shared" si="185"/>
        <v>0</v>
      </c>
      <c r="X3003">
        <f t="shared" si="186"/>
        <v>0</v>
      </c>
      <c r="Y3003" t="str">
        <f t="shared" si="187"/>
        <v>Non-Senior</v>
      </c>
    </row>
    <row r="3004" spans="1:25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184"/>
        <v>25-36 Months</v>
      </c>
      <c r="W3004">
        <f t="shared" si="185"/>
        <v>0</v>
      </c>
      <c r="X3004">
        <f t="shared" si="186"/>
        <v>0</v>
      </c>
      <c r="Y3004" t="str">
        <f t="shared" si="187"/>
        <v>Non-Senior</v>
      </c>
    </row>
    <row r="3005" spans="1:25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184"/>
        <v>25-36 Months</v>
      </c>
      <c r="W3005">
        <f t="shared" si="185"/>
        <v>1</v>
      </c>
      <c r="X3005">
        <f t="shared" si="186"/>
        <v>79.5</v>
      </c>
      <c r="Y3005" t="str">
        <f t="shared" si="187"/>
        <v>Non-Senior</v>
      </c>
    </row>
    <row r="3006" spans="1:25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184"/>
        <v>0-12 Months</v>
      </c>
      <c r="W3006">
        <f t="shared" si="185"/>
        <v>1</v>
      </c>
      <c r="X3006">
        <f t="shared" si="186"/>
        <v>89.15</v>
      </c>
      <c r="Y3006" t="str">
        <f t="shared" si="187"/>
        <v>Non-Senior</v>
      </c>
    </row>
    <row r="3007" spans="1:25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7082</v>
      </c>
      <c r="J3007" t="s">
        <v>7084</v>
      </c>
      <c r="K3007" t="s">
        <v>46</v>
      </c>
      <c r="L3007" t="s">
        <v>7084</v>
      </c>
      <c r="M3007" t="s">
        <v>7084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184"/>
        <v>13-24 Months</v>
      </c>
      <c r="W3007">
        <f t="shared" si="185"/>
        <v>0</v>
      </c>
      <c r="X3007">
        <f t="shared" si="186"/>
        <v>0</v>
      </c>
      <c r="Y3007" t="str">
        <f t="shared" si="187"/>
        <v>Senior Citizen</v>
      </c>
    </row>
    <row r="3008" spans="1:25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184"/>
        <v>13-24 Months</v>
      </c>
      <c r="W3008">
        <f t="shared" si="185"/>
        <v>1</v>
      </c>
      <c r="X3008">
        <f t="shared" si="186"/>
        <v>74.95</v>
      </c>
      <c r="Y3008" t="str">
        <f t="shared" si="187"/>
        <v>Senior Citizen</v>
      </c>
    </row>
    <row r="3009" spans="1:25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184"/>
        <v>25-36 Months</v>
      </c>
      <c r="W3009">
        <f t="shared" si="185"/>
        <v>1</v>
      </c>
      <c r="X3009">
        <f t="shared" si="186"/>
        <v>74.400000000000006</v>
      </c>
      <c r="Y3009" t="str">
        <f t="shared" si="187"/>
        <v>Senior Citizen</v>
      </c>
    </row>
    <row r="3010" spans="1:25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7082</v>
      </c>
      <c r="J3010" t="s">
        <v>7084</v>
      </c>
      <c r="K3010" t="s">
        <v>46</v>
      </c>
      <c r="L3010" t="s">
        <v>7084</v>
      </c>
      <c r="M3010" t="s">
        <v>7084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si="184"/>
        <v>0-12 Months</v>
      </c>
      <c r="W3010">
        <f t="shared" si="185"/>
        <v>0</v>
      </c>
      <c r="X3010">
        <f t="shared" si="186"/>
        <v>0</v>
      </c>
      <c r="Y3010" t="str">
        <f t="shared" si="187"/>
        <v>Non-Senior</v>
      </c>
    </row>
    <row r="3011" spans="1:25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7082</v>
      </c>
      <c r="J3011" t="s">
        <v>7084</v>
      </c>
      <c r="K3011" t="s">
        <v>46</v>
      </c>
      <c r="L3011" t="s">
        <v>7084</v>
      </c>
      <c r="M3011" t="s">
        <v>7084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ref="V3011:V3074" si="188">IF(F3011&lt;=12,"0-12 Months",IF(F3011&lt;=24,"13-24 Months",IF(F3011&lt;=36,"25-36 Months",IF(F3011&lt;=48,"37-48 Months",IF(F3011&lt;=60,"49-60 Months","61-72 Months")))))</f>
        <v>0-12 Months</v>
      </c>
      <c r="W3011">
        <f t="shared" ref="W3011:W3074" si="189">IF(U3011="Yes",1,0)</f>
        <v>0</v>
      </c>
      <c r="X3011">
        <f t="shared" ref="X3011:X3074" si="190">IF(U3011="Yes",S3011,0)</f>
        <v>0</v>
      </c>
      <c r="Y3011" t="str">
        <f t="shared" ref="Y3011:Y3074" si="191">IF(C3011=1,"Senior Citizen","Non-Senior")</f>
        <v>Non-Senior</v>
      </c>
    </row>
    <row r="3012" spans="1:25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188"/>
        <v>37-48 Months</v>
      </c>
      <c r="W3012">
        <f t="shared" si="189"/>
        <v>0</v>
      </c>
      <c r="X3012">
        <f t="shared" si="190"/>
        <v>0</v>
      </c>
      <c r="Y3012" t="str">
        <f t="shared" si="191"/>
        <v>Senior Citizen</v>
      </c>
    </row>
    <row r="3013" spans="1:25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7082</v>
      </c>
      <c r="J3013" t="s">
        <v>7084</v>
      </c>
      <c r="K3013" t="s">
        <v>46</v>
      </c>
      <c r="L3013" t="s">
        <v>7084</v>
      </c>
      <c r="M3013" t="s">
        <v>7084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188"/>
        <v>0-12 Months</v>
      </c>
      <c r="W3013">
        <f t="shared" si="189"/>
        <v>0</v>
      </c>
      <c r="X3013">
        <f t="shared" si="190"/>
        <v>0</v>
      </c>
      <c r="Y3013" t="str">
        <f t="shared" si="191"/>
        <v>Non-Senior</v>
      </c>
    </row>
    <row r="3014" spans="1:25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188"/>
        <v>49-60 Months</v>
      </c>
      <c r="W3014">
        <f t="shared" si="189"/>
        <v>0</v>
      </c>
      <c r="X3014">
        <f t="shared" si="190"/>
        <v>0</v>
      </c>
      <c r="Y3014" t="str">
        <f t="shared" si="191"/>
        <v>Non-Senior</v>
      </c>
    </row>
    <row r="3015" spans="1:25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188"/>
        <v>25-36 Months</v>
      </c>
      <c r="W3015">
        <f t="shared" si="189"/>
        <v>0</v>
      </c>
      <c r="X3015">
        <f t="shared" si="190"/>
        <v>0</v>
      </c>
      <c r="Y3015" t="str">
        <f t="shared" si="191"/>
        <v>Non-Senior</v>
      </c>
    </row>
    <row r="3016" spans="1:25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188"/>
        <v>37-48 Months</v>
      </c>
      <c r="W3016">
        <f t="shared" si="189"/>
        <v>0</v>
      </c>
      <c r="X3016">
        <f t="shared" si="190"/>
        <v>0</v>
      </c>
      <c r="Y3016" t="str">
        <f t="shared" si="191"/>
        <v>Senior Citizen</v>
      </c>
    </row>
    <row r="3017" spans="1:25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188"/>
        <v>49-60 Months</v>
      </c>
      <c r="W3017">
        <f t="shared" si="189"/>
        <v>0</v>
      </c>
      <c r="X3017">
        <f t="shared" si="190"/>
        <v>0</v>
      </c>
      <c r="Y3017" t="str">
        <f t="shared" si="191"/>
        <v>Non-Senior</v>
      </c>
    </row>
    <row r="3018" spans="1:25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188"/>
        <v>0-12 Months</v>
      </c>
      <c r="W3018">
        <f t="shared" si="189"/>
        <v>1</v>
      </c>
      <c r="X3018">
        <f t="shared" si="190"/>
        <v>55.3</v>
      </c>
      <c r="Y3018" t="str">
        <f t="shared" si="191"/>
        <v>Non-Senior</v>
      </c>
    </row>
    <row r="3019" spans="1:25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188"/>
        <v>13-24 Months</v>
      </c>
      <c r="W3019">
        <f t="shared" si="189"/>
        <v>0</v>
      </c>
      <c r="X3019">
        <f t="shared" si="190"/>
        <v>0</v>
      </c>
      <c r="Y3019" t="str">
        <f t="shared" si="191"/>
        <v>Non-Senior</v>
      </c>
    </row>
    <row r="3020" spans="1:25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7082</v>
      </c>
      <c r="J3020" t="s">
        <v>7084</v>
      </c>
      <c r="K3020" t="s">
        <v>46</v>
      </c>
      <c r="L3020" t="s">
        <v>7084</v>
      </c>
      <c r="M3020" t="s">
        <v>7084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188"/>
        <v>61-72 Months</v>
      </c>
      <c r="W3020">
        <f t="shared" si="189"/>
        <v>0</v>
      </c>
      <c r="X3020">
        <f t="shared" si="190"/>
        <v>0</v>
      </c>
      <c r="Y3020" t="str">
        <f t="shared" si="191"/>
        <v>Senior Citizen</v>
      </c>
    </row>
    <row r="3021" spans="1:25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188"/>
        <v>13-24 Months</v>
      </c>
      <c r="W3021">
        <f t="shared" si="189"/>
        <v>1</v>
      </c>
      <c r="X3021">
        <f t="shared" si="190"/>
        <v>55.15</v>
      </c>
      <c r="Y3021" t="str">
        <f t="shared" si="191"/>
        <v>Non-Senior</v>
      </c>
    </row>
    <row r="3022" spans="1:25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188"/>
        <v>25-36 Months</v>
      </c>
      <c r="W3022">
        <f t="shared" si="189"/>
        <v>0</v>
      </c>
      <c r="X3022">
        <f t="shared" si="190"/>
        <v>0</v>
      </c>
      <c r="Y3022" t="str">
        <f t="shared" si="191"/>
        <v>Non-Senior</v>
      </c>
    </row>
    <row r="3023" spans="1:25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7082</v>
      </c>
      <c r="J3023" t="s">
        <v>7084</v>
      </c>
      <c r="K3023" t="s">
        <v>46</v>
      </c>
      <c r="L3023" t="s">
        <v>7084</v>
      </c>
      <c r="M3023" t="s">
        <v>7084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188"/>
        <v>0-12 Months</v>
      </c>
      <c r="W3023">
        <f t="shared" si="189"/>
        <v>0</v>
      </c>
      <c r="X3023">
        <f t="shared" si="190"/>
        <v>0</v>
      </c>
      <c r="Y3023" t="str">
        <f t="shared" si="191"/>
        <v>Non-Senior</v>
      </c>
    </row>
    <row r="3024" spans="1:25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7082</v>
      </c>
      <c r="J3024" t="s">
        <v>7084</v>
      </c>
      <c r="K3024" t="s">
        <v>46</v>
      </c>
      <c r="L3024" t="s">
        <v>7084</v>
      </c>
      <c r="M3024" t="s">
        <v>7084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188"/>
        <v>0-12 Months</v>
      </c>
      <c r="W3024">
        <f t="shared" si="189"/>
        <v>0</v>
      </c>
      <c r="X3024">
        <f t="shared" si="190"/>
        <v>0</v>
      </c>
      <c r="Y3024" t="str">
        <f t="shared" si="191"/>
        <v>Non-Senior</v>
      </c>
    </row>
    <row r="3025" spans="1:25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188"/>
        <v>61-72 Months</v>
      </c>
      <c r="W3025">
        <f t="shared" si="189"/>
        <v>0</v>
      </c>
      <c r="X3025">
        <f t="shared" si="190"/>
        <v>0</v>
      </c>
      <c r="Y3025" t="str">
        <f t="shared" si="191"/>
        <v>Non-Senior</v>
      </c>
    </row>
    <row r="3026" spans="1:25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7082</v>
      </c>
      <c r="J3026" t="s">
        <v>7084</v>
      </c>
      <c r="K3026" t="s">
        <v>46</v>
      </c>
      <c r="L3026" t="s">
        <v>7084</v>
      </c>
      <c r="M3026" t="s">
        <v>7084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188"/>
        <v>0-12 Months</v>
      </c>
      <c r="W3026">
        <f t="shared" si="189"/>
        <v>0</v>
      </c>
      <c r="X3026">
        <f t="shared" si="190"/>
        <v>0</v>
      </c>
      <c r="Y3026" t="str">
        <f t="shared" si="191"/>
        <v>Non-Senior</v>
      </c>
    </row>
    <row r="3027" spans="1:25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7082</v>
      </c>
      <c r="J3027" t="s">
        <v>7084</v>
      </c>
      <c r="K3027" t="s">
        <v>46</v>
      </c>
      <c r="L3027" t="s">
        <v>7084</v>
      </c>
      <c r="M3027" t="s">
        <v>7084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188"/>
        <v>61-72 Months</v>
      </c>
      <c r="W3027">
        <f t="shared" si="189"/>
        <v>0</v>
      </c>
      <c r="X3027">
        <f t="shared" si="190"/>
        <v>0</v>
      </c>
      <c r="Y3027" t="str">
        <f t="shared" si="191"/>
        <v>Non-Senior</v>
      </c>
    </row>
    <row r="3028" spans="1:25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188"/>
        <v>13-24 Months</v>
      </c>
      <c r="W3028">
        <f t="shared" si="189"/>
        <v>1</v>
      </c>
      <c r="X3028">
        <f t="shared" si="190"/>
        <v>84.95</v>
      </c>
      <c r="Y3028" t="str">
        <f t="shared" si="191"/>
        <v>Non-Senior</v>
      </c>
    </row>
    <row r="3029" spans="1:25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7082</v>
      </c>
      <c r="J3029" t="s">
        <v>7084</v>
      </c>
      <c r="K3029" t="s">
        <v>46</v>
      </c>
      <c r="L3029" t="s">
        <v>7084</v>
      </c>
      <c r="M3029" t="s">
        <v>7084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188"/>
        <v>0-12 Months</v>
      </c>
      <c r="W3029">
        <f t="shared" si="189"/>
        <v>0</v>
      </c>
      <c r="X3029">
        <f t="shared" si="190"/>
        <v>0</v>
      </c>
      <c r="Y3029" t="str">
        <f t="shared" si="191"/>
        <v>Non-Senior</v>
      </c>
    </row>
    <row r="3030" spans="1:25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188"/>
        <v>0-12 Months</v>
      </c>
      <c r="W3030">
        <f t="shared" si="189"/>
        <v>1</v>
      </c>
      <c r="X3030">
        <f t="shared" si="190"/>
        <v>43.25</v>
      </c>
      <c r="Y3030" t="str">
        <f t="shared" si="191"/>
        <v>Non-Senior</v>
      </c>
    </row>
    <row r="3031" spans="1:25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188"/>
        <v>13-24 Months</v>
      </c>
      <c r="W3031">
        <f t="shared" si="189"/>
        <v>1</v>
      </c>
      <c r="X3031">
        <f t="shared" si="190"/>
        <v>48.35</v>
      </c>
      <c r="Y3031" t="str">
        <f t="shared" si="191"/>
        <v>Non-Senior</v>
      </c>
    </row>
    <row r="3032" spans="1:25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188"/>
        <v>0-12 Months</v>
      </c>
      <c r="W3032">
        <f t="shared" si="189"/>
        <v>1</v>
      </c>
      <c r="X3032">
        <f t="shared" si="190"/>
        <v>79.55</v>
      </c>
      <c r="Y3032" t="str">
        <f t="shared" si="191"/>
        <v>Non-Senior</v>
      </c>
    </row>
    <row r="3033" spans="1:25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188"/>
        <v>49-60 Months</v>
      </c>
      <c r="W3033">
        <f t="shared" si="189"/>
        <v>1</v>
      </c>
      <c r="X3033">
        <f t="shared" si="190"/>
        <v>71.05</v>
      </c>
      <c r="Y3033" t="str">
        <f t="shared" si="191"/>
        <v>Senior Citizen</v>
      </c>
    </row>
    <row r="3034" spans="1:25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7082</v>
      </c>
      <c r="J3034" t="s">
        <v>7084</v>
      </c>
      <c r="K3034" t="s">
        <v>46</v>
      </c>
      <c r="L3034" t="s">
        <v>7084</v>
      </c>
      <c r="M3034" t="s">
        <v>7084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188"/>
        <v>13-24 Months</v>
      </c>
      <c r="W3034">
        <f t="shared" si="189"/>
        <v>0</v>
      </c>
      <c r="X3034">
        <f t="shared" si="190"/>
        <v>0</v>
      </c>
      <c r="Y3034" t="str">
        <f t="shared" si="191"/>
        <v>Non-Senior</v>
      </c>
    </row>
    <row r="3035" spans="1:25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188"/>
        <v>61-72 Months</v>
      </c>
      <c r="W3035">
        <f t="shared" si="189"/>
        <v>0</v>
      </c>
      <c r="X3035">
        <f t="shared" si="190"/>
        <v>0</v>
      </c>
      <c r="Y3035" t="str">
        <f t="shared" si="191"/>
        <v>Non-Senior</v>
      </c>
    </row>
    <row r="3036" spans="1:25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188"/>
        <v>0-12 Months</v>
      </c>
      <c r="W3036">
        <f t="shared" si="189"/>
        <v>1</v>
      </c>
      <c r="X3036">
        <f t="shared" si="190"/>
        <v>84.5</v>
      </c>
      <c r="Y3036" t="str">
        <f t="shared" si="191"/>
        <v>Non-Senior</v>
      </c>
    </row>
    <row r="3037" spans="1:25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188"/>
        <v>25-36 Months</v>
      </c>
      <c r="W3037">
        <f t="shared" si="189"/>
        <v>0</v>
      </c>
      <c r="X3037">
        <f t="shared" si="190"/>
        <v>0</v>
      </c>
      <c r="Y3037" t="str">
        <f t="shared" si="191"/>
        <v>Senior Citizen</v>
      </c>
    </row>
    <row r="3038" spans="1:25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188"/>
        <v>61-72 Months</v>
      </c>
      <c r="W3038">
        <f t="shared" si="189"/>
        <v>0</v>
      </c>
      <c r="X3038">
        <f t="shared" si="190"/>
        <v>0</v>
      </c>
      <c r="Y3038" t="str">
        <f t="shared" si="191"/>
        <v>Non-Senior</v>
      </c>
    </row>
    <row r="3039" spans="1:25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7082</v>
      </c>
      <c r="J3039" t="s">
        <v>7084</v>
      </c>
      <c r="K3039" t="s">
        <v>46</v>
      </c>
      <c r="L3039" t="s">
        <v>7084</v>
      </c>
      <c r="M3039" t="s">
        <v>7084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188"/>
        <v>25-36 Months</v>
      </c>
      <c r="W3039">
        <f t="shared" si="189"/>
        <v>0</v>
      </c>
      <c r="X3039">
        <f t="shared" si="190"/>
        <v>0</v>
      </c>
      <c r="Y3039" t="str">
        <f t="shared" si="191"/>
        <v>Non-Senior</v>
      </c>
    </row>
    <row r="3040" spans="1:25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188"/>
        <v>61-72 Months</v>
      </c>
      <c r="W3040">
        <f t="shared" si="189"/>
        <v>0</v>
      </c>
      <c r="X3040">
        <f t="shared" si="190"/>
        <v>0</v>
      </c>
      <c r="Y3040" t="str">
        <f t="shared" si="191"/>
        <v>Senior Citizen</v>
      </c>
    </row>
    <row r="3041" spans="1:25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188"/>
        <v>61-72 Months</v>
      </c>
      <c r="W3041">
        <f t="shared" si="189"/>
        <v>0</v>
      </c>
      <c r="X3041">
        <f t="shared" si="190"/>
        <v>0</v>
      </c>
      <c r="Y3041" t="str">
        <f t="shared" si="191"/>
        <v>Senior Citizen</v>
      </c>
    </row>
    <row r="3042" spans="1:25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188"/>
        <v>61-72 Months</v>
      </c>
      <c r="W3042">
        <f t="shared" si="189"/>
        <v>1</v>
      </c>
      <c r="X3042">
        <f t="shared" si="190"/>
        <v>108.6</v>
      </c>
      <c r="Y3042" t="str">
        <f t="shared" si="191"/>
        <v>Non-Senior</v>
      </c>
    </row>
    <row r="3043" spans="1:25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188"/>
        <v>0-12 Months</v>
      </c>
      <c r="W3043">
        <f t="shared" si="189"/>
        <v>0</v>
      </c>
      <c r="X3043">
        <f t="shared" si="190"/>
        <v>0</v>
      </c>
      <c r="Y3043" t="str">
        <f t="shared" si="191"/>
        <v>Non-Senior</v>
      </c>
    </row>
    <row r="3044" spans="1:25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188"/>
        <v>37-48 Months</v>
      </c>
      <c r="W3044">
        <f t="shared" si="189"/>
        <v>1</v>
      </c>
      <c r="X3044">
        <f t="shared" si="190"/>
        <v>30.3</v>
      </c>
      <c r="Y3044" t="str">
        <f t="shared" si="191"/>
        <v>Non-Senior</v>
      </c>
    </row>
    <row r="3045" spans="1:25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188"/>
        <v>0-12 Months</v>
      </c>
      <c r="W3045">
        <f t="shared" si="189"/>
        <v>1</v>
      </c>
      <c r="X3045">
        <f t="shared" si="190"/>
        <v>30.4</v>
      </c>
      <c r="Y3045" t="str">
        <f t="shared" si="191"/>
        <v>Senior Citizen</v>
      </c>
    </row>
    <row r="3046" spans="1:25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188"/>
        <v>0-12 Months</v>
      </c>
      <c r="W3046">
        <f t="shared" si="189"/>
        <v>1</v>
      </c>
      <c r="X3046">
        <f t="shared" si="190"/>
        <v>45.4</v>
      </c>
      <c r="Y3046" t="str">
        <f t="shared" si="191"/>
        <v>Non-Senior</v>
      </c>
    </row>
    <row r="3047" spans="1:25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188"/>
        <v>37-48 Months</v>
      </c>
      <c r="W3047">
        <f t="shared" si="189"/>
        <v>0</v>
      </c>
      <c r="X3047">
        <f t="shared" si="190"/>
        <v>0</v>
      </c>
      <c r="Y3047" t="str">
        <f t="shared" si="191"/>
        <v>Non-Senior</v>
      </c>
    </row>
    <row r="3048" spans="1:25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188"/>
        <v>61-72 Months</v>
      </c>
      <c r="W3048">
        <f t="shared" si="189"/>
        <v>0</v>
      </c>
      <c r="X3048">
        <f t="shared" si="190"/>
        <v>0</v>
      </c>
      <c r="Y3048" t="str">
        <f t="shared" si="191"/>
        <v>Non-Senior</v>
      </c>
    </row>
    <row r="3049" spans="1:25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188"/>
        <v>25-36 Months</v>
      </c>
      <c r="W3049">
        <f t="shared" si="189"/>
        <v>1</v>
      </c>
      <c r="X3049">
        <f t="shared" si="190"/>
        <v>84.15</v>
      </c>
      <c r="Y3049" t="str">
        <f t="shared" si="191"/>
        <v>Non-Senior</v>
      </c>
    </row>
    <row r="3050" spans="1:25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188"/>
        <v>0-12 Months</v>
      </c>
      <c r="W3050">
        <f t="shared" si="189"/>
        <v>0</v>
      </c>
      <c r="X3050">
        <f t="shared" si="190"/>
        <v>0</v>
      </c>
      <c r="Y3050" t="str">
        <f t="shared" si="191"/>
        <v>Non-Senior</v>
      </c>
    </row>
    <row r="3051" spans="1:25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7082</v>
      </c>
      <c r="J3051" t="s">
        <v>7084</v>
      </c>
      <c r="K3051" t="s">
        <v>46</v>
      </c>
      <c r="L3051" t="s">
        <v>7084</v>
      </c>
      <c r="M3051" t="s">
        <v>7084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188"/>
        <v>0-12 Months</v>
      </c>
      <c r="W3051">
        <f t="shared" si="189"/>
        <v>1</v>
      </c>
      <c r="X3051">
        <f t="shared" si="190"/>
        <v>19.75</v>
      </c>
      <c r="Y3051" t="str">
        <f t="shared" si="191"/>
        <v>Non-Senior</v>
      </c>
    </row>
    <row r="3052" spans="1:25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188"/>
        <v>0-12 Months</v>
      </c>
      <c r="W3052">
        <f t="shared" si="189"/>
        <v>1</v>
      </c>
      <c r="X3052">
        <f t="shared" si="190"/>
        <v>85.4</v>
      </c>
      <c r="Y3052" t="str">
        <f t="shared" si="191"/>
        <v>Non-Senior</v>
      </c>
    </row>
    <row r="3053" spans="1:25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188"/>
        <v>61-72 Months</v>
      </c>
      <c r="W3053">
        <f t="shared" si="189"/>
        <v>0</v>
      </c>
      <c r="X3053">
        <f t="shared" si="190"/>
        <v>0</v>
      </c>
      <c r="Y3053" t="str">
        <f t="shared" si="191"/>
        <v>Non-Senior</v>
      </c>
    </row>
    <row r="3054" spans="1:25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188"/>
        <v>37-48 Months</v>
      </c>
      <c r="W3054">
        <f t="shared" si="189"/>
        <v>0</v>
      </c>
      <c r="X3054">
        <f t="shared" si="190"/>
        <v>0</v>
      </c>
      <c r="Y3054" t="str">
        <f t="shared" si="191"/>
        <v>Non-Senior</v>
      </c>
    </row>
    <row r="3055" spans="1:25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188"/>
        <v>61-72 Months</v>
      </c>
      <c r="W3055">
        <f t="shared" si="189"/>
        <v>0</v>
      </c>
      <c r="X3055">
        <f t="shared" si="190"/>
        <v>0</v>
      </c>
      <c r="Y3055" t="str">
        <f t="shared" si="191"/>
        <v>Non-Senior</v>
      </c>
    </row>
    <row r="3056" spans="1:25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188"/>
        <v>61-72 Months</v>
      </c>
      <c r="W3056">
        <f t="shared" si="189"/>
        <v>0</v>
      </c>
      <c r="X3056">
        <f t="shared" si="190"/>
        <v>0</v>
      </c>
      <c r="Y3056" t="str">
        <f t="shared" si="191"/>
        <v>Non-Senior</v>
      </c>
    </row>
    <row r="3057" spans="1:25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188"/>
        <v>49-60 Months</v>
      </c>
      <c r="W3057">
        <f t="shared" si="189"/>
        <v>1</v>
      </c>
      <c r="X3057">
        <f t="shared" si="190"/>
        <v>75.2</v>
      </c>
      <c r="Y3057" t="str">
        <f t="shared" si="191"/>
        <v>Non-Senior</v>
      </c>
    </row>
    <row r="3058" spans="1:25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188"/>
        <v>49-60 Months</v>
      </c>
      <c r="W3058">
        <f t="shared" si="189"/>
        <v>0</v>
      </c>
      <c r="X3058">
        <f t="shared" si="190"/>
        <v>0</v>
      </c>
      <c r="Y3058" t="str">
        <f t="shared" si="191"/>
        <v>Non-Senior</v>
      </c>
    </row>
    <row r="3059" spans="1:25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7082</v>
      </c>
      <c r="J3059" t="s">
        <v>7084</v>
      </c>
      <c r="K3059" t="s">
        <v>46</v>
      </c>
      <c r="L3059" t="s">
        <v>7084</v>
      </c>
      <c r="M3059" t="s">
        <v>7084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188"/>
        <v>25-36 Months</v>
      </c>
      <c r="W3059">
        <f t="shared" si="189"/>
        <v>0</v>
      </c>
      <c r="X3059">
        <f t="shared" si="190"/>
        <v>0</v>
      </c>
      <c r="Y3059" t="str">
        <f t="shared" si="191"/>
        <v>Non-Senior</v>
      </c>
    </row>
    <row r="3060" spans="1:25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188"/>
        <v>13-24 Months</v>
      </c>
      <c r="W3060">
        <f t="shared" si="189"/>
        <v>1</v>
      </c>
      <c r="X3060">
        <f t="shared" si="190"/>
        <v>55.85</v>
      </c>
      <c r="Y3060" t="str">
        <f t="shared" si="191"/>
        <v>Non-Senior</v>
      </c>
    </row>
    <row r="3061" spans="1:25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7082</v>
      </c>
      <c r="J3061" t="s">
        <v>7084</v>
      </c>
      <c r="K3061" t="s">
        <v>46</v>
      </c>
      <c r="L3061" t="s">
        <v>7084</v>
      </c>
      <c r="M3061" t="s">
        <v>7084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188"/>
        <v>61-72 Months</v>
      </c>
      <c r="W3061">
        <f t="shared" si="189"/>
        <v>0</v>
      </c>
      <c r="X3061">
        <f t="shared" si="190"/>
        <v>0</v>
      </c>
      <c r="Y3061" t="str">
        <f t="shared" si="191"/>
        <v>Non-Senior</v>
      </c>
    </row>
    <row r="3062" spans="1:25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188"/>
        <v>25-36 Months</v>
      </c>
      <c r="W3062">
        <f t="shared" si="189"/>
        <v>0</v>
      </c>
      <c r="X3062">
        <f t="shared" si="190"/>
        <v>0</v>
      </c>
      <c r="Y3062" t="str">
        <f t="shared" si="191"/>
        <v>Non-Senior</v>
      </c>
    </row>
    <row r="3063" spans="1:25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188"/>
        <v>13-24 Months</v>
      </c>
      <c r="W3063">
        <f t="shared" si="189"/>
        <v>1</v>
      </c>
      <c r="X3063">
        <f t="shared" si="190"/>
        <v>106.4</v>
      </c>
      <c r="Y3063" t="str">
        <f t="shared" si="191"/>
        <v>Senior Citizen</v>
      </c>
    </row>
    <row r="3064" spans="1:25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188"/>
        <v>13-24 Months</v>
      </c>
      <c r="W3064">
        <f t="shared" si="189"/>
        <v>0</v>
      </c>
      <c r="X3064">
        <f t="shared" si="190"/>
        <v>0</v>
      </c>
      <c r="Y3064" t="str">
        <f t="shared" si="191"/>
        <v>Senior Citizen</v>
      </c>
    </row>
    <row r="3065" spans="1:25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188"/>
        <v>37-48 Months</v>
      </c>
      <c r="W3065">
        <f t="shared" si="189"/>
        <v>0</v>
      </c>
      <c r="X3065">
        <f t="shared" si="190"/>
        <v>0</v>
      </c>
      <c r="Y3065" t="str">
        <f t="shared" si="191"/>
        <v>Non-Senior</v>
      </c>
    </row>
    <row r="3066" spans="1:25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188"/>
        <v>13-24 Months</v>
      </c>
      <c r="W3066">
        <f t="shared" si="189"/>
        <v>0</v>
      </c>
      <c r="X3066">
        <f t="shared" si="190"/>
        <v>0</v>
      </c>
      <c r="Y3066" t="str">
        <f t="shared" si="191"/>
        <v>Non-Senior</v>
      </c>
    </row>
    <row r="3067" spans="1:25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188"/>
        <v>0-12 Months</v>
      </c>
      <c r="W3067">
        <f t="shared" si="189"/>
        <v>0</v>
      </c>
      <c r="X3067">
        <f t="shared" si="190"/>
        <v>0</v>
      </c>
      <c r="Y3067" t="str">
        <f t="shared" si="191"/>
        <v>Non-Senior</v>
      </c>
    </row>
    <row r="3068" spans="1:25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188"/>
        <v>0-12 Months</v>
      </c>
      <c r="W3068">
        <f t="shared" si="189"/>
        <v>0</v>
      </c>
      <c r="X3068">
        <f t="shared" si="190"/>
        <v>0</v>
      </c>
      <c r="Y3068" t="str">
        <f t="shared" si="191"/>
        <v>Non-Senior</v>
      </c>
    </row>
    <row r="3069" spans="1:25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188"/>
        <v>0-12 Months</v>
      </c>
      <c r="W3069">
        <f t="shared" si="189"/>
        <v>1</v>
      </c>
      <c r="X3069">
        <f t="shared" si="190"/>
        <v>84.4</v>
      </c>
      <c r="Y3069" t="str">
        <f t="shared" si="191"/>
        <v>Non-Senior</v>
      </c>
    </row>
    <row r="3070" spans="1:25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188"/>
        <v>49-60 Months</v>
      </c>
      <c r="W3070">
        <f t="shared" si="189"/>
        <v>0</v>
      </c>
      <c r="X3070">
        <f t="shared" si="190"/>
        <v>0</v>
      </c>
      <c r="Y3070" t="str">
        <f t="shared" si="191"/>
        <v>Non-Senior</v>
      </c>
    </row>
    <row r="3071" spans="1:25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7082</v>
      </c>
      <c r="J3071" t="s">
        <v>7084</v>
      </c>
      <c r="K3071" t="s">
        <v>46</v>
      </c>
      <c r="L3071" t="s">
        <v>7084</v>
      </c>
      <c r="M3071" t="s">
        <v>7084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188"/>
        <v>0-12 Months</v>
      </c>
      <c r="W3071">
        <f t="shared" si="189"/>
        <v>0</v>
      </c>
      <c r="X3071">
        <f t="shared" si="190"/>
        <v>0</v>
      </c>
      <c r="Y3071" t="str">
        <f t="shared" si="191"/>
        <v>Non-Senior</v>
      </c>
    </row>
    <row r="3072" spans="1:25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188"/>
        <v>0-12 Months</v>
      </c>
      <c r="W3072">
        <f t="shared" si="189"/>
        <v>0</v>
      </c>
      <c r="X3072">
        <f t="shared" si="190"/>
        <v>0</v>
      </c>
      <c r="Y3072" t="str">
        <f t="shared" si="191"/>
        <v>Non-Senior</v>
      </c>
    </row>
    <row r="3073" spans="1:25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188"/>
        <v>37-48 Months</v>
      </c>
      <c r="W3073">
        <f t="shared" si="189"/>
        <v>0</v>
      </c>
      <c r="X3073">
        <f t="shared" si="190"/>
        <v>0</v>
      </c>
      <c r="Y3073" t="str">
        <f t="shared" si="191"/>
        <v>Non-Senior</v>
      </c>
    </row>
    <row r="3074" spans="1:25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si="188"/>
        <v>61-72 Months</v>
      </c>
      <c r="W3074">
        <f t="shared" si="189"/>
        <v>0</v>
      </c>
      <c r="X3074">
        <f t="shared" si="190"/>
        <v>0</v>
      </c>
      <c r="Y3074" t="str">
        <f t="shared" si="191"/>
        <v>Non-Senior</v>
      </c>
    </row>
    <row r="3075" spans="1:25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ref="V3075:V3138" si="192">IF(F3075&lt;=12,"0-12 Months",IF(F3075&lt;=24,"13-24 Months",IF(F3075&lt;=36,"25-36 Months",IF(F3075&lt;=48,"37-48 Months",IF(F3075&lt;=60,"49-60 Months","61-72 Months")))))</f>
        <v>49-60 Months</v>
      </c>
      <c r="W3075">
        <f t="shared" ref="W3075:W3138" si="193">IF(U3075="Yes",1,0)</f>
        <v>0</v>
      </c>
      <c r="X3075">
        <f t="shared" ref="X3075:X3138" si="194">IF(U3075="Yes",S3075,0)</f>
        <v>0</v>
      </c>
      <c r="Y3075" t="str">
        <f t="shared" ref="Y3075:Y3138" si="195">IF(C3075=1,"Senior Citizen","Non-Senior")</f>
        <v>Non-Senior</v>
      </c>
    </row>
    <row r="3076" spans="1:25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192"/>
        <v>25-36 Months</v>
      </c>
      <c r="W3076">
        <f t="shared" si="193"/>
        <v>0</v>
      </c>
      <c r="X3076">
        <f t="shared" si="194"/>
        <v>0</v>
      </c>
      <c r="Y3076" t="str">
        <f t="shared" si="195"/>
        <v>Non-Senior</v>
      </c>
    </row>
    <row r="3077" spans="1:25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192"/>
        <v>61-72 Months</v>
      </c>
      <c r="W3077">
        <f t="shared" si="193"/>
        <v>0</v>
      </c>
      <c r="X3077">
        <f t="shared" si="194"/>
        <v>0</v>
      </c>
      <c r="Y3077" t="str">
        <f t="shared" si="195"/>
        <v>Non-Senior</v>
      </c>
    </row>
    <row r="3078" spans="1:25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192"/>
        <v>0-12 Months</v>
      </c>
      <c r="W3078">
        <f t="shared" si="193"/>
        <v>1</v>
      </c>
      <c r="X3078">
        <f t="shared" si="194"/>
        <v>56.25</v>
      </c>
      <c r="Y3078" t="str">
        <f t="shared" si="195"/>
        <v>Non-Senior</v>
      </c>
    </row>
    <row r="3079" spans="1:25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192"/>
        <v>37-48 Months</v>
      </c>
      <c r="W3079">
        <f t="shared" si="193"/>
        <v>0</v>
      </c>
      <c r="X3079">
        <f t="shared" si="194"/>
        <v>0</v>
      </c>
      <c r="Y3079" t="str">
        <f t="shared" si="195"/>
        <v>Non-Senior</v>
      </c>
    </row>
    <row r="3080" spans="1:25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192"/>
        <v>0-12 Months</v>
      </c>
      <c r="W3080">
        <f t="shared" si="193"/>
        <v>1</v>
      </c>
      <c r="X3080">
        <f t="shared" si="194"/>
        <v>85.55</v>
      </c>
      <c r="Y3080" t="str">
        <f t="shared" si="195"/>
        <v>Senior Citizen</v>
      </c>
    </row>
    <row r="3081" spans="1:25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192"/>
        <v>0-12 Months</v>
      </c>
      <c r="W3081">
        <f t="shared" si="193"/>
        <v>1</v>
      </c>
      <c r="X3081">
        <f t="shared" si="194"/>
        <v>68.650000000000006</v>
      </c>
      <c r="Y3081" t="str">
        <f t="shared" si="195"/>
        <v>Non-Senior</v>
      </c>
    </row>
    <row r="3082" spans="1:25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192"/>
        <v>0-12 Months</v>
      </c>
      <c r="W3082">
        <f t="shared" si="193"/>
        <v>0</v>
      </c>
      <c r="X3082">
        <f t="shared" si="194"/>
        <v>0</v>
      </c>
      <c r="Y3082" t="str">
        <f t="shared" si="195"/>
        <v>Non-Senior</v>
      </c>
    </row>
    <row r="3083" spans="1:25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192"/>
        <v>0-12 Months</v>
      </c>
      <c r="W3083">
        <f t="shared" si="193"/>
        <v>1</v>
      </c>
      <c r="X3083">
        <f t="shared" si="194"/>
        <v>77.849999999999994</v>
      </c>
      <c r="Y3083" t="str">
        <f t="shared" si="195"/>
        <v>Non-Senior</v>
      </c>
    </row>
    <row r="3084" spans="1:25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192"/>
        <v>49-60 Months</v>
      </c>
      <c r="W3084">
        <f t="shared" si="193"/>
        <v>0</v>
      </c>
      <c r="X3084">
        <f t="shared" si="194"/>
        <v>0</v>
      </c>
      <c r="Y3084" t="str">
        <f t="shared" si="195"/>
        <v>Non-Senior</v>
      </c>
    </row>
    <row r="3085" spans="1:25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7082</v>
      </c>
      <c r="J3085" t="s">
        <v>7084</v>
      </c>
      <c r="K3085" t="s">
        <v>46</v>
      </c>
      <c r="L3085" t="s">
        <v>7084</v>
      </c>
      <c r="M3085" t="s">
        <v>7084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192"/>
        <v>49-60 Months</v>
      </c>
      <c r="W3085">
        <f t="shared" si="193"/>
        <v>0</v>
      </c>
      <c r="X3085">
        <f t="shared" si="194"/>
        <v>0</v>
      </c>
      <c r="Y3085" t="str">
        <f t="shared" si="195"/>
        <v>Non-Senior</v>
      </c>
    </row>
    <row r="3086" spans="1:25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7082</v>
      </c>
      <c r="J3086" t="s">
        <v>7084</v>
      </c>
      <c r="K3086" t="s">
        <v>46</v>
      </c>
      <c r="L3086" t="s">
        <v>7084</v>
      </c>
      <c r="M3086" t="s">
        <v>7084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192"/>
        <v>0-12 Months</v>
      </c>
      <c r="W3086">
        <f t="shared" si="193"/>
        <v>0</v>
      </c>
      <c r="X3086">
        <f t="shared" si="194"/>
        <v>0</v>
      </c>
      <c r="Y3086" t="str">
        <f t="shared" si="195"/>
        <v>Non-Senior</v>
      </c>
    </row>
    <row r="3087" spans="1:25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192"/>
        <v>0-12 Months</v>
      </c>
      <c r="W3087">
        <f t="shared" si="193"/>
        <v>1</v>
      </c>
      <c r="X3087">
        <f t="shared" si="194"/>
        <v>105.35</v>
      </c>
      <c r="Y3087" t="str">
        <f t="shared" si="195"/>
        <v>Non-Senior</v>
      </c>
    </row>
    <row r="3088" spans="1:25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192"/>
        <v>13-24 Months</v>
      </c>
      <c r="W3088">
        <f t="shared" si="193"/>
        <v>0</v>
      </c>
      <c r="X3088">
        <f t="shared" si="194"/>
        <v>0</v>
      </c>
      <c r="Y3088" t="str">
        <f t="shared" si="195"/>
        <v>Non-Senior</v>
      </c>
    </row>
    <row r="3089" spans="1:25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192"/>
        <v>0-12 Months</v>
      </c>
      <c r="W3089">
        <f t="shared" si="193"/>
        <v>1</v>
      </c>
      <c r="X3089">
        <f t="shared" si="194"/>
        <v>87.05</v>
      </c>
      <c r="Y3089" t="str">
        <f t="shared" si="195"/>
        <v>Non-Senior</v>
      </c>
    </row>
    <row r="3090" spans="1:25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192"/>
        <v>37-48 Months</v>
      </c>
      <c r="W3090">
        <f t="shared" si="193"/>
        <v>0</v>
      </c>
      <c r="X3090">
        <f t="shared" si="194"/>
        <v>0</v>
      </c>
      <c r="Y3090" t="str">
        <f t="shared" si="195"/>
        <v>Non-Senior</v>
      </c>
    </row>
    <row r="3091" spans="1:25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192"/>
        <v>61-72 Months</v>
      </c>
      <c r="W3091">
        <f t="shared" si="193"/>
        <v>0</v>
      </c>
      <c r="X3091">
        <f t="shared" si="194"/>
        <v>0</v>
      </c>
      <c r="Y3091" t="str">
        <f t="shared" si="195"/>
        <v>Non-Senior</v>
      </c>
    </row>
    <row r="3092" spans="1:25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192"/>
        <v>0-12 Months</v>
      </c>
      <c r="W3092">
        <f t="shared" si="193"/>
        <v>1</v>
      </c>
      <c r="X3092">
        <f t="shared" si="194"/>
        <v>53.5</v>
      </c>
      <c r="Y3092" t="str">
        <f t="shared" si="195"/>
        <v>Non-Senior</v>
      </c>
    </row>
    <row r="3093" spans="1:25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7082</v>
      </c>
      <c r="J3093" t="s">
        <v>7084</v>
      </c>
      <c r="K3093" t="s">
        <v>46</v>
      </c>
      <c r="L3093" t="s">
        <v>7084</v>
      </c>
      <c r="M3093" t="s">
        <v>7084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192"/>
        <v>0-12 Months</v>
      </c>
      <c r="W3093">
        <f t="shared" si="193"/>
        <v>0</v>
      </c>
      <c r="X3093">
        <f t="shared" si="194"/>
        <v>0</v>
      </c>
      <c r="Y3093" t="str">
        <f t="shared" si="195"/>
        <v>Non-Senior</v>
      </c>
    </row>
    <row r="3094" spans="1:25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192"/>
        <v>0-12 Months</v>
      </c>
      <c r="W3094">
        <f t="shared" si="193"/>
        <v>1</v>
      </c>
      <c r="X3094">
        <f t="shared" si="194"/>
        <v>25.1</v>
      </c>
      <c r="Y3094" t="str">
        <f t="shared" si="195"/>
        <v>Non-Senior</v>
      </c>
    </row>
    <row r="3095" spans="1:25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192"/>
        <v>25-36 Months</v>
      </c>
      <c r="W3095">
        <f t="shared" si="193"/>
        <v>0</v>
      </c>
      <c r="X3095">
        <f t="shared" si="194"/>
        <v>0</v>
      </c>
      <c r="Y3095" t="str">
        <f t="shared" si="195"/>
        <v>Non-Senior</v>
      </c>
    </row>
    <row r="3096" spans="1:25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192"/>
        <v>37-48 Months</v>
      </c>
      <c r="W3096">
        <f t="shared" si="193"/>
        <v>0</v>
      </c>
      <c r="X3096">
        <f t="shared" si="194"/>
        <v>0</v>
      </c>
      <c r="Y3096" t="str">
        <f t="shared" si="195"/>
        <v>Non-Senior</v>
      </c>
    </row>
    <row r="3097" spans="1:25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192"/>
        <v>0-12 Months</v>
      </c>
      <c r="W3097">
        <f t="shared" si="193"/>
        <v>0</v>
      </c>
      <c r="X3097">
        <f t="shared" si="194"/>
        <v>0</v>
      </c>
      <c r="Y3097" t="str">
        <f t="shared" si="195"/>
        <v>Non-Senior</v>
      </c>
    </row>
    <row r="3098" spans="1:25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192"/>
        <v>61-72 Months</v>
      </c>
      <c r="W3098">
        <f t="shared" si="193"/>
        <v>0</v>
      </c>
      <c r="X3098">
        <f t="shared" si="194"/>
        <v>0</v>
      </c>
      <c r="Y3098" t="str">
        <f t="shared" si="195"/>
        <v>Non-Senior</v>
      </c>
    </row>
    <row r="3099" spans="1:25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7082</v>
      </c>
      <c r="J3099" t="s">
        <v>7084</v>
      </c>
      <c r="K3099" t="s">
        <v>46</v>
      </c>
      <c r="L3099" t="s">
        <v>7084</v>
      </c>
      <c r="M3099" t="s">
        <v>7084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192"/>
        <v>0-12 Months</v>
      </c>
      <c r="W3099">
        <f t="shared" si="193"/>
        <v>0</v>
      </c>
      <c r="X3099">
        <f t="shared" si="194"/>
        <v>0</v>
      </c>
      <c r="Y3099" t="str">
        <f t="shared" si="195"/>
        <v>Non-Senior</v>
      </c>
    </row>
    <row r="3100" spans="1:25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192"/>
        <v>25-36 Months</v>
      </c>
      <c r="W3100">
        <f t="shared" si="193"/>
        <v>1</v>
      </c>
      <c r="X3100">
        <f t="shared" si="194"/>
        <v>79.650000000000006</v>
      </c>
      <c r="Y3100" t="str">
        <f t="shared" si="195"/>
        <v>Senior Citizen</v>
      </c>
    </row>
    <row r="3101" spans="1:25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7082</v>
      </c>
      <c r="J3101" t="s">
        <v>7084</v>
      </c>
      <c r="K3101" t="s">
        <v>46</v>
      </c>
      <c r="L3101" t="s">
        <v>7084</v>
      </c>
      <c r="M3101" t="s">
        <v>7084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192"/>
        <v>13-24 Months</v>
      </c>
      <c r="W3101">
        <f t="shared" si="193"/>
        <v>0</v>
      </c>
      <c r="X3101">
        <f t="shared" si="194"/>
        <v>0</v>
      </c>
      <c r="Y3101" t="str">
        <f t="shared" si="195"/>
        <v>Non-Senior</v>
      </c>
    </row>
    <row r="3102" spans="1:25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192"/>
        <v>49-60 Months</v>
      </c>
      <c r="W3102">
        <f t="shared" si="193"/>
        <v>0</v>
      </c>
      <c r="X3102">
        <f t="shared" si="194"/>
        <v>0</v>
      </c>
      <c r="Y3102" t="str">
        <f t="shared" si="195"/>
        <v>Non-Senior</v>
      </c>
    </row>
    <row r="3103" spans="1:25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192"/>
        <v>49-60 Months</v>
      </c>
      <c r="W3103">
        <f t="shared" si="193"/>
        <v>0</v>
      </c>
      <c r="X3103">
        <f t="shared" si="194"/>
        <v>0</v>
      </c>
      <c r="Y3103" t="str">
        <f t="shared" si="195"/>
        <v>Non-Senior</v>
      </c>
    </row>
    <row r="3104" spans="1:25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192"/>
        <v>0-12 Months</v>
      </c>
      <c r="W3104">
        <f t="shared" si="193"/>
        <v>1</v>
      </c>
      <c r="X3104">
        <f t="shared" si="194"/>
        <v>54.2</v>
      </c>
      <c r="Y3104" t="str">
        <f t="shared" si="195"/>
        <v>Non-Senior</v>
      </c>
    </row>
    <row r="3105" spans="1:25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7082</v>
      </c>
      <c r="J3105" t="s">
        <v>7084</v>
      </c>
      <c r="K3105" t="s">
        <v>46</v>
      </c>
      <c r="L3105" t="s">
        <v>7084</v>
      </c>
      <c r="M3105" t="s">
        <v>7084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192"/>
        <v>0-12 Months</v>
      </c>
      <c r="W3105">
        <f t="shared" si="193"/>
        <v>1</v>
      </c>
      <c r="X3105">
        <f t="shared" si="194"/>
        <v>19.45</v>
      </c>
      <c r="Y3105" t="str">
        <f t="shared" si="195"/>
        <v>Senior Citizen</v>
      </c>
    </row>
    <row r="3106" spans="1:25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192"/>
        <v>0-12 Months</v>
      </c>
      <c r="W3106">
        <f t="shared" si="193"/>
        <v>0</v>
      </c>
      <c r="X3106">
        <f t="shared" si="194"/>
        <v>0</v>
      </c>
      <c r="Y3106" t="str">
        <f t="shared" si="195"/>
        <v>Senior Citizen</v>
      </c>
    </row>
    <row r="3107" spans="1:25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192"/>
        <v>25-36 Months</v>
      </c>
      <c r="W3107">
        <f t="shared" si="193"/>
        <v>0</v>
      </c>
      <c r="X3107">
        <f t="shared" si="194"/>
        <v>0</v>
      </c>
      <c r="Y3107" t="str">
        <f t="shared" si="195"/>
        <v>Non-Senior</v>
      </c>
    </row>
    <row r="3108" spans="1:25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7082</v>
      </c>
      <c r="J3108" t="s">
        <v>7084</v>
      </c>
      <c r="K3108" t="s">
        <v>46</v>
      </c>
      <c r="L3108" t="s">
        <v>7084</v>
      </c>
      <c r="M3108" t="s">
        <v>7084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192"/>
        <v>49-60 Months</v>
      </c>
      <c r="W3108">
        <f t="shared" si="193"/>
        <v>0</v>
      </c>
      <c r="X3108">
        <f t="shared" si="194"/>
        <v>0</v>
      </c>
      <c r="Y3108" t="str">
        <f t="shared" si="195"/>
        <v>Non-Senior</v>
      </c>
    </row>
    <row r="3109" spans="1:25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192"/>
        <v>61-72 Months</v>
      </c>
      <c r="W3109">
        <f t="shared" si="193"/>
        <v>0</v>
      </c>
      <c r="X3109">
        <f t="shared" si="194"/>
        <v>0</v>
      </c>
      <c r="Y3109" t="str">
        <f t="shared" si="195"/>
        <v>Non-Senior</v>
      </c>
    </row>
    <row r="3110" spans="1:25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192"/>
        <v>37-48 Months</v>
      </c>
      <c r="W3110">
        <f t="shared" si="193"/>
        <v>0</v>
      </c>
      <c r="X3110">
        <f t="shared" si="194"/>
        <v>0</v>
      </c>
      <c r="Y3110" t="str">
        <f t="shared" si="195"/>
        <v>Non-Senior</v>
      </c>
    </row>
    <row r="3111" spans="1:25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7082</v>
      </c>
      <c r="J3111" t="s">
        <v>7084</v>
      </c>
      <c r="K3111" t="s">
        <v>46</v>
      </c>
      <c r="L3111" t="s">
        <v>7084</v>
      </c>
      <c r="M3111" t="s">
        <v>7084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192"/>
        <v>49-60 Months</v>
      </c>
      <c r="W3111">
        <f t="shared" si="193"/>
        <v>0</v>
      </c>
      <c r="X3111">
        <f t="shared" si="194"/>
        <v>0</v>
      </c>
      <c r="Y3111" t="str">
        <f t="shared" si="195"/>
        <v>Non-Senior</v>
      </c>
    </row>
    <row r="3112" spans="1:25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7082</v>
      </c>
      <c r="J3112" t="s">
        <v>7084</v>
      </c>
      <c r="K3112" t="s">
        <v>46</v>
      </c>
      <c r="L3112" t="s">
        <v>7084</v>
      </c>
      <c r="M3112" t="s">
        <v>7084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192"/>
        <v>0-12 Months</v>
      </c>
      <c r="W3112">
        <f t="shared" si="193"/>
        <v>0</v>
      </c>
      <c r="X3112">
        <f t="shared" si="194"/>
        <v>0</v>
      </c>
      <c r="Y3112" t="str">
        <f t="shared" si="195"/>
        <v>Non-Senior</v>
      </c>
    </row>
    <row r="3113" spans="1:25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192"/>
        <v>61-72 Months</v>
      </c>
      <c r="W3113">
        <f t="shared" si="193"/>
        <v>1</v>
      </c>
      <c r="X3113">
        <f t="shared" si="194"/>
        <v>103.4</v>
      </c>
      <c r="Y3113" t="str">
        <f t="shared" si="195"/>
        <v>Non-Senior</v>
      </c>
    </row>
    <row r="3114" spans="1:25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192"/>
        <v>61-72 Months</v>
      </c>
      <c r="W3114">
        <f t="shared" si="193"/>
        <v>0</v>
      </c>
      <c r="X3114">
        <f t="shared" si="194"/>
        <v>0</v>
      </c>
      <c r="Y3114" t="str">
        <f t="shared" si="195"/>
        <v>Non-Senior</v>
      </c>
    </row>
    <row r="3115" spans="1:25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192"/>
        <v>25-36 Months</v>
      </c>
      <c r="W3115">
        <f t="shared" si="193"/>
        <v>0</v>
      </c>
      <c r="X3115">
        <f t="shared" si="194"/>
        <v>0</v>
      </c>
      <c r="Y3115" t="str">
        <f t="shared" si="195"/>
        <v>Non-Senior</v>
      </c>
    </row>
    <row r="3116" spans="1:25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192"/>
        <v>0-12 Months</v>
      </c>
      <c r="W3116">
        <f t="shared" si="193"/>
        <v>0</v>
      </c>
      <c r="X3116">
        <f t="shared" si="194"/>
        <v>0</v>
      </c>
      <c r="Y3116" t="str">
        <f t="shared" si="195"/>
        <v>Non-Senior</v>
      </c>
    </row>
    <row r="3117" spans="1:25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192"/>
        <v>13-24 Months</v>
      </c>
      <c r="W3117">
        <f t="shared" si="193"/>
        <v>1</v>
      </c>
      <c r="X3117">
        <f t="shared" si="194"/>
        <v>84.45</v>
      </c>
      <c r="Y3117" t="str">
        <f t="shared" si="195"/>
        <v>Non-Senior</v>
      </c>
    </row>
    <row r="3118" spans="1:25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192"/>
        <v>37-48 Months</v>
      </c>
      <c r="W3118">
        <f t="shared" si="193"/>
        <v>0</v>
      </c>
      <c r="X3118">
        <f t="shared" si="194"/>
        <v>0</v>
      </c>
      <c r="Y3118" t="str">
        <f t="shared" si="195"/>
        <v>Senior Citizen</v>
      </c>
    </row>
    <row r="3119" spans="1:25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192"/>
        <v>61-72 Months</v>
      </c>
      <c r="W3119">
        <f t="shared" si="193"/>
        <v>0</v>
      </c>
      <c r="X3119">
        <f t="shared" si="194"/>
        <v>0</v>
      </c>
      <c r="Y3119" t="str">
        <f t="shared" si="195"/>
        <v>Senior Citizen</v>
      </c>
    </row>
    <row r="3120" spans="1:25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7082</v>
      </c>
      <c r="J3120" t="s">
        <v>7084</v>
      </c>
      <c r="K3120" t="s">
        <v>46</v>
      </c>
      <c r="L3120" t="s">
        <v>7084</v>
      </c>
      <c r="M3120" t="s">
        <v>7084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192"/>
        <v>37-48 Months</v>
      </c>
      <c r="W3120">
        <f t="shared" si="193"/>
        <v>0</v>
      </c>
      <c r="X3120">
        <f t="shared" si="194"/>
        <v>0</v>
      </c>
      <c r="Y3120" t="str">
        <f t="shared" si="195"/>
        <v>Non-Senior</v>
      </c>
    </row>
    <row r="3121" spans="1:25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192"/>
        <v>25-36 Months</v>
      </c>
      <c r="W3121">
        <f t="shared" si="193"/>
        <v>1</v>
      </c>
      <c r="X3121">
        <f t="shared" si="194"/>
        <v>85.95</v>
      </c>
      <c r="Y3121" t="str">
        <f t="shared" si="195"/>
        <v>Senior Citizen</v>
      </c>
    </row>
    <row r="3122" spans="1:25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7082</v>
      </c>
      <c r="J3122" t="s">
        <v>7084</v>
      </c>
      <c r="K3122" t="s">
        <v>46</v>
      </c>
      <c r="L3122" t="s">
        <v>7084</v>
      </c>
      <c r="M3122" t="s">
        <v>7084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192"/>
        <v>61-72 Months</v>
      </c>
      <c r="W3122">
        <f t="shared" si="193"/>
        <v>0</v>
      </c>
      <c r="X3122">
        <f t="shared" si="194"/>
        <v>0</v>
      </c>
      <c r="Y3122" t="str">
        <f t="shared" si="195"/>
        <v>Non-Senior</v>
      </c>
    </row>
    <row r="3123" spans="1:25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192"/>
        <v>13-24 Months</v>
      </c>
      <c r="W3123">
        <f t="shared" si="193"/>
        <v>1</v>
      </c>
      <c r="X3123">
        <f t="shared" si="194"/>
        <v>59.4</v>
      </c>
      <c r="Y3123" t="str">
        <f t="shared" si="195"/>
        <v>Senior Citizen</v>
      </c>
    </row>
    <row r="3124" spans="1:25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7082</v>
      </c>
      <c r="J3124" t="s">
        <v>7084</v>
      </c>
      <c r="K3124" t="s">
        <v>46</v>
      </c>
      <c r="L3124" t="s">
        <v>7084</v>
      </c>
      <c r="M3124" t="s">
        <v>7084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192"/>
        <v>61-72 Months</v>
      </c>
      <c r="W3124">
        <f t="shared" si="193"/>
        <v>0</v>
      </c>
      <c r="X3124">
        <f t="shared" si="194"/>
        <v>0</v>
      </c>
      <c r="Y3124" t="str">
        <f t="shared" si="195"/>
        <v>Senior Citizen</v>
      </c>
    </row>
    <row r="3125" spans="1:25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192"/>
        <v>13-24 Months</v>
      </c>
      <c r="W3125">
        <f t="shared" si="193"/>
        <v>0</v>
      </c>
      <c r="X3125">
        <f t="shared" si="194"/>
        <v>0</v>
      </c>
      <c r="Y3125" t="str">
        <f t="shared" si="195"/>
        <v>Non-Senior</v>
      </c>
    </row>
    <row r="3126" spans="1:25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192"/>
        <v>61-72 Months</v>
      </c>
      <c r="W3126">
        <f t="shared" si="193"/>
        <v>0</v>
      </c>
      <c r="X3126">
        <f t="shared" si="194"/>
        <v>0</v>
      </c>
      <c r="Y3126" t="str">
        <f t="shared" si="195"/>
        <v>Non-Senior</v>
      </c>
    </row>
    <row r="3127" spans="1:25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7082</v>
      </c>
      <c r="J3127" t="s">
        <v>7084</v>
      </c>
      <c r="K3127" t="s">
        <v>46</v>
      </c>
      <c r="L3127" t="s">
        <v>7084</v>
      </c>
      <c r="M3127" t="s">
        <v>7084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192"/>
        <v>0-12 Months</v>
      </c>
      <c r="W3127">
        <f t="shared" si="193"/>
        <v>0</v>
      </c>
      <c r="X3127">
        <f t="shared" si="194"/>
        <v>0</v>
      </c>
      <c r="Y3127" t="str">
        <f t="shared" si="195"/>
        <v>Non-Senior</v>
      </c>
    </row>
    <row r="3128" spans="1:25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192"/>
        <v>25-36 Months</v>
      </c>
      <c r="W3128">
        <f t="shared" si="193"/>
        <v>0</v>
      </c>
      <c r="X3128">
        <f t="shared" si="194"/>
        <v>0</v>
      </c>
      <c r="Y3128" t="str">
        <f t="shared" si="195"/>
        <v>Non-Senior</v>
      </c>
    </row>
    <row r="3129" spans="1:25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192"/>
        <v>25-36 Months</v>
      </c>
      <c r="W3129">
        <f t="shared" si="193"/>
        <v>1</v>
      </c>
      <c r="X3129">
        <f t="shared" si="194"/>
        <v>30.6</v>
      </c>
      <c r="Y3129" t="str">
        <f t="shared" si="195"/>
        <v>Non-Senior</v>
      </c>
    </row>
    <row r="3130" spans="1:25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7082</v>
      </c>
      <c r="J3130" t="s">
        <v>7084</v>
      </c>
      <c r="K3130" t="s">
        <v>46</v>
      </c>
      <c r="L3130" t="s">
        <v>7084</v>
      </c>
      <c r="M3130" t="s">
        <v>7084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192"/>
        <v>0-12 Months</v>
      </c>
      <c r="W3130">
        <f t="shared" si="193"/>
        <v>0</v>
      </c>
      <c r="X3130">
        <f t="shared" si="194"/>
        <v>0</v>
      </c>
      <c r="Y3130" t="str">
        <f t="shared" si="195"/>
        <v>Non-Senior</v>
      </c>
    </row>
    <row r="3131" spans="1:25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192"/>
        <v>61-72 Months</v>
      </c>
      <c r="W3131">
        <f t="shared" si="193"/>
        <v>0</v>
      </c>
      <c r="X3131">
        <f t="shared" si="194"/>
        <v>0</v>
      </c>
      <c r="Y3131" t="str">
        <f t="shared" si="195"/>
        <v>Non-Senior</v>
      </c>
    </row>
    <row r="3132" spans="1:25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192"/>
        <v>13-24 Months</v>
      </c>
      <c r="W3132">
        <f t="shared" si="193"/>
        <v>0</v>
      </c>
      <c r="X3132">
        <f t="shared" si="194"/>
        <v>0</v>
      </c>
      <c r="Y3132" t="str">
        <f t="shared" si="195"/>
        <v>Non-Senior</v>
      </c>
    </row>
    <row r="3133" spans="1:25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192"/>
        <v>61-72 Months</v>
      </c>
      <c r="W3133">
        <f t="shared" si="193"/>
        <v>0</v>
      </c>
      <c r="X3133">
        <f t="shared" si="194"/>
        <v>0</v>
      </c>
      <c r="Y3133" t="str">
        <f t="shared" si="195"/>
        <v>Senior Citizen</v>
      </c>
    </row>
    <row r="3134" spans="1:25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192"/>
        <v>0-12 Months</v>
      </c>
      <c r="W3134">
        <f t="shared" si="193"/>
        <v>0</v>
      </c>
      <c r="X3134">
        <f t="shared" si="194"/>
        <v>0</v>
      </c>
      <c r="Y3134" t="str">
        <f t="shared" si="195"/>
        <v>Non-Senior</v>
      </c>
    </row>
    <row r="3135" spans="1:25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192"/>
        <v>61-72 Months</v>
      </c>
      <c r="W3135">
        <f t="shared" si="193"/>
        <v>0</v>
      </c>
      <c r="X3135">
        <f t="shared" si="194"/>
        <v>0</v>
      </c>
      <c r="Y3135" t="str">
        <f t="shared" si="195"/>
        <v>Non-Senior</v>
      </c>
    </row>
    <row r="3136" spans="1:25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7082</v>
      </c>
      <c r="J3136" t="s">
        <v>7084</v>
      </c>
      <c r="K3136" t="s">
        <v>46</v>
      </c>
      <c r="L3136" t="s">
        <v>7084</v>
      </c>
      <c r="M3136" t="s">
        <v>7084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192"/>
        <v>25-36 Months</v>
      </c>
      <c r="W3136">
        <f t="shared" si="193"/>
        <v>0</v>
      </c>
      <c r="X3136">
        <f t="shared" si="194"/>
        <v>0</v>
      </c>
      <c r="Y3136" t="str">
        <f t="shared" si="195"/>
        <v>Non-Senior</v>
      </c>
    </row>
    <row r="3137" spans="1:25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192"/>
        <v>37-48 Months</v>
      </c>
      <c r="W3137">
        <f t="shared" si="193"/>
        <v>1</v>
      </c>
      <c r="X3137">
        <f t="shared" si="194"/>
        <v>99.55</v>
      </c>
      <c r="Y3137" t="str">
        <f t="shared" si="195"/>
        <v>Senior Citizen</v>
      </c>
    </row>
    <row r="3138" spans="1:25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si="192"/>
        <v>13-24 Months</v>
      </c>
      <c r="W3138">
        <f t="shared" si="193"/>
        <v>1</v>
      </c>
      <c r="X3138">
        <f t="shared" si="194"/>
        <v>70</v>
      </c>
      <c r="Y3138" t="str">
        <f t="shared" si="195"/>
        <v>Non-Senior</v>
      </c>
    </row>
    <row r="3139" spans="1:25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ref="V3139:V3202" si="196">IF(F3139&lt;=12,"0-12 Months",IF(F3139&lt;=24,"13-24 Months",IF(F3139&lt;=36,"25-36 Months",IF(F3139&lt;=48,"37-48 Months",IF(F3139&lt;=60,"49-60 Months","61-72 Months")))))</f>
        <v>37-48 Months</v>
      </c>
      <c r="W3139">
        <f t="shared" ref="W3139:W3202" si="197">IF(U3139="Yes",1,0)</f>
        <v>0</v>
      </c>
      <c r="X3139">
        <f t="shared" ref="X3139:X3202" si="198">IF(U3139="Yes",S3139,0)</f>
        <v>0</v>
      </c>
      <c r="Y3139" t="str">
        <f t="shared" ref="Y3139:Y3202" si="199">IF(C3139=1,"Senior Citizen","Non-Senior")</f>
        <v>Non-Senior</v>
      </c>
    </row>
    <row r="3140" spans="1:25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196"/>
        <v>0-12 Months</v>
      </c>
      <c r="W3140">
        <f t="shared" si="197"/>
        <v>1</v>
      </c>
      <c r="X3140">
        <f t="shared" si="198"/>
        <v>45.3</v>
      </c>
      <c r="Y3140" t="str">
        <f t="shared" si="199"/>
        <v>Non-Senior</v>
      </c>
    </row>
    <row r="3141" spans="1:25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196"/>
        <v>0-12 Months</v>
      </c>
      <c r="W3141">
        <f t="shared" si="197"/>
        <v>1</v>
      </c>
      <c r="X3141">
        <f t="shared" si="198"/>
        <v>29.85</v>
      </c>
      <c r="Y3141" t="str">
        <f t="shared" si="199"/>
        <v>Non-Senior</v>
      </c>
    </row>
    <row r="3142" spans="1:25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196"/>
        <v>13-24 Months</v>
      </c>
      <c r="W3142">
        <f t="shared" si="197"/>
        <v>0</v>
      </c>
      <c r="X3142">
        <f t="shared" si="198"/>
        <v>0</v>
      </c>
      <c r="Y3142" t="str">
        <f t="shared" si="199"/>
        <v>Non-Senior</v>
      </c>
    </row>
    <row r="3143" spans="1:25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196"/>
        <v>0-12 Months</v>
      </c>
      <c r="W3143">
        <f t="shared" si="197"/>
        <v>1</v>
      </c>
      <c r="X3143">
        <f t="shared" si="198"/>
        <v>95.1</v>
      </c>
      <c r="Y3143" t="str">
        <f t="shared" si="199"/>
        <v>Senior Citizen</v>
      </c>
    </row>
    <row r="3144" spans="1:25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7082</v>
      </c>
      <c r="J3144" t="s">
        <v>7084</v>
      </c>
      <c r="K3144" t="s">
        <v>46</v>
      </c>
      <c r="L3144" t="s">
        <v>7084</v>
      </c>
      <c r="M3144" t="s">
        <v>7084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196"/>
        <v>0-12 Months</v>
      </c>
      <c r="W3144">
        <f t="shared" si="197"/>
        <v>1</v>
      </c>
      <c r="X3144">
        <f t="shared" si="198"/>
        <v>19.8</v>
      </c>
      <c r="Y3144" t="str">
        <f t="shared" si="199"/>
        <v>Non-Senior</v>
      </c>
    </row>
    <row r="3145" spans="1:25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196"/>
        <v>13-24 Months</v>
      </c>
      <c r="W3145">
        <f t="shared" si="197"/>
        <v>0</v>
      </c>
      <c r="X3145">
        <f t="shared" si="198"/>
        <v>0</v>
      </c>
      <c r="Y3145" t="str">
        <f t="shared" si="199"/>
        <v>Non-Senior</v>
      </c>
    </row>
    <row r="3146" spans="1:25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7082</v>
      </c>
      <c r="J3146" t="s">
        <v>7084</v>
      </c>
      <c r="K3146" t="s">
        <v>46</v>
      </c>
      <c r="L3146" t="s">
        <v>7084</v>
      </c>
      <c r="M3146" t="s">
        <v>7084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196"/>
        <v>0-12 Months</v>
      </c>
      <c r="W3146">
        <f t="shared" si="197"/>
        <v>0</v>
      </c>
      <c r="X3146">
        <f t="shared" si="198"/>
        <v>0</v>
      </c>
      <c r="Y3146" t="str">
        <f t="shared" si="199"/>
        <v>Non-Senior</v>
      </c>
    </row>
    <row r="3147" spans="1:25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196"/>
        <v>0-12 Months</v>
      </c>
      <c r="W3147">
        <f t="shared" si="197"/>
        <v>1</v>
      </c>
      <c r="X3147">
        <f t="shared" si="198"/>
        <v>76.650000000000006</v>
      </c>
      <c r="Y3147" t="str">
        <f t="shared" si="199"/>
        <v>Non-Senior</v>
      </c>
    </row>
    <row r="3148" spans="1:25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196"/>
        <v>0-12 Months</v>
      </c>
      <c r="W3148">
        <f t="shared" si="197"/>
        <v>1</v>
      </c>
      <c r="X3148">
        <f t="shared" si="198"/>
        <v>99.15</v>
      </c>
      <c r="Y3148" t="str">
        <f t="shared" si="199"/>
        <v>Non-Senior</v>
      </c>
    </row>
    <row r="3149" spans="1:25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196"/>
        <v>13-24 Months</v>
      </c>
      <c r="W3149">
        <f t="shared" si="197"/>
        <v>0</v>
      </c>
      <c r="X3149">
        <f t="shared" si="198"/>
        <v>0</v>
      </c>
      <c r="Y3149" t="str">
        <f t="shared" si="199"/>
        <v>Non-Senior</v>
      </c>
    </row>
    <row r="3150" spans="1:25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196"/>
        <v>37-48 Months</v>
      </c>
      <c r="W3150">
        <f t="shared" si="197"/>
        <v>0</v>
      </c>
      <c r="X3150">
        <f t="shared" si="198"/>
        <v>0</v>
      </c>
      <c r="Y3150" t="str">
        <f t="shared" si="199"/>
        <v>Non-Senior</v>
      </c>
    </row>
    <row r="3151" spans="1:25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196"/>
        <v>0-12 Months</v>
      </c>
      <c r="W3151">
        <f t="shared" si="197"/>
        <v>0</v>
      </c>
      <c r="X3151">
        <f t="shared" si="198"/>
        <v>0</v>
      </c>
      <c r="Y3151" t="str">
        <f t="shared" si="199"/>
        <v>Non-Senior</v>
      </c>
    </row>
    <row r="3152" spans="1:25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196"/>
        <v>13-24 Months</v>
      </c>
      <c r="W3152">
        <f t="shared" si="197"/>
        <v>0</v>
      </c>
      <c r="X3152">
        <f t="shared" si="198"/>
        <v>0</v>
      </c>
      <c r="Y3152" t="str">
        <f t="shared" si="199"/>
        <v>Non-Senior</v>
      </c>
    </row>
    <row r="3153" spans="1:25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196"/>
        <v>13-24 Months</v>
      </c>
      <c r="W3153">
        <f t="shared" si="197"/>
        <v>0</v>
      </c>
      <c r="X3153">
        <f t="shared" si="198"/>
        <v>0</v>
      </c>
      <c r="Y3153" t="str">
        <f t="shared" si="199"/>
        <v>Non-Senior</v>
      </c>
    </row>
    <row r="3154" spans="1:25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196"/>
        <v>25-36 Months</v>
      </c>
      <c r="W3154">
        <f t="shared" si="197"/>
        <v>0</v>
      </c>
      <c r="X3154">
        <f t="shared" si="198"/>
        <v>0</v>
      </c>
      <c r="Y3154" t="str">
        <f t="shared" si="199"/>
        <v>Non-Senior</v>
      </c>
    </row>
    <row r="3155" spans="1:25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196"/>
        <v>13-24 Months</v>
      </c>
      <c r="W3155">
        <f t="shared" si="197"/>
        <v>0</v>
      </c>
      <c r="X3155">
        <f t="shared" si="198"/>
        <v>0</v>
      </c>
      <c r="Y3155" t="str">
        <f t="shared" si="199"/>
        <v>Non-Senior</v>
      </c>
    </row>
    <row r="3156" spans="1:25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196"/>
        <v>0-12 Months</v>
      </c>
      <c r="W3156">
        <f t="shared" si="197"/>
        <v>0</v>
      </c>
      <c r="X3156">
        <f t="shared" si="198"/>
        <v>0</v>
      </c>
      <c r="Y3156" t="str">
        <f t="shared" si="199"/>
        <v>Senior Citizen</v>
      </c>
    </row>
    <row r="3157" spans="1:25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7082</v>
      </c>
      <c r="J3157" t="s">
        <v>7084</v>
      </c>
      <c r="K3157" t="s">
        <v>46</v>
      </c>
      <c r="L3157" t="s">
        <v>7084</v>
      </c>
      <c r="M3157" t="s">
        <v>7084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196"/>
        <v>25-36 Months</v>
      </c>
      <c r="W3157">
        <f t="shared" si="197"/>
        <v>0</v>
      </c>
      <c r="X3157">
        <f t="shared" si="198"/>
        <v>0</v>
      </c>
      <c r="Y3157" t="str">
        <f t="shared" si="199"/>
        <v>Non-Senior</v>
      </c>
    </row>
    <row r="3158" spans="1:25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7082</v>
      </c>
      <c r="J3158" t="s">
        <v>7084</v>
      </c>
      <c r="K3158" t="s">
        <v>46</v>
      </c>
      <c r="L3158" t="s">
        <v>7084</v>
      </c>
      <c r="M3158" t="s">
        <v>7084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196"/>
        <v>25-36 Months</v>
      </c>
      <c r="W3158">
        <f t="shared" si="197"/>
        <v>0</v>
      </c>
      <c r="X3158">
        <f t="shared" si="198"/>
        <v>0</v>
      </c>
      <c r="Y3158" t="str">
        <f t="shared" si="199"/>
        <v>Non-Senior</v>
      </c>
    </row>
    <row r="3159" spans="1:25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196"/>
        <v>0-12 Months</v>
      </c>
      <c r="W3159">
        <f t="shared" si="197"/>
        <v>1</v>
      </c>
      <c r="X3159">
        <f t="shared" si="198"/>
        <v>44.95</v>
      </c>
      <c r="Y3159" t="str">
        <f t="shared" si="199"/>
        <v>Non-Senior</v>
      </c>
    </row>
    <row r="3160" spans="1:25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196"/>
        <v>13-24 Months</v>
      </c>
      <c r="W3160">
        <f t="shared" si="197"/>
        <v>1</v>
      </c>
      <c r="X3160">
        <f t="shared" si="198"/>
        <v>49.55</v>
      </c>
      <c r="Y3160" t="str">
        <f t="shared" si="199"/>
        <v>Non-Senior</v>
      </c>
    </row>
    <row r="3161" spans="1:25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196"/>
        <v>0-12 Months</v>
      </c>
      <c r="W3161">
        <f t="shared" si="197"/>
        <v>0</v>
      </c>
      <c r="X3161">
        <f t="shared" si="198"/>
        <v>0</v>
      </c>
      <c r="Y3161" t="str">
        <f t="shared" si="199"/>
        <v>Senior Citizen</v>
      </c>
    </row>
    <row r="3162" spans="1:25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196"/>
        <v>61-72 Months</v>
      </c>
      <c r="W3162">
        <f t="shared" si="197"/>
        <v>0</v>
      </c>
      <c r="X3162">
        <f t="shared" si="198"/>
        <v>0</v>
      </c>
      <c r="Y3162" t="str">
        <f t="shared" si="199"/>
        <v>Non-Senior</v>
      </c>
    </row>
    <row r="3163" spans="1:25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7082</v>
      </c>
      <c r="J3163" t="s">
        <v>7084</v>
      </c>
      <c r="K3163" t="s">
        <v>46</v>
      </c>
      <c r="L3163" t="s">
        <v>7084</v>
      </c>
      <c r="M3163" t="s">
        <v>7084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196"/>
        <v>13-24 Months</v>
      </c>
      <c r="W3163">
        <f t="shared" si="197"/>
        <v>0</v>
      </c>
      <c r="X3163">
        <f t="shared" si="198"/>
        <v>0</v>
      </c>
      <c r="Y3163" t="str">
        <f t="shared" si="199"/>
        <v>Non-Senior</v>
      </c>
    </row>
    <row r="3164" spans="1:25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196"/>
        <v>13-24 Months</v>
      </c>
      <c r="W3164">
        <f t="shared" si="197"/>
        <v>0</v>
      </c>
      <c r="X3164">
        <f t="shared" si="198"/>
        <v>0</v>
      </c>
      <c r="Y3164" t="str">
        <f t="shared" si="199"/>
        <v>Non-Senior</v>
      </c>
    </row>
    <row r="3165" spans="1:25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196"/>
        <v>37-48 Months</v>
      </c>
      <c r="W3165">
        <f t="shared" si="197"/>
        <v>0</v>
      </c>
      <c r="X3165">
        <f t="shared" si="198"/>
        <v>0</v>
      </c>
      <c r="Y3165" t="str">
        <f t="shared" si="199"/>
        <v>Senior Citizen</v>
      </c>
    </row>
    <row r="3166" spans="1:25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196"/>
        <v>25-36 Months</v>
      </c>
      <c r="W3166">
        <f t="shared" si="197"/>
        <v>0</v>
      </c>
      <c r="X3166">
        <f t="shared" si="198"/>
        <v>0</v>
      </c>
      <c r="Y3166" t="str">
        <f t="shared" si="199"/>
        <v>Non-Senior</v>
      </c>
    </row>
    <row r="3167" spans="1:25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7082</v>
      </c>
      <c r="J3167" t="s">
        <v>7084</v>
      </c>
      <c r="K3167" t="s">
        <v>46</v>
      </c>
      <c r="L3167" t="s">
        <v>7084</v>
      </c>
      <c r="M3167" t="s">
        <v>7084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196"/>
        <v>13-24 Months</v>
      </c>
      <c r="W3167">
        <f t="shared" si="197"/>
        <v>0</v>
      </c>
      <c r="X3167">
        <f t="shared" si="198"/>
        <v>0</v>
      </c>
      <c r="Y3167" t="str">
        <f t="shared" si="199"/>
        <v>Non-Senior</v>
      </c>
    </row>
    <row r="3168" spans="1:25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196"/>
        <v>13-24 Months</v>
      </c>
      <c r="W3168">
        <f t="shared" si="197"/>
        <v>0</v>
      </c>
      <c r="X3168">
        <f t="shared" si="198"/>
        <v>0</v>
      </c>
      <c r="Y3168" t="str">
        <f t="shared" si="199"/>
        <v>Non-Senior</v>
      </c>
    </row>
    <row r="3169" spans="1:25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196"/>
        <v>61-72 Months</v>
      </c>
      <c r="W3169">
        <f t="shared" si="197"/>
        <v>0</v>
      </c>
      <c r="X3169">
        <f t="shared" si="198"/>
        <v>0</v>
      </c>
      <c r="Y3169" t="str">
        <f t="shared" si="199"/>
        <v>Non-Senior</v>
      </c>
    </row>
    <row r="3170" spans="1:25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7082</v>
      </c>
      <c r="J3170" t="s">
        <v>7084</v>
      </c>
      <c r="K3170" t="s">
        <v>46</v>
      </c>
      <c r="L3170" t="s">
        <v>7084</v>
      </c>
      <c r="M3170" t="s">
        <v>7084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196"/>
        <v>49-60 Months</v>
      </c>
      <c r="W3170">
        <f t="shared" si="197"/>
        <v>0</v>
      </c>
      <c r="X3170">
        <f t="shared" si="198"/>
        <v>0</v>
      </c>
      <c r="Y3170" t="str">
        <f t="shared" si="199"/>
        <v>Non-Senior</v>
      </c>
    </row>
    <row r="3171" spans="1:25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196"/>
        <v>49-60 Months</v>
      </c>
      <c r="W3171">
        <f t="shared" si="197"/>
        <v>0</v>
      </c>
      <c r="X3171">
        <f t="shared" si="198"/>
        <v>0</v>
      </c>
      <c r="Y3171" t="str">
        <f t="shared" si="199"/>
        <v>Non-Senior</v>
      </c>
    </row>
    <row r="3172" spans="1:25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196"/>
        <v>25-36 Months</v>
      </c>
      <c r="W3172">
        <f t="shared" si="197"/>
        <v>0</v>
      </c>
      <c r="X3172">
        <f t="shared" si="198"/>
        <v>0</v>
      </c>
      <c r="Y3172" t="str">
        <f t="shared" si="199"/>
        <v>Non-Senior</v>
      </c>
    </row>
    <row r="3173" spans="1:25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7082</v>
      </c>
      <c r="J3173" t="s">
        <v>7084</v>
      </c>
      <c r="K3173" t="s">
        <v>46</v>
      </c>
      <c r="L3173" t="s">
        <v>7084</v>
      </c>
      <c r="M3173" t="s">
        <v>7084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196"/>
        <v>13-24 Months</v>
      </c>
      <c r="W3173">
        <f t="shared" si="197"/>
        <v>0</v>
      </c>
      <c r="X3173">
        <f t="shared" si="198"/>
        <v>0</v>
      </c>
      <c r="Y3173" t="str">
        <f t="shared" si="199"/>
        <v>Non-Senior</v>
      </c>
    </row>
    <row r="3174" spans="1:25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196"/>
        <v>25-36 Months</v>
      </c>
      <c r="W3174">
        <f t="shared" si="197"/>
        <v>1</v>
      </c>
      <c r="X3174">
        <f t="shared" si="198"/>
        <v>95.9</v>
      </c>
      <c r="Y3174" t="str">
        <f t="shared" si="199"/>
        <v>Non-Senior</v>
      </c>
    </row>
    <row r="3175" spans="1:25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7082</v>
      </c>
      <c r="J3175" t="s">
        <v>7084</v>
      </c>
      <c r="K3175" t="s">
        <v>46</v>
      </c>
      <c r="L3175" t="s">
        <v>7084</v>
      </c>
      <c r="M3175" t="s">
        <v>7084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196"/>
        <v>13-24 Months</v>
      </c>
      <c r="W3175">
        <f t="shared" si="197"/>
        <v>0</v>
      </c>
      <c r="X3175">
        <f t="shared" si="198"/>
        <v>0</v>
      </c>
      <c r="Y3175" t="str">
        <f t="shared" si="199"/>
        <v>Non-Senior</v>
      </c>
    </row>
    <row r="3176" spans="1:25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196"/>
        <v>49-60 Months</v>
      </c>
      <c r="W3176">
        <f t="shared" si="197"/>
        <v>0</v>
      </c>
      <c r="X3176">
        <f t="shared" si="198"/>
        <v>0</v>
      </c>
      <c r="Y3176" t="str">
        <f t="shared" si="199"/>
        <v>Non-Senior</v>
      </c>
    </row>
    <row r="3177" spans="1:25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196"/>
        <v>13-24 Months</v>
      </c>
      <c r="W3177">
        <f t="shared" si="197"/>
        <v>1</v>
      </c>
      <c r="X3177">
        <f t="shared" si="198"/>
        <v>81.5</v>
      </c>
      <c r="Y3177" t="str">
        <f t="shared" si="199"/>
        <v>Senior Citizen</v>
      </c>
    </row>
    <row r="3178" spans="1:25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7082</v>
      </c>
      <c r="J3178" t="s">
        <v>7084</v>
      </c>
      <c r="K3178" t="s">
        <v>46</v>
      </c>
      <c r="L3178" t="s">
        <v>7084</v>
      </c>
      <c r="M3178" t="s">
        <v>7084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196"/>
        <v>49-60 Months</v>
      </c>
      <c r="W3178">
        <f t="shared" si="197"/>
        <v>0</v>
      </c>
      <c r="X3178">
        <f t="shared" si="198"/>
        <v>0</v>
      </c>
      <c r="Y3178" t="str">
        <f t="shared" si="199"/>
        <v>Non-Senior</v>
      </c>
    </row>
    <row r="3179" spans="1:25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196"/>
        <v>61-72 Months</v>
      </c>
      <c r="W3179">
        <f t="shared" si="197"/>
        <v>0</v>
      </c>
      <c r="X3179">
        <f t="shared" si="198"/>
        <v>0</v>
      </c>
      <c r="Y3179" t="str">
        <f t="shared" si="199"/>
        <v>Non-Senior</v>
      </c>
    </row>
    <row r="3180" spans="1:25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196"/>
        <v>49-60 Months</v>
      </c>
      <c r="W3180">
        <f t="shared" si="197"/>
        <v>1</v>
      </c>
      <c r="X3180">
        <f t="shared" si="198"/>
        <v>84.1</v>
      </c>
      <c r="Y3180" t="str">
        <f t="shared" si="199"/>
        <v>Non-Senior</v>
      </c>
    </row>
    <row r="3181" spans="1:25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7082</v>
      </c>
      <c r="J3181" t="s">
        <v>7084</v>
      </c>
      <c r="K3181" t="s">
        <v>46</v>
      </c>
      <c r="L3181" t="s">
        <v>7084</v>
      </c>
      <c r="M3181" t="s">
        <v>7084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196"/>
        <v>25-36 Months</v>
      </c>
      <c r="W3181">
        <f t="shared" si="197"/>
        <v>0</v>
      </c>
      <c r="X3181">
        <f t="shared" si="198"/>
        <v>0</v>
      </c>
      <c r="Y3181" t="str">
        <f t="shared" si="199"/>
        <v>Non-Senior</v>
      </c>
    </row>
    <row r="3182" spans="1:25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7082</v>
      </c>
      <c r="J3182" t="s">
        <v>7084</v>
      </c>
      <c r="K3182" t="s">
        <v>46</v>
      </c>
      <c r="L3182" t="s">
        <v>7084</v>
      </c>
      <c r="M3182" t="s">
        <v>7084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196"/>
        <v>0-12 Months</v>
      </c>
      <c r="W3182">
        <f t="shared" si="197"/>
        <v>0</v>
      </c>
      <c r="X3182">
        <f t="shared" si="198"/>
        <v>0</v>
      </c>
      <c r="Y3182" t="str">
        <f t="shared" si="199"/>
        <v>Non-Senior</v>
      </c>
    </row>
    <row r="3183" spans="1:25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196"/>
        <v>61-72 Months</v>
      </c>
      <c r="W3183">
        <f t="shared" si="197"/>
        <v>0</v>
      </c>
      <c r="X3183">
        <f t="shared" si="198"/>
        <v>0</v>
      </c>
      <c r="Y3183" t="str">
        <f t="shared" si="199"/>
        <v>Non-Senior</v>
      </c>
    </row>
    <row r="3184" spans="1:25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196"/>
        <v>37-48 Months</v>
      </c>
      <c r="W3184">
        <f t="shared" si="197"/>
        <v>0</v>
      </c>
      <c r="X3184">
        <f t="shared" si="198"/>
        <v>0</v>
      </c>
      <c r="Y3184" t="str">
        <f t="shared" si="199"/>
        <v>Non-Senior</v>
      </c>
    </row>
    <row r="3185" spans="1:25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196"/>
        <v>0-12 Months</v>
      </c>
      <c r="W3185">
        <f t="shared" si="197"/>
        <v>1</v>
      </c>
      <c r="X3185">
        <f t="shared" si="198"/>
        <v>36.450000000000003</v>
      </c>
      <c r="Y3185" t="str">
        <f t="shared" si="199"/>
        <v>Senior Citizen</v>
      </c>
    </row>
    <row r="3186" spans="1:25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196"/>
        <v>61-72 Months</v>
      </c>
      <c r="W3186">
        <f t="shared" si="197"/>
        <v>0</v>
      </c>
      <c r="X3186">
        <f t="shared" si="198"/>
        <v>0</v>
      </c>
      <c r="Y3186" t="str">
        <f t="shared" si="199"/>
        <v>Non-Senior</v>
      </c>
    </row>
    <row r="3187" spans="1:25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196"/>
        <v>0-12 Months</v>
      </c>
      <c r="W3187">
        <f t="shared" si="197"/>
        <v>1</v>
      </c>
      <c r="X3187">
        <f t="shared" si="198"/>
        <v>25.05</v>
      </c>
      <c r="Y3187" t="str">
        <f t="shared" si="199"/>
        <v>Senior Citizen</v>
      </c>
    </row>
    <row r="3188" spans="1:25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7082</v>
      </c>
      <c r="J3188" t="s">
        <v>7084</v>
      </c>
      <c r="K3188" t="s">
        <v>46</v>
      </c>
      <c r="L3188" t="s">
        <v>7084</v>
      </c>
      <c r="M3188" t="s">
        <v>7084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196"/>
        <v>49-60 Months</v>
      </c>
      <c r="W3188">
        <f t="shared" si="197"/>
        <v>0</v>
      </c>
      <c r="X3188">
        <f t="shared" si="198"/>
        <v>0</v>
      </c>
      <c r="Y3188" t="str">
        <f t="shared" si="199"/>
        <v>Non-Senior</v>
      </c>
    </row>
    <row r="3189" spans="1:25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196"/>
        <v>25-36 Months</v>
      </c>
      <c r="W3189">
        <f t="shared" si="197"/>
        <v>0</v>
      </c>
      <c r="X3189">
        <f t="shared" si="198"/>
        <v>0</v>
      </c>
      <c r="Y3189" t="str">
        <f t="shared" si="199"/>
        <v>Non-Senior</v>
      </c>
    </row>
    <row r="3190" spans="1:25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196"/>
        <v>0-12 Months</v>
      </c>
      <c r="W3190">
        <f t="shared" si="197"/>
        <v>1</v>
      </c>
      <c r="X3190">
        <f t="shared" si="198"/>
        <v>49.85</v>
      </c>
      <c r="Y3190" t="str">
        <f t="shared" si="199"/>
        <v>Non-Senior</v>
      </c>
    </row>
    <row r="3191" spans="1:25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7082</v>
      </c>
      <c r="J3191" t="s">
        <v>7084</v>
      </c>
      <c r="K3191" t="s">
        <v>46</v>
      </c>
      <c r="L3191" t="s">
        <v>7084</v>
      </c>
      <c r="M3191" t="s">
        <v>7084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196"/>
        <v>13-24 Months</v>
      </c>
      <c r="W3191">
        <f t="shared" si="197"/>
        <v>0</v>
      </c>
      <c r="X3191">
        <f t="shared" si="198"/>
        <v>0</v>
      </c>
      <c r="Y3191" t="str">
        <f t="shared" si="199"/>
        <v>Non-Senior</v>
      </c>
    </row>
    <row r="3192" spans="1:25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196"/>
        <v>61-72 Months</v>
      </c>
      <c r="W3192">
        <f t="shared" si="197"/>
        <v>0</v>
      </c>
      <c r="X3192">
        <f t="shared" si="198"/>
        <v>0</v>
      </c>
      <c r="Y3192" t="str">
        <f t="shared" si="199"/>
        <v>Non-Senior</v>
      </c>
    </row>
    <row r="3193" spans="1:25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196"/>
        <v>0-12 Months</v>
      </c>
      <c r="W3193">
        <f t="shared" si="197"/>
        <v>0</v>
      </c>
      <c r="X3193">
        <f t="shared" si="198"/>
        <v>0</v>
      </c>
      <c r="Y3193" t="str">
        <f t="shared" si="199"/>
        <v>Senior Citizen</v>
      </c>
    </row>
    <row r="3194" spans="1:25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7082</v>
      </c>
      <c r="J3194" t="s">
        <v>7084</v>
      </c>
      <c r="K3194" t="s">
        <v>46</v>
      </c>
      <c r="L3194" t="s">
        <v>7084</v>
      </c>
      <c r="M3194" t="s">
        <v>7084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196"/>
        <v>49-60 Months</v>
      </c>
      <c r="W3194">
        <f t="shared" si="197"/>
        <v>0</v>
      </c>
      <c r="X3194">
        <f t="shared" si="198"/>
        <v>0</v>
      </c>
      <c r="Y3194" t="str">
        <f t="shared" si="199"/>
        <v>Non-Senior</v>
      </c>
    </row>
    <row r="3195" spans="1:25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7082</v>
      </c>
      <c r="J3195" t="s">
        <v>7084</v>
      </c>
      <c r="K3195" t="s">
        <v>46</v>
      </c>
      <c r="L3195" t="s">
        <v>7084</v>
      </c>
      <c r="M3195" t="s">
        <v>7084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196"/>
        <v>0-12 Months</v>
      </c>
      <c r="W3195">
        <f t="shared" si="197"/>
        <v>0</v>
      </c>
      <c r="X3195">
        <f t="shared" si="198"/>
        <v>0</v>
      </c>
      <c r="Y3195" t="str">
        <f t="shared" si="199"/>
        <v>Non-Senior</v>
      </c>
    </row>
    <row r="3196" spans="1:25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196"/>
        <v>37-48 Months</v>
      </c>
      <c r="W3196">
        <f t="shared" si="197"/>
        <v>1</v>
      </c>
      <c r="X3196">
        <f t="shared" si="198"/>
        <v>55.55</v>
      </c>
      <c r="Y3196" t="str">
        <f t="shared" si="199"/>
        <v>Senior Citizen</v>
      </c>
    </row>
    <row r="3197" spans="1:25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196"/>
        <v>0-12 Months</v>
      </c>
      <c r="W3197">
        <f t="shared" si="197"/>
        <v>0</v>
      </c>
      <c r="X3197">
        <f t="shared" si="198"/>
        <v>0</v>
      </c>
      <c r="Y3197" t="str">
        <f t="shared" si="199"/>
        <v>Non-Senior</v>
      </c>
    </row>
    <row r="3198" spans="1:25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7082</v>
      </c>
      <c r="J3198" t="s">
        <v>7084</v>
      </c>
      <c r="K3198" t="s">
        <v>46</v>
      </c>
      <c r="L3198" t="s">
        <v>7084</v>
      </c>
      <c r="M3198" t="s">
        <v>7084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196"/>
        <v>0-12 Months</v>
      </c>
      <c r="W3198">
        <f t="shared" si="197"/>
        <v>0</v>
      </c>
      <c r="X3198">
        <f t="shared" si="198"/>
        <v>0</v>
      </c>
      <c r="Y3198" t="str">
        <f t="shared" si="199"/>
        <v>Non-Senior</v>
      </c>
    </row>
    <row r="3199" spans="1:25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196"/>
        <v>13-24 Months</v>
      </c>
      <c r="W3199">
        <f t="shared" si="197"/>
        <v>1</v>
      </c>
      <c r="X3199">
        <f t="shared" si="198"/>
        <v>69.5</v>
      </c>
      <c r="Y3199" t="str">
        <f t="shared" si="199"/>
        <v>Non-Senior</v>
      </c>
    </row>
    <row r="3200" spans="1:25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196"/>
        <v>37-48 Months</v>
      </c>
      <c r="W3200">
        <f t="shared" si="197"/>
        <v>0</v>
      </c>
      <c r="X3200">
        <f t="shared" si="198"/>
        <v>0</v>
      </c>
      <c r="Y3200" t="str">
        <f t="shared" si="199"/>
        <v>Non-Senior</v>
      </c>
    </row>
    <row r="3201" spans="1:25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7082</v>
      </c>
      <c r="J3201" t="s">
        <v>7084</v>
      </c>
      <c r="K3201" t="s">
        <v>46</v>
      </c>
      <c r="L3201" t="s">
        <v>7084</v>
      </c>
      <c r="M3201" t="s">
        <v>7084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196"/>
        <v>61-72 Months</v>
      </c>
      <c r="W3201">
        <f t="shared" si="197"/>
        <v>0</v>
      </c>
      <c r="X3201">
        <f t="shared" si="198"/>
        <v>0</v>
      </c>
      <c r="Y3201" t="str">
        <f t="shared" si="199"/>
        <v>Non-Senior</v>
      </c>
    </row>
    <row r="3202" spans="1:25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si="196"/>
        <v>49-60 Months</v>
      </c>
      <c r="W3202">
        <f t="shared" si="197"/>
        <v>1</v>
      </c>
      <c r="X3202">
        <f t="shared" si="198"/>
        <v>104.3</v>
      </c>
      <c r="Y3202" t="str">
        <f t="shared" si="199"/>
        <v>Non-Senior</v>
      </c>
    </row>
    <row r="3203" spans="1:25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ref="V3203:V3266" si="200">IF(F3203&lt;=12,"0-12 Months",IF(F3203&lt;=24,"13-24 Months",IF(F3203&lt;=36,"25-36 Months",IF(F3203&lt;=48,"37-48 Months",IF(F3203&lt;=60,"49-60 Months","61-72 Months")))))</f>
        <v>49-60 Months</v>
      </c>
      <c r="W3203">
        <f t="shared" ref="W3203:W3266" si="201">IF(U3203="Yes",1,0)</f>
        <v>0</v>
      </c>
      <c r="X3203">
        <f t="shared" ref="X3203:X3266" si="202">IF(U3203="Yes",S3203,0)</f>
        <v>0</v>
      </c>
      <c r="Y3203" t="str">
        <f t="shared" ref="Y3203:Y3266" si="203">IF(C3203=1,"Senior Citizen","Non-Senior")</f>
        <v>Non-Senior</v>
      </c>
    </row>
    <row r="3204" spans="1:25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200"/>
        <v>0-12 Months</v>
      </c>
      <c r="W3204">
        <f t="shared" si="201"/>
        <v>0</v>
      </c>
      <c r="X3204">
        <f t="shared" si="202"/>
        <v>0</v>
      </c>
      <c r="Y3204" t="str">
        <f t="shared" si="203"/>
        <v>Non-Senior</v>
      </c>
    </row>
    <row r="3205" spans="1:25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200"/>
        <v>61-72 Months</v>
      </c>
      <c r="W3205">
        <f t="shared" si="201"/>
        <v>0</v>
      </c>
      <c r="X3205">
        <f t="shared" si="202"/>
        <v>0</v>
      </c>
      <c r="Y3205" t="str">
        <f t="shared" si="203"/>
        <v>Non-Senior</v>
      </c>
    </row>
    <row r="3206" spans="1:25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7082</v>
      </c>
      <c r="J3206" t="s">
        <v>7084</v>
      </c>
      <c r="K3206" t="s">
        <v>46</v>
      </c>
      <c r="L3206" t="s">
        <v>7084</v>
      </c>
      <c r="M3206" t="s">
        <v>7084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200"/>
        <v>37-48 Months</v>
      </c>
      <c r="W3206">
        <f t="shared" si="201"/>
        <v>0</v>
      </c>
      <c r="X3206">
        <f t="shared" si="202"/>
        <v>0</v>
      </c>
      <c r="Y3206" t="str">
        <f t="shared" si="203"/>
        <v>Non-Senior</v>
      </c>
    </row>
    <row r="3207" spans="1:25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200"/>
        <v>61-72 Months</v>
      </c>
      <c r="W3207">
        <f t="shared" si="201"/>
        <v>0</v>
      </c>
      <c r="X3207">
        <f t="shared" si="202"/>
        <v>0</v>
      </c>
      <c r="Y3207" t="str">
        <f t="shared" si="203"/>
        <v>Non-Senior</v>
      </c>
    </row>
    <row r="3208" spans="1:25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7082</v>
      </c>
      <c r="J3208" t="s">
        <v>7084</v>
      </c>
      <c r="K3208" t="s">
        <v>46</v>
      </c>
      <c r="L3208" t="s">
        <v>7084</v>
      </c>
      <c r="M3208" t="s">
        <v>7084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200"/>
        <v>0-12 Months</v>
      </c>
      <c r="W3208">
        <f t="shared" si="201"/>
        <v>0</v>
      </c>
      <c r="X3208">
        <f t="shared" si="202"/>
        <v>0</v>
      </c>
      <c r="Y3208" t="str">
        <f t="shared" si="203"/>
        <v>Non-Senior</v>
      </c>
    </row>
    <row r="3209" spans="1:25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7082</v>
      </c>
      <c r="J3209" t="s">
        <v>7084</v>
      </c>
      <c r="K3209" t="s">
        <v>46</v>
      </c>
      <c r="L3209" t="s">
        <v>7084</v>
      </c>
      <c r="M3209" t="s">
        <v>7084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200"/>
        <v>0-12 Months</v>
      </c>
      <c r="W3209">
        <f t="shared" si="201"/>
        <v>0</v>
      </c>
      <c r="X3209">
        <f t="shared" si="202"/>
        <v>0</v>
      </c>
      <c r="Y3209" t="str">
        <f t="shared" si="203"/>
        <v>Non-Senior</v>
      </c>
    </row>
    <row r="3210" spans="1:25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200"/>
        <v>37-48 Months</v>
      </c>
      <c r="W3210">
        <f t="shared" si="201"/>
        <v>0</v>
      </c>
      <c r="X3210">
        <f t="shared" si="202"/>
        <v>0</v>
      </c>
      <c r="Y3210" t="str">
        <f t="shared" si="203"/>
        <v>Non-Senior</v>
      </c>
    </row>
    <row r="3211" spans="1:25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200"/>
        <v>0-12 Months</v>
      </c>
      <c r="W3211">
        <f t="shared" si="201"/>
        <v>1</v>
      </c>
      <c r="X3211">
        <f t="shared" si="202"/>
        <v>93.85</v>
      </c>
      <c r="Y3211" t="str">
        <f t="shared" si="203"/>
        <v>Non-Senior</v>
      </c>
    </row>
    <row r="3212" spans="1:25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200"/>
        <v>61-72 Months</v>
      </c>
      <c r="W3212">
        <f t="shared" si="201"/>
        <v>0</v>
      </c>
      <c r="X3212">
        <f t="shared" si="202"/>
        <v>0</v>
      </c>
      <c r="Y3212" t="str">
        <f t="shared" si="203"/>
        <v>Non-Senior</v>
      </c>
    </row>
    <row r="3213" spans="1:25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7082</v>
      </c>
      <c r="J3213" t="s">
        <v>7084</v>
      </c>
      <c r="K3213" t="s">
        <v>46</v>
      </c>
      <c r="L3213" t="s">
        <v>7084</v>
      </c>
      <c r="M3213" t="s">
        <v>7084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200"/>
        <v>13-24 Months</v>
      </c>
      <c r="W3213">
        <f t="shared" si="201"/>
        <v>0</v>
      </c>
      <c r="X3213">
        <f t="shared" si="202"/>
        <v>0</v>
      </c>
      <c r="Y3213" t="str">
        <f t="shared" si="203"/>
        <v>Non-Senior</v>
      </c>
    </row>
    <row r="3214" spans="1:25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200"/>
        <v>37-48 Months</v>
      </c>
      <c r="W3214">
        <f t="shared" si="201"/>
        <v>0</v>
      </c>
      <c r="X3214">
        <f t="shared" si="202"/>
        <v>0</v>
      </c>
      <c r="Y3214" t="str">
        <f t="shared" si="203"/>
        <v>Non-Senior</v>
      </c>
    </row>
    <row r="3215" spans="1:25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200"/>
        <v>37-48 Months</v>
      </c>
      <c r="W3215">
        <f t="shared" si="201"/>
        <v>0</v>
      </c>
      <c r="X3215">
        <f t="shared" si="202"/>
        <v>0</v>
      </c>
      <c r="Y3215" t="str">
        <f t="shared" si="203"/>
        <v>Non-Senior</v>
      </c>
    </row>
    <row r="3216" spans="1:25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200"/>
        <v>49-60 Months</v>
      </c>
      <c r="W3216">
        <f t="shared" si="201"/>
        <v>0</v>
      </c>
      <c r="X3216">
        <f t="shared" si="202"/>
        <v>0</v>
      </c>
      <c r="Y3216" t="str">
        <f t="shared" si="203"/>
        <v>Senior Citizen</v>
      </c>
    </row>
    <row r="3217" spans="1:25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200"/>
        <v>37-48 Months</v>
      </c>
      <c r="W3217">
        <f t="shared" si="201"/>
        <v>0</v>
      </c>
      <c r="X3217">
        <f t="shared" si="202"/>
        <v>0</v>
      </c>
      <c r="Y3217" t="str">
        <f t="shared" si="203"/>
        <v>Non-Senior</v>
      </c>
    </row>
    <row r="3218" spans="1:25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200"/>
        <v>0-12 Months</v>
      </c>
      <c r="W3218">
        <f t="shared" si="201"/>
        <v>1</v>
      </c>
      <c r="X3218">
        <f t="shared" si="202"/>
        <v>50.45</v>
      </c>
      <c r="Y3218" t="str">
        <f t="shared" si="203"/>
        <v>Non-Senior</v>
      </c>
    </row>
    <row r="3219" spans="1:25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7082</v>
      </c>
      <c r="J3219" t="s">
        <v>7084</v>
      </c>
      <c r="K3219" t="s">
        <v>46</v>
      </c>
      <c r="L3219" t="s">
        <v>7084</v>
      </c>
      <c r="M3219" t="s">
        <v>7084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200"/>
        <v>0-12 Months</v>
      </c>
      <c r="W3219">
        <f t="shared" si="201"/>
        <v>0</v>
      </c>
      <c r="X3219">
        <f t="shared" si="202"/>
        <v>0</v>
      </c>
      <c r="Y3219" t="str">
        <f t="shared" si="203"/>
        <v>Non-Senior</v>
      </c>
    </row>
    <row r="3220" spans="1:25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200"/>
        <v>61-72 Months</v>
      </c>
      <c r="W3220">
        <f t="shared" si="201"/>
        <v>0</v>
      </c>
      <c r="X3220">
        <f t="shared" si="202"/>
        <v>0</v>
      </c>
      <c r="Y3220" t="str">
        <f t="shared" si="203"/>
        <v>Non-Senior</v>
      </c>
    </row>
    <row r="3221" spans="1:25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7082</v>
      </c>
      <c r="J3221" t="s">
        <v>7084</v>
      </c>
      <c r="K3221" t="s">
        <v>46</v>
      </c>
      <c r="L3221" t="s">
        <v>7084</v>
      </c>
      <c r="M3221" t="s">
        <v>7084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200"/>
        <v>13-24 Months</v>
      </c>
      <c r="W3221">
        <f t="shared" si="201"/>
        <v>0</v>
      </c>
      <c r="X3221">
        <f t="shared" si="202"/>
        <v>0</v>
      </c>
      <c r="Y3221" t="str">
        <f t="shared" si="203"/>
        <v>Non-Senior</v>
      </c>
    </row>
    <row r="3222" spans="1:25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200"/>
        <v>61-72 Months</v>
      </c>
      <c r="W3222">
        <f t="shared" si="201"/>
        <v>0</v>
      </c>
      <c r="X3222">
        <f t="shared" si="202"/>
        <v>0</v>
      </c>
      <c r="Y3222" t="str">
        <f t="shared" si="203"/>
        <v>Non-Senior</v>
      </c>
    </row>
    <row r="3223" spans="1:25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200"/>
        <v>0-12 Months</v>
      </c>
      <c r="W3223">
        <f t="shared" si="201"/>
        <v>0</v>
      </c>
      <c r="X3223">
        <f t="shared" si="202"/>
        <v>0</v>
      </c>
      <c r="Y3223" t="str">
        <f t="shared" si="203"/>
        <v>Non-Senior</v>
      </c>
    </row>
    <row r="3224" spans="1:25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200"/>
        <v>0-12 Months</v>
      </c>
      <c r="W3224">
        <f t="shared" si="201"/>
        <v>0</v>
      </c>
      <c r="X3224">
        <f t="shared" si="202"/>
        <v>0</v>
      </c>
      <c r="Y3224" t="str">
        <f t="shared" si="203"/>
        <v>Non-Senior</v>
      </c>
    </row>
    <row r="3225" spans="1:25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200"/>
        <v>0-12 Months</v>
      </c>
      <c r="W3225">
        <f t="shared" si="201"/>
        <v>0</v>
      </c>
      <c r="X3225">
        <f t="shared" si="202"/>
        <v>0</v>
      </c>
      <c r="Y3225" t="str">
        <f t="shared" si="203"/>
        <v>Non-Senior</v>
      </c>
    </row>
    <row r="3226" spans="1:25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200"/>
        <v>0-12 Months</v>
      </c>
      <c r="W3226">
        <f t="shared" si="201"/>
        <v>1</v>
      </c>
      <c r="X3226">
        <f t="shared" si="202"/>
        <v>74.650000000000006</v>
      </c>
      <c r="Y3226" t="str">
        <f t="shared" si="203"/>
        <v>Non-Senior</v>
      </c>
    </row>
    <row r="3227" spans="1:25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200"/>
        <v>13-24 Months</v>
      </c>
      <c r="W3227">
        <f t="shared" si="201"/>
        <v>0</v>
      </c>
      <c r="X3227">
        <f t="shared" si="202"/>
        <v>0</v>
      </c>
      <c r="Y3227" t="str">
        <f t="shared" si="203"/>
        <v>Non-Senior</v>
      </c>
    </row>
    <row r="3228" spans="1:25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7082</v>
      </c>
      <c r="J3228" t="s">
        <v>7084</v>
      </c>
      <c r="K3228" t="s">
        <v>46</v>
      </c>
      <c r="L3228" t="s">
        <v>7084</v>
      </c>
      <c r="M3228" t="s">
        <v>7084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200"/>
        <v>0-12 Months</v>
      </c>
      <c r="W3228">
        <f t="shared" si="201"/>
        <v>0</v>
      </c>
      <c r="X3228">
        <f t="shared" si="202"/>
        <v>0</v>
      </c>
      <c r="Y3228" t="str">
        <f t="shared" si="203"/>
        <v>Non-Senior</v>
      </c>
    </row>
    <row r="3229" spans="1:25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200"/>
        <v>0-12 Months</v>
      </c>
      <c r="W3229">
        <f t="shared" si="201"/>
        <v>0</v>
      </c>
      <c r="X3229">
        <f t="shared" si="202"/>
        <v>0</v>
      </c>
      <c r="Y3229" t="str">
        <f t="shared" si="203"/>
        <v>Non-Senior</v>
      </c>
    </row>
    <row r="3230" spans="1:25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200"/>
        <v>49-60 Months</v>
      </c>
      <c r="W3230">
        <f t="shared" si="201"/>
        <v>0</v>
      </c>
      <c r="X3230">
        <f t="shared" si="202"/>
        <v>0</v>
      </c>
      <c r="Y3230" t="str">
        <f t="shared" si="203"/>
        <v>Non-Senior</v>
      </c>
    </row>
    <row r="3231" spans="1:25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200"/>
        <v>0-12 Months</v>
      </c>
      <c r="W3231">
        <f t="shared" si="201"/>
        <v>1</v>
      </c>
      <c r="X3231">
        <f t="shared" si="202"/>
        <v>94.2</v>
      </c>
      <c r="Y3231" t="str">
        <f t="shared" si="203"/>
        <v>Non-Senior</v>
      </c>
    </row>
    <row r="3232" spans="1:25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7082</v>
      </c>
      <c r="J3232" t="s">
        <v>7084</v>
      </c>
      <c r="K3232" t="s">
        <v>46</v>
      </c>
      <c r="L3232" t="s">
        <v>7084</v>
      </c>
      <c r="M3232" t="s">
        <v>7084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200"/>
        <v>61-72 Months</v>
      </c>
      <c r="W3232">
        <f t="shared" si="201"/>
        <v>0</v>
      </c>
      <c r="X3232">
        <f t="shared" si="202"/>
        <v>0</v>
      </c>
      <c r="Y3232" t="str">
        <f t="shared" si="203"/>
        <v>Non-Senior</v>
      </c>
    </row>
    <row r="3233" spans="1:25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200"/>
        <v>13-24 Months</v>
      </c>
      <c r="W3233">
        <f t="shared" si="201"/>
        <v>0</v>
      </c>
      <c r="X3233">
        <f t="shared" si="202"/>
        <v>0</v>
      </c>
      <c r="Y3233" t="str">
        <f t="shared" si="203"/>
        <v>Non-Senior</v>
      </c>
    </row>
    <row r="3234" spans="1:25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200"/>
        <v>25-36 Months</v>
      </c>
      <c r="W3234">
        <f t="shared" si="201"/>
        <v>0</v>
      </c>
      <c r="X3234">
        <f t="shared" si="202"/>
        <v>0</v>
      </c>
      <c r="Y3234" t="str">
        <f t="shared" si="203"/>
        <v>Non-Senior</v>
      </c>
    </row>
    <row r="3235" spans="1:25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200"/>
        <v>0-12 Months</v>
      </c>
      <c r="W3235">
        <f t="shared" si="201"/>
        <v>0</v>
      </c>
      <c r="X3235">
        <f t="shared" si="202"/>
        <v>0</v>
      </c>
      <c r="Y3235" t="str">
        <f t="shared" si="203"/>
        <v>Senior Citizen</v>
      </c>
    </row>
    <row r="3236" spans="1:25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7082</v>
      </c>
      <c r="J3236" t="s">
        <v>7084</v>
      </c>
      <c r="K3236" t="s">
        <v>46</v>
      </c>
      <c r="L3236" t="s">
        <v>7084</v>
      </c>
      <c r="M3236" t="s">
        <v>7084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200"/>
        <v>13-24 Months</v>
      </c>
      <c r="W3236">
        <f t="shared" si="201"/>
        <v>0</v>
      </c>
      <c r="X3236">
        <f t="shared" si="202"/>
        <v>0</v>
      </c>
      <c r="Y3236" t="str">
        <f t="shared" si="203"/>
        <v>Non-Senior</v>
      </c>
    </row>
    <row r="3237" spans="1:25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200"/>
        <v>61-72 Months</v>
      </c>
      <c r="W3237">
        <f t="shared" si="201"/>
        <v>0</v>
      </c>
      <c r="X3237">
        <f t="shared" si="202"/>
        <v>0</v>
      </c>
      <c r="Y3237" t="str">
        <f t="shared" si="203"/>
        <v>Non-Senior</v>
      </c>
    </row>
    <row r="3238" spans="1:25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200"/>
        <v>13-24 Months</v>
      </c>
      <c r="W3238">
        <f t="shared" si="201"/>
        <v>0</v>
      </c>
      <c r="X3238">
        <f t="shared" si="202"/>
        <v>0</v>
      </c>
      <c r="Y3238" t="str">
        <f t="shared" si="203"/>
        <v>Non-Senior</v>
      </c>
    </row>
    <row r="3239" spans="1:25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7082</v>
      </c>
      <c r="J3239" t="s">
        <v>7084</v>
      </c>
      <c r="K3239" t="s">
        <v>46</v>
      </c>
      <c r="L3239" t="s">
        <v>7084</v>
      </c>
      <c r="M3239" t="s">
        <v>7084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200"/>
        <v>61-72 Months</v>
      </c>
      <c r="W3239">
        <f t="shared" si="201"/>
        <v>0</v>
      </c>
      <c r="X3239">
        <f t="shared" si="202"/>
        <v>0</v>
      </c>
      <c r="Y3239" t="str">
        <f t="shared" si="203"/>
        <v>Non-Senior</v>
      </c>
    </row>
    <row r="3240" spans="1:25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7082</v>
      </c>
      <c r="J3240" t="s">
        <v>7084</v>
      </c>
      <c r="K3240" t="s">
        <v>46</v>
      </c>
      <c r="L3240" t="s">
        <v>7084</v>
      </c>
      <c r="M3240" t="s">
        <v>7084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200"/>
        <v>25-36 Months</v>
      </c>
      <c r="W3240">
        <f t="shared" si="201"/>
        <v>0</v>
      </c>
      <c r="X3240">
        <f t="shared" si="202"/>
        <v>0</v>
      </c>
      <c r="Y3240" t="str">
        <f t="shared" si="203"/>
        <v>Non-Senior</v>
      </c>
    </row>
    <row r="3241" spans="1:25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200"/>
        <v>13-24 Months</v>
      </c>
      <c r="W3241">
        <f t="shared" si="201"/>
        <v>0</v>
      </c>
      <c r="X3241">
        <f t="shared" si="202"/>
        <v>0</v>
      </c>
      <c r="Y3241" t="str">
        <f t="shared" si="203"/>
        <v>Non-Senior</v>
      </c>
    </row>
    <row r="3242" spans="1:25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200"/>
        <v>49-60 Months</v>
      </c>
      <c r="W3242">
        <f t="shared" si="201"/>
        <v>1</v>
      </c>
      <c r="X3242">
        <f t="shared" si="202"/>
        <v>106.55</v>
      </c>
      <c r="Y3242" t="str">
        <f t="shared" si="203"/>
        <v>Non-Senior</v>
      </c>
    </row>
    <row r="3243" spans="1:25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7082</v>
      </c>
      <c r="J3243" t="s">
        <v>7084</v>
      </c>
      <c r="K3243" t="s">
        <v>46</v>
      </c>
      <c r="L3243" t="s">
        <v>7084</v>
      </c>
      <c r="M3243" t="s">
        <v>7084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200"/>
        <v>0-12 Months</v>
      </c>
      <c r="W3243">
        <f t="shared" si="201"/>
        <v>1</v>
      </c>
      <c r="X3243">
        <f t="shared" si="202"/>
        <v>20.100000000000001</v>
      </c>
      <c r="Y3243" t="str">
        <f t="shared" si="203"/>
        <v>Non-Senior</v>
      </c>
    </row>
    <row r="3244" spans="1:25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7082</v>
      </c>
      <c r="J3244" t="s">
        <v>7084</v>
      </c>
      <c r="K3244" t="s">
        <v>46</v>
      </c>
      <c r="L3244" t="s">
        <v>7084</v>
      </c>
      <c r="M3244" t="s">
        <v>7084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200"/>
        <v>0-12 Months</v>
      </c>
      <c r="W3244">
        <f t="shared" si="201"/>
        <v>0</v>
      </c>
      <c r="X3244">
        <f t="shared" si="202"/>
        <v>0</v>
      </c>
      <c r="Y3244" t="str">
        <f t="shared" si="203"/>
        <v>Non-Senior</v>
      </c>
    </row>
    <row r="3245" spans="1:25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200"/>
        <v>13-24 Months</v>
      </c>
      <c r="W3245">
        <f t="shared" si="201"/>
        <v>0</v>
      </c>
      <c r="X3245">
        <f t="shared" si="202"/>
        <v>0</v>
      </c>
      <c r="Y3245" t="str">
        <f t="shared" si="203"/>
        <v>Non-Senior</v>
      </c>
    </row>
    <row r="3246" spans="1:25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200"/>
        <v>0-12 Months</v>
      </c>
      <c r="W3246">
        <f t="shared" si="201"/>
        <v>0</v>
      </c>
      <c r="X3246">
        <f t="shared" si="202"/>
        <v>0</v>
      </c>
      <c r="Y3246" t="str">
        <f t="shared" si="203"/>
        <v>Non-Senior</v>
      </c>
    </row>
    <row r="3247" spans="1:25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200"/>
        <v>13-24 Months</v>
      </c>
      <c r="W3247">
        <f t="shared" si="201"/>
        <v>1</v>
      </c>
      <c r="X3247">
        <f t="shared" si="202"/>
        <v>83.8</v>
      </c>
      <c r="Y3247" t="str">
        <f t="shared" si="203"/>
        <v>Non-Senior</v>
      </c>
    </row>
    <row r="3248" spans="1:25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200"/>
        <v>0-12 Months</v>
      </c>
      <c r="W3248">
        <f t="shared" si="201"/>
        <v>1</v>
      </c>
      <c r="X3248">
        <f t="shared" si="202"/>
        <v>55.15</v>
      </c>
      <c r="Y3248" t="str">
        <f t="shared" si="203"/>
        <v>Non-Senior</v>
      </c>
    </row>
    <row r="3249" spans="1:25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200"/>
        <v>61-72 Months</v>
      </c>
      <c r="W3249">
        <f t="shared" si="201"/>
        <v>0</v>
      </c>
      <c r="X3249">
        <f t="shared" si="202"/>
        <v>0</v>
      </c>
      <c r="Y3249" t="str">
        <f t="shared" si="203"/>
        <v>Non-Senior</v>
      </c>
    </row>
    <row r="3250" spans="1:25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200"/>
        <v>0-12 Months</v>
      </c>
      <c r="W3250">
        <f t="shared" si="201"/>
        <v>1</v>
      </c>
      <c r="X3250">
        <f t="shared" si="202"/>
        <v>86.65</v>
      </c>
      <c r="Y3250" t="str">
        <f t="shared" si="203"/>
        <v>Senior Citizen</v>
      </c>
    </row>
    <row r="3251" spans="1:25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200"/>
        <v>0-12 Months</v>
      </c>
      <c r="W3251">
        <f t="shared" si="201"/>
        <v>0</v>
      </c>
      <c r="X3251">
        <f t="shared" si="202"/>
        <v>0</v>
      </c>
      <c r="Y3251" t="str">
        <f t="shared" si="203"/>
        <v>Non-Senior</v>
      </c>
    </row>
    <row r="3252" spans="1:25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7082</v>
      </c>
      <c r="J3252" t="s">
        <v>7084</v>
      </c>
      <c r="K3252" t="s">
        <v>46</v>
      </c>
      <c r="L3252" t="s">
        <v>7084</v>
      </c>
      <c r="M3252" t="s">
        <v>7084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200"/>
        <v>0-12 Months</v>
      </c>
      <c r="W3252">
        <f t="shared" si="201"/>
        <v>0</v>
      </c>
      <c r="X3252">
        <f t="shared" si="202"/>
        <v>0</v>
      </c>
      <c r="Y3252" t="str">
        <f t="shared" si="203"/>
        <v>Non-Senior</v>
      </c>
    </row>
    <row r="3253" spans="1:25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200"/>
        <v>37-48 Months</v>
      </c>
      <c r="W3253">
        <f t="shared" si="201"/>
        <v>1</v>
      </c>
      <c r="X3253">
        <f t="shared" si="202"/>
        <v>106.75</v>
      </c>
      <c r="Y3253" t="str">
        <f t="shared" si="203"/>
        <v>Senior Citizen</v>
      </c>
    </row>
    <row r="3254" spans="1:25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200"/>
        <v>13-24 Months</v>
      </c>
      <c r="W3254">
        <f t="shared" si="201"/>
        <v>0</v>
      </c>
      <c r="X3254">
        <f t="shared" si="202"/>
        <v>0</v>
      </c>
      <c r="Y3254" t="str">
        <f t="shared" si="203"/>
        <v>Non-Senior</v>
      </c>
    </row>
    <row r="3255" spans="1:25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200"/>
        <v>25-36 Months</v>
      </c>
      <c r="W3255">
        <f t="shared" si="201"/>
        <v>0</v>
      </c>
      <c r="X3255">
        <f t="shared" si="202"/>
        <v>0</v>
      </c>
      <c r="Y3255" t="str">
        <f t="shared" si="203"/>
        <v>Non-Senior</v>
      </c>
    </row>
    <row r="3256" spans="1:25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200"/>
        <v>13-24 Months</v>
      </c>
      <c r="W3256">
        <f t="shared" si="201"/>
        <v>0</v>
      </c>
      <c r="X3256">
        <f t="shared" si="202"/>
        <v>0</v>
      </c>
      <c r="Y3256" t="str">
        <f t="shared" si="203"/>
        <v>Senior Citizen</v>
      </c>
    </row>
    <row r="3257" spans="1:25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200"/>
        <v>61-72 Months</v>
      </c>
      <c r="W3257">
        <f t="shared" si="201"/>
        <v>0</v>
      </c>
      <c r="X3257">
        <f t="shared" si="202"/>
        <v>0</v>
      </c>
      <c r="Y3257" t="str">
        <f t="shared" si="203"/>
        <v>Senior Citizen</v>
      </c>
    </row>
    <row r="3258" spans="1:25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200"/>
        <v>61-72 Months</v>
      </c>
      <c r="W3258">
        <f t="shared" si="201"/>
        <v>0</v>
      </c>
      <c r="X3258">
        <f t="shared" si="202"/>
        <v>0</v>
      </c>
      <c r="Y3258" t="str">
        <f t="shared" si="203"/>
        <v>Non-Senior</v>
      </c>
    </row>
    <row r="3259" spans="1:25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200"/>
        <v>13-24 Months</v>
      </c>
      <c r="W3259">
        <f t="shared" si="201"/>
        <v>0</v>
      </c>
      <c r="X3259">
        <f t="shared" si="202"/>
        <v>0</v>
      </c>
      <c r="Y3259" t="str">
        <f t="shared" si="203"/>
        <v>Non-Senior</v>
      </c>
    </row>
    <row r="3260" spans="1:25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200"/>
        <v>0-12 Months</v>
      </c>
      <c r="W3260">
        <f t="shared" si="201"/>
        <v>0</v>
      </c>
      <c r="X3260">
        <f t="shared" si="202"/>
        <v>0</v>
      </c>
      <c r="Y3260" t="str">
        <f t="shared" si="203"/>
        <v>Non-Senior</v>
      </c>
    </row>
    <row r="3261" spans="1:25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200"/>
        <v>0-12 Months</v>
      </c>
      <c r="W3261">
        <f t="shared" si="201"/>
        <v>0</v>
      </c>
      <c r="X3261">
        <f t="shared" si="202"/>
        <v>0</v>
      </c>
      <c r="Y3261" t="str">
        <f t="shared" si="203"/>
        <v>Non-Senior</v>
      </c>
    </row>
    <row r="3262" spans="1:25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200"/>
        <v>25-36 Months</v>
      </c>
      <c r="W3262">
        <f t="shared" si="201"/>
        <v>1</v>
      </c>
      <c r="X3262">
        <f t="shared" si="202"/>
        <v>78.45</v>
      </c>
      <c r="Y3262" t="str">
        <f t="shared" si="203"/>
        <v>Non-Senior</v>
      </c>
    </row>
    <row r="3263" spans="1:25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200"/>
        <v>61-72 Months</v>
      </c>
      <c r="W3263">
        <f t="shared" si="201"/>
        <v>0</v>
      </c>
      <c r="X3263">
        <f t="shared" si="202"/>
        <v>0</v>
      </c>
      <c r="Y3263" t="str">
        <f t="shared" si="203"/>
        <v>Non-Senior</v>
      </c>
    </row>
    <row r="3264" spans="1:25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200"/>
        <v>25-36 Months</v>
      </c>
      <c r="W3264">
        <f t="shared" si="201"/>
        <v>1</v>
      </c>
      <c r="X3264">
        <f t="shared" si="202"/>
        <v>87.45</v>
      </c>
      <c r="Y3264" t="str">
        <f t="shared" si="203"/>
        <v>Non-Senior</v>
      </c>
    </row>
    <row r="3265" spans="1:25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200"/>
        <v>49-60 Months</v>
      </c>
      <c r="W3265">
        <f t="shared" si="201"/>
        <v>0</v>
      </c>
      <c r="X3265">
        <f t="shared" si="202"/>
        <v>0</v>
      </c>
      <c r="Y3265" t="str">
        <f t="shared" si="203"/>
        <v>Non-Senior</v>
      </c>
    </row>
    <row r="3266" spans="1:25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si="200"/>
        <v>0-12 Months</v>
      </c>
      <c r="W3266">
        <f t="shared" si="201"/>
        <v>0</v>
      </c>
      <c r="X3266">
        <f t="shared" si="202"/>
        <v>0</v>
      </c>
      <c r="Y3266" t="str">
        <f t="shared" si="203"/>
        <v>Non-Senior</v>
      </c>
    </row>
    <row r="3267" spans="1:25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ref="V3267:V3330" si="204">IF(F3267&lt;=12,"0-12 Months",IF(F3267&lt;=24,"13-24 Months",IF(F3267&lt;=36,"25-36 Months",IF(F3267&lt;=48,"37-48 Months",IF(F3267&lt;=60,"49-60 Months","61-72 Months")))))</f>
        <v>25-36 Months</v>
      </c>
      <c r="W3267">
        <f t="shared" ref="W3267:W3330" si="205">IF(U3267="Yes",1,0)</f>
        <v>1</v>
      </c>
      <c r="X3267">
        <f t="shared" ref="X3267:X3330" si="206">IF(U3267="Yes",S3267,0)</f>
        <v>70.75</v>
      </c>
      <c r="Y3267" t="str">
        <f t="shared" ref="Y3267:Y3330" si="207">IF(C3267=1,"Senior Citizen","Non-Senior")</f>
        <v>Non-Senior</v>
      </c>
    </row>
    <row r="3268" spans="1:25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7082</v>
      </c>
      <c r="J3268" t="s">
        <v>7084</v>
      </c>
      <c r="K3268" t="s">
        <v>46</v>
      </c>
      <c r="L3268" t="s">
        <v>7084</v>
      </c>
      <c r="M3268" t="s">
        <v>7084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204"/>
        <v>61-72 Months</v>
      </c>
      <c r="W3268">
        <f t="shared" si="205"/>
        <v>0</v>
      </c>
      <c r="X3268">
        <f t="shared" si="206"/>
        <v>0</v>
      </c>
      <c r="Y3268" t="str">
        <f t="shared" si="207"/>
        <v>Non-Senior</v>
      </c>
    </row>
    <row r="3269" spans="1:25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7082</v>
      </c>
      <c r="J3269" t="s">
        <v>7084</v>
      </c>
      <c r="K3269" t="s">
        <v>46</v>
      </c>
      <c r="L3269" t="s">
        <v>7084</v>
      </c>
      <c r="M3269" t="s">
        <v>7084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204"/>
        <v>37-48 Months</v>
      </c>
      <c r="W3269">
        <f t="shared" si="205"/>
        <v>0</v>
      </c>
      <c r="X3269">
        <f t="shared" si="206"/>
        <v>0</v>
      </c>
      <c r="Y3269" t="str">
        <f t="shared" si="207"/>
        <v>Non-Senior</v>
      </c>
    </row>
    <row r="3270" spans="1:25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204"/>
        <v>13-24 Months</v>
      </c>
      <c r="W3270">
        <f t="shared" si="205"/>
        <v>0</v>
      </c>
      <c r="X3270">
        <f t="shared" si="206"/>
        <v>0</v>
      </c>
      <c r="Y3270" t="str">
        <f t="shared" si="207"/>
        <v>Non-Senior</v>
      </c>
    </row>
    <row r="3271" spans="1:25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7082</v>
      </c>
      <c r="J3271" t="s">
        <v>7084</v>
      </c>
      <c r="K3271" t="s">
        <v>46</v>
      </c>
      <c r="L3271" t="s">
        <v>7084</v>
      </c>
      <c r="M3271" t="s">
        <v>7084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204"/>
        <v>61-72 Months</v>
      </c>
      <c r="W3271">
        <f t="shared" si="205"/>
        <v>0</v>
      </c>
      <c r="X3271">
        <f t="shared" si="206"/>
        <v>0</v>
      </c>
      <c r="Y3271" t="str">
        <f t="shared" si="207"/>
        <v>Non-Senior</v>
      </c>
    </row>
    <row r="3272" spans="1:25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204"/>
        <v>0-12 Months</v>
      </c>
      <c r="W3272">
        <f t="shared" si="205"/>
        <v>0</v>
      </c>
      <c r="X3272">
        <f t="shared" si="206"/>
        <v>0</v>
      </c>
      <c r="Y3272" t="str">
        <f t="shared" si="207"/>
        <v>Non-Senior</v>
      </c>
    </row>
    <row r="3273" spans="1:25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204"/>
        <v>0-12 Months</v>
      </c>
      <c r="W3273">
        <f t="shared" si="205"/>
        <v>1</v>
      </c>
      <c r="X3273">
        <f t="shared" si="206"/>
        <v>101.35</v>
      </c>
      <c r="Y3273" t="str">
        <f t="shared" si="207"/>
        <v>Senior Citizen</v>
      </c>
    </row>
    <row r="3274" spans="1:25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204"/>
        <v>0-12 Months</v>
      </c>
      <c r="W3274">
        <f t="shared" si="205"/>
        <v>1</v>
      </c>
      <c r="X3274">
        <f t="shared" si="206"/>
        <v>81.7</v>
      </c>
      <c r="Y3274" t="str">
        <f t="shared" si="207"/>
        <v>Non-Senior</v>
      </c>
    </row>
    <row r="3275" spans="1:25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204"/>
        <v>25-36 Months</v>
      </c>
      <c r="W3275">
        <f t="shared" si="205"/>
        <v>1</v>
      </c>
      <c r="X3275">
        <f t="shared" si="206"/>
        <v>68.25</v>
      </c>
      <c r="Y3275" t="str">
        <f t="shared" si="207"/>
        <v>Non-Senior</v>
      </c>
    </row>
    <row r="3276" spans="1:25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204"/>
        <v>25-36 Months</v>
      </c>
      <c r="W3276">
        <f t="shared" si="205"/>
        <v>0</v>
      </c>
      <c r="X3276">
        <f t="shared" si="206"/>
        <v>0</v>
      </c>
      <c r="Y3276" t="str">
        <f t="shared" si="207"/>
        <v>Non-Senior</v>
      </c>
    </row>
    <row r="3277" spans="1:25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7082</v>
      </c>
      <c r="J3277" t="s">
        <v>7084</v>
      </c>
      <c r="K3277" t="s">
        <v>46</v>
      </c>
      <c r="L3277" t="s">
        <v>7084</v>
      </c>
      <c r="M3277" t="s">
        <v>7084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204"/>
        <v>13-24 Months</v>
      </c>
      <c r="W3277">
        <f t="shared" si="205"/>
        <v>0</v>
      </c>
      <c r="X3277">
        <f t="shared" si="206"/>
        <v>0</v>
      </c>
      <c r="Y3277" t="str">
        <f t="shared" si="207"/>
        <v>Non-Senior</v>
      </c>
    </row>
    <row r="3278" spans="1:25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204"/>
        <v>0-12 Months</v>
      </c>
      <c r="W3278">
        <f t="shared" si="205"/>
        <v>1</v>
      </c>
      <c r="X3278">
        <f t="shared" si="206"/>
        <v>79.150000000000006</v>
      </c>
      <c r="Y3278" t="str">
        <f t="shared" si="207"/>
        <v>Non-Senior</v>
      </c>
    </row>
    <row r="3279" spans="1:25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7082</v>
      </c>
      <c r="J3279" t="s">
        <v>7084</v>
      </c>
      <c r="K3279" t="s">
        <v>46</v>
      </c>
      <c r="L3279" t="s">
        <v>7084</v>
      </c>
      <c r="M3279" t="s">
        <v>7084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204"/>
        <v>13-24 Months</v>
      </c>
      <c r="W3279">
        <f t="shared" si="205"/>
        <v>0</v>
      </c>
      <c r="X3279">
        <f t="shared" si="206"/>
        <v>0</v>
      </c>
      <c r="Y3279" t="str">
        <f t="shared" si="207"/>
        <v>Non-Senior</v>
      </c>
    </row>
    <row r="3280" spans="1:25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204"/>
        <v>61-72 Months</v>
      </c>
      <c r="W3280">
        <f t="shared" si="205"/>
        <v>0</v>
      </c>
      <c r="X3280">
        <f t="shared" si="206"/>
        <v>0</v>
      </c>
      <c r="Y3280" t="str">
        <f t="shared" si="207"/>
        <v>Non-Senior</v>
      </c>
    </row>
    <row r="3281" spans="1:25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204"/>
        <v>13-24 Months</v>
      </c>
      <c r="W3281">
        <f t="shared" si="205"/>
        <v>0</v>
      </c>
      <c r="X3281">
        <f t="shared" si="206"/>
        <v>0</v>
      </c>
      <c r="Y3281" t="str">
        <f t="shared" si="207"/>
        <v>Non-Senior</v>
      </c>
    </row>
    <row r="3282" spans="1:25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204"/>
        <v>49-60 Months</v>
      </c>
      <c r="W3282">
        <f t="shared" si="205"/>
        <v>0</v>
      </c>
      <c r="X3282">
        <f t="shared" si="206"/>
        <v>0</v>
      </c>
      <c r="Y3282" t="str">
        <f t="shared" si="207"/>
        <v>Non-Senior</v>
      </c>
    </row>
    <row r="3283" spans="1:25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204"/>
        <v>49-60 Months</v>
      </c>
      <c r="W3283">
        <f t="shared" si="205"/>
        <v>0</v>
      </c>
      <c r="X3283">
        <f t="shared" si="206"/>
        <v>0</v>
      </c>
      <c r="Y3283" t="str">
        <f t="shared" si="207"/>
        <v>Non-Senior</v>
      </c>
    </row>
    <row r="3284" spans="1:25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204"/>
        <v>49-60 Months</v>
      </c>
      <c r="W3284">
        <f t="shared" si="205"/>
        <v>0</v>
      </c>
      <c r="X3284">
        <f t="shared" si="206"/>
        <v>0</v>
      </c>
      <c r="Y3284" t="str">
        <f t="shared" si="207"/>
        <v>Non-Senior</v>
      </c>
    </row>
    <row r="3285" spans="1:25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7082</v>
      </c>
      <c r="J3285" t="s">
        <v>7084</v>
      </c>
      <c r="K3285" t="s">
        <v>46</v>
      </c>
      <c r="L3285" t="s">
        <v>7084</v>
      </c>
      <c r="M3285" t="s">
        <v>7084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204"/>
        <v>61-72 Months</v>
      </c>
      <c r="W3285">
        <f t="shared" si="205"/>
        <v>0</v>
      </c>
      <c r="X3285">
        <f t="shared" si="206"/>
        <v>0</v>
      </c>
      <c r="Y3285" t="str">
        <f t="shared" si="207"/>
        <v>Non-Senior</v>
      </c>
    </row>
    <row r="3286" spans="1:25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204"/>
        <v>37-48 Months</v>
      </c>
      <c r="W3286">
        <f t="shared" si="205"/>
        <v>0</v>
      </c>
      <c r="X3286">
        <f t="shared" si="206"/>
        <v>0</v>
      </c>
      <c r="Y3286" t="str">
        <f t="shared" si="207"/>
        <v>Non-Senior</v>
      </c>
    </row>
    <row r="3287" spans="1:25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204"/>
        <v>61-72 Months</v>
      </c>
      <c r="W3287">
        <f t="shared" si="205"/>
        <v>0</v>
      </c>
      <c r="X3287">
        <f t="shared" si="206"/>
        <v>0</v>
      </c>
      <c r="Y3287" t="str">
        <f t="shared" si="207"/>
        <v>Non-Senior</v>
      </c>
    </row>
    <row r="3288" spans="1:25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204"/>
        <v>25-36 Months</v>
      </c>
      <c r="W3288">
        <f t="shared" si="205"/>
        <v>1</v>
      </c>
      <c r="X3288">
        <f t="shared" si="206"/>
        <v>95.45</v>
      </c>
      <c r="Y3288" t="str">
        <f t="shared" si="207"/>
        <v>Senior Citizen</v>
      </c>
    </row>
    <row r="3289" spans="1:25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204"/>
        <v>13-24 Months</v>
      </c>
      <c r="W3289">
        <f t="shared" si="205"/>
        <v>1</v>
      </c>
      <c r="X3289">
        <f t="shared" si="206"/>
        <v>100.95</v>
      </c>
      <c r="Y3289" t="str">
        <f t="shared" si="207"/>
        <v>Non-Senior</v>
      </c>
    </row>
    <row r="3290" spans="1:25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7082</v>
      </c>
      <c r="J3290" t="s">
        <v>7084</v>
      </c>
      <c r="K3290" t="s">
        <v>46</v>
      </c>
      <c r="L3290" t="s">
        <v>7084</v>
      </c>
      <c r="M3290" t="s">
        <v>7084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204"/>
        <v>13-24 Months</v>
      </c>
      <c r="W3290">
        <f t="shared" si="205"/>
        <v>0</v>
      </c>
      <c r="X3290">
        <f t="shared" si="206"/>
        <v>0</v>
      </c>
      <c r="Y3290" t="str">
        <f t="shared" si="207"/>
        <v>Non-Senior</v>
      </c>
    </row>
    <row r="3291" spans="1:25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204"/>
        <v>37-48 Months</v>
      </c>
      <c r="W3291">
        <f t="shared" si="205"/>
        <v>0</v>
      </c>
      <c r="X3291">
        <f t="shared" si="206"/>
        <v>0</v>
      </c>
      <c r="Y3291" t="str">
        <f t="shared" si="207"/>
        <v>Non-Senior</v>
      </c>
    </row>
    <row r="3292" spans="1:25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204"/>
        <v>0-12 Months</v>
      </c>
      <c r="W3292">
        <f t="shared" si="205"/>
        <v>0</v>
      </c>
      <c r="X3292">
        <f t="shared" si="206"/>
        <v>0</v>
      </c>
      <c r="Y3292" t="str">
        <f t="shared" si="207"/>
        <v>Non-Senior</v>
      </c>
    </row>
    <row r="3293" spans="1:25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204"/>
        <v>13-24 Months</v>
      </c>
      <c r="W3293">
        <f t="shared" si="205"/>
        <v>0</v>
      </c>
      <c r="X3293">
        <f t="shared" si="206"/>
        <v>0</v>
      </c>
      <c r="Y3293" t="str">
        <f t="shared" si="207"/>
        <v>Non-Senior</v>
      </c>
    </row>
    <row r="3294" spans="1:25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204"/>
        <v>0-12 Months</v>
      </c>
      <c r="W3294">
        <f t="shared" si="205"/>
        <v>0</v>
      </c>
      <c r="X3294">
        <f t="shared" si="206"/>
        <v>0</v>
      </c>
      <c r="Y3294" t="str">
        <f t="shared" si="207"/>
        <v>Non-Senior</v>
      </c>
    </row>
    <row r="3295" spans="1:25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204"/>
        <v>0-12 Months</v>
      </c>
      <c r="W3295">
        <f t="shared" si="205"/>
        <v>0</v>
      </c>
      <c r="X3295">
        <f t="shared" si="206"/>
        <v>0</v>
      </c>
      <c r="Y3295" t="str">
        <f t="shared" si="207"/>
        <v>Non-Senior</v>
      </c>
    </row>
    <row r="3296" spans="1:25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204"/>
        <v>0-12 Months</v>
      </c>
      <c r="W3296">
        <f t="shared" si="205"/>
        <v>1</v>
      </c>
      <c r="X3296">
        <f t="shared" si="206"/>
        <v>69.099999999999994</v>
      </c>
      <c r="Y3296" t="str">
        <f t="shared" si="207"/>
        <v>Non-Senior</v>
      </c>
    </row>
    <row r="3297" spans="1:25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204"/>
        <v>61-72 Months</v>
      </c>
      <c r="W3297">
        <f t="shared" si="205"/>
        <v>0</v>
      </c>
      <c r="X3297">
        <f t="shared" si="206"/>
        <v>0</v>
      </c>
      <c r="Y3297" t="str">
        <f t="shared" si="207"/>
        <v>Non-Senior</v>
      </c>
    </row>
    <row r="3298" spans="1:25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204"/>
        <v>13-24 Months</v>
      </c>
      <c r="W3298">
        <f t="shared" si="205"/>
        <v>0</v>
      </c>
      <c r="X3298">
        <f t="shared" si="206"/>
        <v>0</v>
      </c>
      <c r="Y3298" t="str">
        <f t="shared" si="207"/>
        <v>Non-Senior</v>
      </c>
    </row>
    <row r="3299" spans="1:25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204"/>
        <v>37-48 Months</v>
      </c>
      <c r="W3299">
        <f t="shared" si="205"/>
        <v>0</v>
      </c>
      <c r="X3299">
        <f t="shared" si="206"/>
        <v>0</v>
      </c>
      <c r="Y3299" t="str">
        <f t="shared" si="207"/>
        <v>Non-Senior</v>
      </c>
    </row>
    <row r="3300" spans="1:25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7082</v>
      </c>
      <c r="J3300" t="s">
        <v>7084</v>
      </c>
      <c r="K3300" t="s">
        <v>46</v>
      </c>
      <c r="L3300" t="s">
        <v>7084</v>
      </c>
      <c r="M3300" t="s">
        <v>7084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204"/>
        <v>0-12 Months</v>
      </c>
      <c r="W3300">
        <f t="shared" si="205"/>
        <v>0</v>
      </c>
      <c r="X3300">
        <f t="shared" si="206"/>
        <v>0</v>
      </c>
      <c r="Y3300" t="str">
        <f t="shared" si="207"/>
        <v>Non-Senior</v>
      </c>
    </row>
    <row r="3301" spans="1:25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204"/>
        <v>61-72 Months</v>
      </c>
      <c r="W3301">
        <f t="shared" si="205"/>
        <v>0</v>
      </c>
      <c r="X3301">
        <f t="shared" si="206"/>
        <v>0</v>
      </c>
      <c r="Y3301" t="str">
        <f t="shared" si="207"/>
        <v>Non-Senior</v>
      </c>
    </row>
    <row r="3302" spans="1:25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7082</v>
      </c>
      <c r="J3302" t="s">
        <v>7084</v>
      </c>
      <c r="K3302" t="s">
        <v>46</v>
      </c>
      <c r="L3302" t="s">
        <v>7084</v>
      </c>
      <c r="M3302" t="s">
        <v>7084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204"/>
        <v>25-36 Months</v>
      </c>
      <c r="W3302">
        <f t="shared" si="205"/>
        <v>0</v>
      </c>
      <c r="X3302">
        <f t="shared" si="206"/>
        <v>0</v>
      </c>
      <c r="Y3302" t="str">
        <f t="shared" si="207"/>
        <v>Non-Senior</v>
      </c>
    </row>
    <row r="3303" spans="1:25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204"/>
        <v>0-12 Months</v>
      </c>
      <c r="W3303">
        <f t="shared" si="205"/>
        <v>1</v>
      </c>
      <c r="X3303">
        <f t="shared" si="206"/>
        <v>69.599999999999994</v>
      </c>
      <c r="Y3303" t="str">
        <f t="shared" si="207"/>
        <v>Senior Citizen</v>
      </c>
    </row>
    <row r="3304" spans="1:25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204"/>
        <v>25-36 Months</v>
      </c>
      <c r="W3304">
        <f t="shared" si="205"/>
        <v>1</v>
      </c>
      <c r="X3304">
        <f t="shared" si="206"/>
        <v>103.45</v>
      </c>
      <c r="Y3304" t="str">
        <f t="shared" si="207"/>
        <v>Non-Senior</v>
      </c>
    </row>
    <row r="3305" spans="1:25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204"/>
        <v>0-12 Months</v>
      </c>
      <c r="W3305">
        <f t="shared" si="205"/>
        <v>1</v>
      </c>
      <c r="X3305">
        <f t="shared" si="206"/>
        <v>77.95</v>
      </c>
      <c r="Y3305" t="str">
        <f t="shared" si="207"/>
        <v>Non-Senior</v>
      </c>
    </row>
    <row r="3306" spans="1:25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204"/>
        <v>61-72 Months</v>
      </c>
      <c r="W3306">
        <f t="shared" si="205"/>
        <v>0</v>
      </c>
      <c r="X3306">
        <f t="shared" si="206"/>
        <v>0</v>
      </c>
      <c r="Y3306" t="str">
        <f t="shared" si="207"/>
        <v>Senior Citizen</v>
      </c>
    </row>
    <row r="3307" spans="1:25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204"/>
        <v>37-48 Months</v>
      </c>
      <c r="W3307">
        <f t="shared" si="205"/>
        <v>0</v>
      </c>
      <c r="X3307">
        <f t="shared" si="206"/>
        <v>0</v>
      </c>
      <c r="Y3307" t="str">
        <f t="shared" si="207"/>
        <v>Senior Citizen</v>
      </c>
    </row>
    <row r="3308" spans="1:25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204"/>
        <v>0-12 Months</v>
      </c>
      <c r="W3308">
        <f t="shared" si="205"/>
        <v>0</v>
      </c>
      <c r="X3308">
        <f t="shared" si="206"/>
        <v>0</v>
      </c>
      <c r="Y3308" t="str">
        <f t="shared" si="207"/>
        <v>Non-Senior</v>
      </c>
    </row>
    <row r="3309" spans="1:25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204"/>
        <v>37-48 Months</v>
      </c>
      <c r="W3309">
        <f t="shared" si="205"/>
        <v>0</v>
      </c>
      <c r="X3309">
        <f t="shared" si="206"/>
        <v>0</v>
      </c>
      <c r="Y3309" t="str">
        <f t="shared" si="207"/>
        <v>Non-Senior</v>
      </c>
    </row>
    <row r="3310" spans="1:25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7082</v>
      </c>
      <c r="J3310" t="s">
        <v>7084</v>
      </c>
      <c r="K3310" t="s">
        <v>46</v>
      </c>
      <c r="L3310" t="s">
        <v>7084</v>
      </c>
      <c r="M3310" t="s">
        <v>7084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204"/>
        <v>13-24 Months</v>
      </c>
      <c r="W3310">
        <f t="shared" si="205"/>
        <v>0</v>
      </c>
      <c r="X3310">
        <f t="shared" si="206"/>
        <v>0</v>
      </c>
      <c r="Y3310" t="str">
        <f t="shared" si="207"/>
        <v>Non-Senior</v>
      </c>
    </row>
    <row r="3311" spans="1:25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7082</v>
      </c>
      <c r="J3311" t="s">
        <v>7084</v>
      </c>
      <c r="K3311" t="s">
        <v>46</v>
      </c>
      <c r="L3311" t="s">
        <v>7084</v>
      </c>
      <c r="M3311" t="s">
        <v>7084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204"/>
        <v>25-36 Months</v>
      </c>
      <c r="W3311">
        <f t="shared" si="205"/>
        <v>0</v>
      </c>
      <c r="X3311">
        <f t="shared" si="206"/>
        <v>0</v>
      </c>
      <c r="Y3311" t="str">
        <f t="shared" si="207"/>
        <v>Non-Senior</v>
      </c>
    </row>
    <row r="3312" spans="1:25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204"/>
        <v>0-12 Months</v>
      </c>
      <c r="W3312">
        <f t="shared" si="205"/>
        <v>1</v>
      </c>
      <c r="X3312">
        <f t="shared" si="206"/>
        <v>78.45</v>
      </c>
      <c r="Y3312" t="str">
        <f t="shared" si="207"/>
        <v>Senior Citizen</v>
      </c>
    </row>
    <row r="3313" spans="1:25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204"/>
        <v>37-48 Months</v>
      </c>
      <c r="W3313">
        <f t="shared" si="205"/>
        <v>0</v>
      </c>
      <c r="X3313">
        <f t="shared" si="206"/>
        <v>0</v>
      </c>
      <c r="Y3313" t="str">
        <f t="shared" si="207"/>
        <v>Non-Senior</v>
      </c>
    </row>
    <row r="3314" spans="1:25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7082</v>
      </c>
      <c r="J3314" t="s">
        <v>7084</v>
      </c>
      <c r="K3314" t="s">
        <v>46</v>
      </c>
      <c r="L3314" t="s">
        <v>7084</v>
      </c>
      <c r="M3314" t="s">
        <v>7084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204"/>
        <v>0-12 Months</v>
      </c>
      <c r="W3314">
        <f t="shared" si="205"/>
        <v>0</v>
      </c>
      <c r="X3314">
        <f t="shared" si="206"/>
        <v>0</v>
      </c>
      <c r="Y3314" t="str">
        <f t="shared" si="207"/>
        <v>Non-Senior</v>
      </c>
    </row>
    <row r="3315" spans="1:25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7082</v>
      </c>
      <c r="J3315" t="s">
        <v>7084</v>
      </c>
      <c r="K3315" t="s">
        <v>46</v>
      </c>
      <c r="L3315" t="s">
        <v>7084</v>
      </c>
      <c r="M3315" t="s">
        <v>7084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204"/>
        <v>0-12 Months</v>
      </c>
      <c r="W3315">
        <f t="shared" si="205"/>
        <v>0</v>
      </c>
      <c r="X3315">
        <f t="shared" si="206"/>
        <v>0</v>
      </c>
      <c r="Y3315" t="str">
        <f t="shared" si="207"/>
        <v>Non-Senior</v>
      </c>
    </row>
    <row r="3316" spans="1:25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204"/>
        <v>37-48 Months</v>
      </c>
      <c r="W3316">
        <f t="shared" si="205"/>
        <v>0</v>
      </c>
      <c r="X3316">
        <f t="shared" si="206"/>
        <v>0</v>
      </c>
      <c r="Y3316" t="str">
        <f t="shared" si="207"/>
        <v>Non-Senior</v>
      </c>
    </row>
    <row r="3317" spans="1:25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204"/>
        <v>61-72 Months</v>
      </c>
      <c r="W3317">
        <f t="shared" si="205"/>
        <v>0</v>
      </c>
      <c r="X3317">
        <f t="shared" si="206"/>
        <v>0</v>
      </c>
      <c r="Y3317" t="str">
        <f t="shared" si="207"/>
        <v>Senior Citizen</v>
      </c>
    </row>
    <row r="3318" spans="1:25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204"/>
        <v>25-36 Months</v>
      </c>
      <c r="W3318">
        <f t="shared" si="205"/>
        <v>0</v>
      </c>
      <c r="X3318">
        <f t="shared" si="206"/>
        <v>0</v>
      </c>
      <c r="Y3318" t="str">
        <f t="shared" si="207"/>
        <v>Non-Senior</v>
      </c>
    </row>
    <row r="3319" spans="1:25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204"/>
        <v>61-72 Months</v>
      </c>
      <c r="W3319">
        <f t="shared" si="205"/>
        <v>0</v>
      </c>
      <c r="X3319">
        <f t="shared" si="206"/>
        <v>0</v>
      </c>
      <c r="Y3319" t="str">
        <f t="shared" si="207"/>
        <v>Non-Senior</v>
      </c>
    </row>
    <row r="3320" spans="1:25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204"/>
        <v>0-12 Months</v>
      </c>
      <c r="W3320">
        <f t="shared" si="205"/>
        <v>1</v>
      </c>
      <c r="X3320">
        <f t="shared" si="206"/>
        <v>29.5</v>
      </c>
      <c r="Y3320" t="str">
        <f t="shared" si="207"/>
        <v>Non-Senior</v>
      </c>
    </row>
    <row r="3321" spans="1:25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204"/>
        <v>0-12 Months</v>
      </c>
      <c r="W3321">
        <f t="shared" si="205"/>
        <v>1</v>
      </c>
      <c r="X3321">
        <f t="shared" si="206"/>
        <v>70.75</v>
      </c>
      <c r="Y3321" t="str">
        <f t="shared" si="207"/>
        <v>Non-Senior</v>
      </c>
    </row>
    <row r="3322" spans="1:25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204"/>
        <v>13-24 Months</v>
      </c>
      <c r="W3322">
        <f t="shared" si="205"/>
        <v>0</v>
      </c>
      <c r="X3322">
        <f t="shared" si="206"/>
        <v>0</v>
      </c>
      <c r="Y3322" t="str">
        <f t="shared" si="207"/>
        <v>Senior Citizen</v>
      </c>
    </row>
    <row r="3323" spans="1:25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7082</v>
      </c>
      <c r="J3323" t="s">
        <v>7084</v>
      </c>
      <c r="K3323" t="s">
        <v>46</v>
      </c>
      <c r="L3323" t="s">
        <v>7084</v>
      </c>
      <c r="M3323" t="s">
        <v>7084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204"/>
        <v>61-72 Months</v>
      </c>
      <c r="W3323">
        <f t="shared" si="205"/>
        <v>0</v>
      </c>
      <c r="X3323">
        <f t="shared" si="206"/>
        <v>0</v>
      </c>
      <c r="Y3323" t="str">
        <f t="shared" si="207"/>
        <v>Non-Senior</v>
      </c>
    </row>
    <row r="3324" spans="1:25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204"/>
        <v>0-12 Months</v>
      </c>
      <c r="W3324">
        <f t="shared" si="205"/>
        <v>1</v>
      </c>
      <c r="X3324">
        <f t="shared" si="206"/>
        <v>84.45</v>
      </c>
      <c r="Y3324" t="str">
        <f t="shared" si="207"/>
        <v>Senior Citizen</v>
      </c>
    </row>
    <row r="3325" spans="1:25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7082</v>
      </c>
      <c r="J3325" t="s">
        <v>7084</v>
      </c>
      <c r="K3325" t="s">
        <v>46</v>
      </c>
      <c r="L3325" t="s">
        <v>7084</v>
      </c>
      <c r="M3325" t="s">
        <v>7084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204"/>
        <v>25-36 Months</v>
      </c>
      <c r="W3325">
        <f t="shared" si="205"/>
        <v>0</v>
      </c>
      <c r="X3325">
        <f t="shared" si="206"/>
        <v>0</v>
      </c>
      <c r="Y3325" t="str">
        <f t="shared" si="207"/>
        <v>Non-Senior</v>
      </c>
    </row>
    <row r="3326" spans="1:25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204"/>
        <v>0-12 Months</v>
      </c>
      <c r="W3326">
        <f t="shared" si="205"/>
        <v>0</v>
      </c>
      <c r="X3326">
        <f t="shared" si="206"/>
        <v>0</v>
      </c>
      <c r="Y3326" t="str">
        <f t="shared" si="207"/>
        <v>Non-Senior</v>
      </c>
    </row>
    <row r="3327" spans="1:25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204"/>
        <v>0-12 Months</v>
      </c>
      <c r="W3327">
        <f t="shared" si="205"/>
        <v>1</v>
      </c>
      <c r="X3327">
        <f t="shared" si="206"/>
        <v>85.65</v>
      </c>
      <c r="Y3327" t="str">
        <f t="shared" si="207"/>
        <v>Non-Senior</v>
      </c>
    </row>
    <row r="3328" spans="1:25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204"/>
        <v>37-48 Months</v>
      </c>
      <c r="W3328">
        <f t="shared" si="205"/>
        <v>1</v>
      </c>
      <c r="X3328">
        <f t="shared" si="206"/>
        <v>70.150000000000006</v>
      </c>
      <c r="Y3328" t="str">
        <f t="shared" si="207"/>
        <v>Senior Citizen</v>
      </c>
    </row>
    <row r="3329" spans="1:25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204"/>
        <v>61-72 Months</v>
      </c>
      <c r="W3329">
        <f t="shared" si="205"/>
        <v>0</v>
      </c>
      <c r="X3329">
        <f t="shared" si="206"/>
        <v>0</v>
      </c>
      <c r="Y3329" t="str">
        <f t="shared" si="207"/>
        <v>Non-Senior</v>
      </c>
    </row>
    <row r="3330" spans="1:25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si="204"/>
        <v>0-12 Months</v>
      </c>
      <c r="W3330">
        <f t="shared" si="205"/>
        <v>0</v>
      </c>
      <c r="X3330">
        <f t="shared" si="206"/>
        <v>0</v>
      </c>
      <c r="Y3330" t="str">
        <f t="shared" si="207"/>
        <v>Non-Senior</v>
      </c>
    </row>
    <row r="3331" spans="1:25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ref="V3331:V3394" si="208">IF(F3331&lt;=12,"0-12 Months",IF(F3331&lt;=24,"13-24 Months",IF(F3331&lt;=36,"25-36 Months",IF(F3331&lt;=48,"37-48 Months",IF(F3331&lt;=60,"49-60 Months","61-72 Months")))))</f>
        <v>13-24 Months</v>
      </c>
      <c r="W3331">
        <f t="shared" ref="W3331:W3394" si="209">IF(U3331="Yes",1,0)</f>
        <v>0</v>
      </c>
      <c r="X3331">
        <f t="shared" ref="X3331:X3394" si="210">IF(U3331="Yes",S3331,0)</f>
        <v>0</v>
      </c>
      <c r="Y3331" t="str">
        <f t="shared" ref="Y3331:Y3394" si="211">IF(C3331=1,"Senior Citizen","Non-Senior")</f>
        <v>Non-Senior</v>
      </c>
    </row>
    <row r="3332" spans="1:25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208"/>
        <v>49-60 Months</v>
      </c>
      <c r="W3332">
        <f t="shared" si="209"/>
        <v>1</v>
      </c>
      <c r="X3332">
        <f t="shared" si="210"/>
        <v>97.8</v>
      </c>
      <c r="Y3332" t="str">
        <f t="shared" si="211"/>
        <v>Senior Citizen</v>
      </c>
    </row>
    <row r="3333" spans="1:25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7082</v>
      </c>
      <c r="J3333" t="s">
        <v>7084</v>
      </c>
      <c r="K3333" t="s">
        <v>46</v>
      </c>
      <c r="L3333" t="s">
        <v>7084</v>
      </c>
      <c r="M3333" t="s">
        <v>7084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 t="str">
        <f t="shared" si="208"/>
        <v>0-12 Months</v>
      </c>
      <c r="W3333">
        <f t="shared" si="209"/>
        <v>0</v>
      </c>
      <c r="X3333">
        <f t="shared" si="210"/>
        <v>0</v>
      </c>
      <c r="Y3333" t="str">
        <f t="shared" si="211"/>
        <v>Non-Senior</v>
      </c>
    </row>
    <row r="3334" spans="1:25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208"/>
        <v>0-12 Months</v>
      </c>
      <c r="W3334">
        <f t="shared" si="209"/>
        <v>1</v>
      </c>
      <c r="X3334">
        <f t="shared" si="210"/>
        <v>46.3</v>
      </c>
      <c r="Y3334" t="str">
        <f t="shared" si="211"/>
        <v>Non-Senior</v>
      </c>
    </row>
    <row r="3335" spans="1:25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7082</v>
      </c>
      <c r="J3335" t="s">
        <v>7084</v>
      </c>
      <c r="K3335" t="s">
        <v>46</v>
      </c>
      <c r="L3335" t="s">
        <v>7084</v>
      </c>
      <c r="M3335" t="s">
        <v>7084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208"/>
        <v>0-12 Months</v>
      </c>
      <c r="W3335">
        <f t="shared" si="209"/>
        <v>0</v>
      </c>
      <c r="X3335">
        <f t="shared" si="210"/>
        <v>0</v>
      </c>
      <c r="Y3335" t="str">
        <f t="shared" si="211"/>
        <v>Non-Senior</v>
      </c>
    </row>
    <row r="3336" spans="1:25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208"/>
        <v>37-48 Months</v>
      </c>
      <c r="W3336">
        <f t="shared" si="209"/>
        <v>1</v>
      </c>
      <c r="X3336">
        <f t="shared" si="210"/>
        <v>106.3</v>
      </c>
      <c r="Y3336" t="str">
        <f t="shared" si="211"/>
        <v>Non-Senior</v>
      </c>
    </row>
    <row r="3337" spans="1:25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7082</v>
      </c>
      <c r="J3337" t="s">
        <v>7084</v>
      </c>
      <c r="K3337" t="s">
        <v>46</v>
      </c>
      <c r="L3337" t="s">
        <v>7084</v>
      </c>
      <c r="M3337" t="s">
        <v>7084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208"/>
        <v>0-12 Months</v>
      </c>
      <c r="W3337">
        <f t="shared" si="209"/>
        <v>0</v>
      </c>
      <c r="X3337">
        <f t="shared" si="210"/>
        <v>0</v>
      </c>
      <c r="Y3337" t="str">
        <f t="shared" si="211"/>
        <v>Non-Senior</v>
      </c>
    </row>
    <row r="3338" spans="1:25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7082</v>
      </c>
      <c r="J3338" t="s">
        <v>7084</v>
      </c>
      <c r="K3338" t="s">
        <v>46</v>
      </c>
      <c r="L3338" t="s">
        <v>7084</v>
      </c>
      <c r="M3338" t="s">
        <v>7084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208"/>
        <v>49-60 Months</v>
      </c>
      <c r="W3338">
        <f t="shared" si="209"/>
        <v>0</v>
      </c>
      <c r="X3338">
        <f t="shared" si="210"/>
        <v>0</v>
      </c>
      <c r="Y3338" t="str">
        <f t="shared" si="211"/>
        <v>Non-Senior</v>
      </c>
    </row>
    <row r="3339" spans="1:25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208"/>
        <v>0-12 Months</v>
      </c>
      <c r="W3339">
        <f t="shared" si="209"/>
        <v>0</v>
      </c>
      <c r="X3339">
        <f t="shared" si="210"/>
        <v>0</v>
      </c>
      <c r="Y3339" t="str">
        <f t="shared" si="211"/>
        <v>Non-Senior</v>
      </c>
    </row>
    <row r="3340" spans="1:25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208"/>
        <v>0-12 Months</v>
      </c>
      <c r="W3340">
        <f t="shared" si="209"/>
        <v>1</v>
      </c>
      <c r="X3340">
        <f t="shared" si="210"/>
        <v>89.4</v>
      </c>
      <c r="Y3340" t="str">
        <f t="shared" si="211"/>
        <v>Non-Senior</v>
      </c>
    </row>
    <row r="3341" spans="1:25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208"/>
        <v>61-72 Months</v>
      </c>
      <c r="W3341">
        <f t="shared" si="209"/>
        <v>0</v>
      </c>
      <c r="X3341">
        <f t="shared" si="210"/>
        <v>0</v>
      </c>
      <c r="Y3341" t="str">
        <f t="shared" si="211"/>
        <v>Non-Senior</v>
      </c>
    </row>
    <row r="3342" spans="1:25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208"/>
        <v>0-12 Months</v>
      </c>
      <c r="W3342">
        <f t="shared" si="209"/>
        <v>1</v>
      </c>
      <c r="X3342">
        <f t="shared" si="210"/>
        <v>83.15</v>
      </c>
      <c r="Y3342" t="str">
        <f t="shared" si="211"/>
        <v>Senior Citizen</v>
      </c>
    </row>
    <row r="3343" spans="1:25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208"/>
        <v>49-60 Months</v>
      </c>
      <c r="W3343">
        <f t="shared" si="209"/>
        <v>0</v>
      </c>
      <c r="X3343">
        <f t="shared" si="210"/>
        <v>0</v>
      </c>
      <c r="Y3343" t="str">
        <f t="shared" si="211"/>
        <v>Senior Citizen</v>
      </c>
    </row>
    <row r="3344" spans="1:25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208"/>
        <v>37-48 Months</v>
      </c>
      <c r="W3344">
        <f t="shared" si="209"/>
        <v>0</v>
      </c>
      <c r="X3344">
        <f t="shared" si="210"/>
        <v>0</v>
      </c>
      <c r="Y3344" t="str">
        <f t="shared" si="211"/>
        <v>Non-Senior</v>
      </c>
    </row>
    <row r="3345" spans="1:25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7082</v>
      </c>
      <c r="J3345" t="s">
        <v>7084</v>
      </c>
      <c r="K3345" t="s">
        <v>46</v>
      </c>
      <c r="L3345" t="s">
        <v>7084</v>
      </c>
      <c r="M3345" t="s">
        <v>7084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208"/>
        <v>13-24 Months</v>
      </c>
      <c r="W3345">
        <f t="shared" si="209"/>
        <v>0</v>
      </c>
      <c r="X3345">
        <f t="shared" si="210"/>
        <v>0</v>
      </c>
      <c r="Y3345" t="str">
        <f t="shared" si="211"/>
        <v>Non-Senior</v>
      </c>
    </row>
    <row r="3346" spans="1:25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208"/>
        <v>0-12 Months</v>
      </c>
      <c r="W3346">
        <f t="shared" si="209"/>
        <v>1</v>
      </c>
      <c r="X3346">
        <f t="shared" si="210"/>
        <v>74.150000000000006</v>
      </c>
      <c r="Y3346" t="str">
        <f t="shared" si="211"/>
        <v>Non-Senior</v>
      </c>
    </row>
    <row r="3347" spans="1:25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208"/>
        <v>61-72 Months</v>
      </c>
      <c r="W3347">
        <f t="shared" si="209"/>
        <v>0</v>
      </c>
      <c r="X3347">
        <f t="shared" si="210"/>
        <v>0</v>
      </c>
      <c r="Y3347" t="str">
        <f t="shared" si="211"/>
        <v>Non-Senior</v>
      </c>
    </row>
    <row r="3348" spans="1:25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208"/>
        <v>0-12 Months</v>
      </c>
      <c r="W3348">
        <f t="shared" si="209"/>
        <v>0</v>
      </c>
      <c r="X3348">
        <f t="shared" si="210"/>
        <v>0</v>
      </c>
      <c r="Y3348" t="str">
        <f t="shared" si="211"/>
        <v>Senior Citizen</v>
      </c>
    </row>
    <row r="3349" spans="1:25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7082</v>
      </c>
      <c r="J3349" t="s">
        <v>7084</v>
      </c>
      <c r="K3349" t="s">
        <v>46</v>
      </c>
      <c r="L3349" t="s">
        <v>7084</v>
      </c>
      <c r="M3349" t="s">
        <v>7084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208"/>
        <v>13-24 Months</v>
      </c>
      <c r="W3349">
        <f t="shared" si="209"/>
        <v>0</v>
      </c>
      <c r="X3349">
        <f t="shared" si="210"/>
        <v>0</v>
      </c>
      <c r="Y3349" t="str">
        <f t="shared" si="211"/>
        <v>Non-Senior</v>
      </c>
    </row>
    <row r="3350" spans="1:25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208"/>
        <v>61-72 Months</v>
      </c>
      <c r="W3350">
        <f t="shared" si="209"/>
        <v>0</v>
      </c>
      <c r="X3350">
        <f t="shared" si="210"/>
        <v>0</v>
      </c>
      <c r="Y3350" t="str">
        <f t="shared" si="211"/>
        <v>Senior Citizen</v>
      </c>
    </row>
    <row r="3351" spans="1:25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208"/>
        <v>0-12 Months</v>
      </c>
      <c r="W3351">
        <f t="shared" si="209"/>
        <v>1</v>
      </c>
      <c r="X3351">
        <f t="shared" si="210"/>
        <v>99.5</v>
      </c>
      <c r="Y3351" t="str">
        <f t="shared" si="211"/>
        <v>Non-Senior</v>
      </c>
    </row>
    <row r="3352" spans="1:25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208"/>
        <v>0-12 Months</v>
      </c>
      <c r="W3352">
        <f t="shared" si="209"/>
        <v>1</v>
      </c>
      <c r="X3352">
        <f t="shared" si="210"/>
        <v>44.15</v>
      </c>
      <c r="Y3352" t="str">
        <f t="shared" si="211"/>
        <v>Non-Senior</v>
      </c>
    </row>
    <row r="3353" spans="1:25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208"/>
        <v>13-24 Months</v>
      </c>
      <c r="W3353">
        <f t="shared" si="209"/>
        <v>1</v>
      </c>
      <c r="X3353">
        <f t="shared" si="210"/>
        <v>53.9</v>
      </c>
      <c r="Y3353" t="str">
        <f t="shared" si="211"/>
        <v>Non-Senior</v>
      </c>
    </row>
    <row r="3354" spans="1:25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208"/>
        <v>0-12 Months</v>
      </c>
      <c r="W3354">
        <f t="shared" si="209"/>
        <v>1</v>
      </c>
      <c r="X3354">
        <f t="shared" si="210"/>
        <v>85.45</v>
      </c>
      <c r="Y3354" t="str">
        <f t="shared" si="211"/>
        <v>Non-Senior</v>
      </c>
    </row>
    <row r="3355" spans="1:25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208"/>
        <v>0-12 Months</v>
      </c>
      <c r="W3355">
        <f t="shared" si="209"/>
        <v>0</v>
      </c>
      <c r="X3355">
        <f t="shared" si="210"/>
        <v>0</v>
      </c>
      <c r="Y3355" t="str">
        <f t="shared" si="211"/>
        <v>Non-Senior</v>
      </c>
    </row>
    <row r="3356" spans="1:25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208"/>
        <v>49-60 Months</v>
      </c>
      <c r="W3356">
        <f t="shared" si="209"/>
        <v>0</v>
      </c>
      <c r="X3356">
        <f t="shared" si="210"/>
        <v>0</v>
      </c>
      <c r="Y3356" t="str">
        <f t="shared" si="211"/>
        <v>Non-Senior</v>
      </c>
    </row>
    <row r="3357" spans="1:25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208"/>
        <v>61-72 Months</v>
      </c>
      <c r="W3357">
        <f t="shared" si="209"/>
        <v>0</v>
      </c>
      <c r="X3357">
        <f t="shared" si="210"/>
        <v>0</v>
      </c>
      <c r="Y3357" t="str">
        <f t="shared" si="211"/>
        <v>Non-Senior</v>
      </c>
    </row>
    <row r="3358" spans="1:25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208"/>
        <v>0-12 Months</v>
      </c>
      <c r="W3358">
        <f t="shared" si="209"/>
        <v>1</v>
      </c>
      <c r="X3358">
        <f t="shared" si="210"/>
        <v>50.85</v>
      </c>
      <c r="Y3358" t="str">
        <f t="shared" si="211"/>
        <v>Non-Senior</v>
      </c>
    </row>
    <row r="3359" spans="1:25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208"/>
        <v>0-12 Months</v>
      </c>
      <c r="W3359">
        <f t="shared" si="209"/>
        <v>1</v>
      </c>
      <c r="X3359">
        <f t="shared" si="210"/>
        <v>59.2</v>
      </c>
      <c r="Y3359" t="str">
        <f t="shared" si="211"/>
        <v>Non-Senior</v>
      </c>
    </row>
    <row r="3360" spans="1:25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208"/>
        <v>25-36 Months</v>
      </c>
      <c r="W3360">
        <f t="shared" si="209"/>
        <v>0</v>
      </c>
      <c r="X3360">
        <f t="shared" si="210"/>
        <v>0</v>
      </c>
      <c r="Y3360" t="str">
        <f t="shared" si="211"/>
        <v>Non-Senior</v>
      </c>
    </row>
    <row r="3361" spans="1:25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7082</v>
      </c>
      <c r="J3361" t="s">
        <v>7084</v>
      </c>
      <c r="K3361" t="s">
        <v>46</v>
      </c>
      <c r="L3361" t="s">
        <v>7084</v>
      </c>
      <c r="M3361" t="s">
        <v>7084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208"/>
        <v>13-24 Months</v>
      </c>
      <c r="W3361">
        <f t="shared" si="209"/>
        <v>0</v>
      </c>
      <c r="X3361">
        <f t="shared" si="210"/>
        <v>0</v>
      </c>
      <c r="Y3361" t="str">
        <f t="shared" si="211"/>
        <v>Non-Senior</v>
      </c>
    </row>
    <row r="3362" spans="1:25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208"/>
        <v>13-24 Months</v>
      </c>
      <c r="W3362">
        <f t="shared" si="209"/>
        <v>1</v>
      </c>
      <c r="X3362">
        <f t="shared" si="210"/>
        <v>83.2</v>
      </c>
      <c r="Y3362" t="str">
        <f t="shared" si="211"/>
        <v>Non-Senior</v>
      </c>
    </row>
    <row r="3363" spans="1:25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208"/>
        <v>61-72 Months</v>
      </c>
      <c r="W3363">
        <f t="shared" si="209"/>
        <v>0</v>
      </c>
      <c r="X3363">
        <f t="shared" si="210"/>
        <v>0</v>
      </c>
      <c r="Y3363" t="str">
        <f t="shared" si="211"/>
        <v>Senior Citizen</v>
      </c>
    </row>
    <row r="3364" spans="1:25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208"/>
        <v>0-12 Months</v>
      </c>
      <c r="W3364">
        <f t="shared" si="209"/>
        <v>1</v>
      </c>
      <c r="X3364">
        <f t="shared" si="210"/>
        <v>54.9</v>
      </c>
      <c r="Y3364" t="str">
        <f t="shared" si="211"/>
        <v>Non-Senior</v>
      </c>
    </row>
    <row r="3365" spans="1:25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208"/>
        <v>49-60 Months</v>
      </c>
      <c r="W3365">
        <f t="shared" si="209"/>
        <v>0</v>
      </c>
      <c r="X3365">
        <f t="shared" si="210"/>
        <v>0</v>
      </c>
      <c r="Y3365" t="str">
        <f t="shared" si="211"/>
        <v>Non-Senior</v>
      </c>
    </row>
    <row r="3366" spans="1:25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208"/>
        <v>13-24 Months</v>
      </c>
      <c r="W3366">
        <f t="shared" si="209"/>
        <v>1</v>
      </c>
      <c r="X3366">
        <f t="shared" si="210"/>
        <v>103.9</v>
      </c>
      <c r="Y3366" t="str">
        <f t="shared" si="211"/>
        <v>Non-Senior</v>
      </c>
    </row>
    <row r="3367" spans="1:25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7082</v>
      </c>
      <c r="J3367" t="s">
        <v>7084</v>
      </c>
      <c r="K3367" t="s">
        <v>46</v>
      </c>
      <c r="L3367" t="s">
        <v>7084</v>
      </c>
      <c r="M3367" t="s">
        <v>7084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208"/>
        <v>13-24 Months</v>
      </c>
      <c r="W3367">
        <f t="shared" si="209"/>
        <v>0</v>
      </c>
      <c r="X3367">
        <f t="shared" si="210"/>
        <v>0</v>
      </c>
      <c r="Y3367" t="str">
        <f t="shared" si="211"/>
        <v>Non-Senior</v>
      </c>
    </row>
    <row r="3368" spans="1:25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208"/>
        <v>25-36 Months</v>
      </c>
      <c r="W3368">
        <f t="shared" si="209"/>
        <v>0</v>
      </c>
      <c r="X3368">
        <f t="shared" si="210"/>
        <v>0</v>
      </c>
      <c r="Y3368" t="str">
        <f t="shared" si="211"/>
        <v>Non-Senior</v>
      </c>
    </row>
    <row r="3369" spans="1:25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208"/>
        <v>49-60 Months</v>
      </c>
      <c r="W3369">
        <f t="shared" si="209"/>
        <v>0</v>
      </c>
      <c r="X3369">
        <f t="shared" si="210"/>
        <v>0</v>
      </c>
      <c r="Y3369" t="str">
        <f t="shared" si="211"/>
        <v>Non-Senior</v>
      </c>
    </row>
    <row r="3370" spans="1:25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208"/>
        <v>37-48 Months</v>
      </c>
      <c r="W3370">
        <f t="shared" si="209"/>
        <v>0</v>
      </c>
      <c r="X3370">
        <f t="shared" si="210"/>
        <v>0</v>
      </c>
      <c r="Y3370" t="str">
        <f t="shared" si="211"/>
        <v>Non-Senior</v>
      </c>
    </row>
    <row r="3371" spans="1:25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208"/>
        <v>0-12 Months</v>
      </c>
      <c r="W3371">
        <f t="shared" si="209"/>
        <v>0</v>
      </c>
      <c r="X3371">
        <f t="shared" si="210"/>
        <v>0</v>
      </c>
      <c r="Y3371" t="str">
        <f t="shared" si="211"/>
        <v>Senior Citizen</v>
      </c>
    </row>
    <row r="3372" spans="1:25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208"/>
        <v>49-60 Months</v>
      </c>
      <c r="W3372">
        <f t="shared" si="209"/>
        <v>0</v>
      </c>
      <c r="X3372">
        <f t="shared" si="210"/>
        <v>0</v>
      </c>
      <c r="Y3372" t="str">
        <f t="shared" si="211"/>
        <v>Non-Senior</v>
      </c>
    </row>
    <row r="3373" spans="1:25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7082</v>
      </c>
      <c r="J3373" t="s">
        <v>7084</v>
      </c>
      <c r="K3373" t="s">
        <v>46</v>
      </c>
      <c r="L3373" t="s">
        <v>7084</v>
      </c>
      <c r="M3373" t="s">
        <v>7084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208"/>
        <v>0-12 Months</v>
      </c>
      <c r="W3373">
        <f t="shared" si="209"/>
        <v>1</v>
      </c>
      <c r="X3373">
        <f t="shared" si="210"/>
        <v>19.25</v>
      </c>
      <c r="Y3373" t="str">
        <f t="shared" si="211"/>
        <v>Non-Senior</v>
      </c>
    </row>
    <row r="3374" spans="1:25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208"/>
        <v>49-60 Months</v>
      </c>
      <c r="W3374">
        <f t="shared" si="209"/>
        <v>0</v>
      </c>
      <c r="X3374">
        <f t="shared" si="210"/>
        <v>0</v>
      </c>
      <c r="Y3374" t="str">
        <f t="shared" si="211"/>
        <v>Senior Citizen</v>
      </c>
    </row>
    <row r="3375" spans="1:25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208"/>
        <v>0-12 Months</v>
      </c>
      <c r="W3375">
        <f t="shared" si="209"/>
        <v>1</v>
      </c>
      <c r="X3375">
        <f t="shared" si="210"/>
        <v>75.45</v>
      </c>
      <c r="Y3375" t="str">
        <f t="shared" si="211"/>
        <v>Senior Citizen</v>
      </c>
    </row>
    <row r="3376" spans="1:25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208"/>
        <v>0-12 Months</v>
      </c>
      <c r="W3376">
        <f t="shared" si="209"/>
        <v>1</v>
      </c>
      <c r="X3376">
        <f t="shared" si="210"/>
        <v>54.85</v>
      </c>
      <c r="Y3376" t="str">
        <f t="shared" si="211"/>
        <v>Senior Citizen</v>
      </c>
    </row>
    <row r="3377" spans="1:25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7082</v>
      </c>
      <c r="J3377" t="s">
        <v>7084</v>
      </c>
      <c r="K3377" t="s">
        <v>46</v>
      </c>
      <c r="L3377" t="s">
        <v>7084</v>
      </c>
      <c r="M3377" t="s">
        <v>7084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208"/>
        <v>61-72 Months</v>
      </c>
      <c r="W3377">
        <f t="shared" si="209"/>
        <v>0</v>
      </c>
      <c r="X3377">
        <f t="shared" si="210"/>
        <v>0</v>
      </c>
      <c r="Y3377" t="str">
        <f t="shared" si="211"/>
        <v>Non-Senior</v>
      </c>
    </row>
    <row r="3378" spans="1:25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7082</v>
      </c>
      <c r="J3378" t="s">
        <v>7084</v>
      </c>
      <c r="K3378" t="s">
        <v>46</v>
      </c>
      <c r="L3378" t="s">
        <v>7084</v>
      </c>
      <c r="M3378" t="s">
        <v>7084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208"/>
        <v>0-12 Months</v>
      </c>
      <c r="W3378">
        <f t="shared" si="209"/>
        <v>0</v>
      </c>
      <c r="X3378">
        <f t="shared" si="210"/>
        <v>0</v>
      </c>
      <c r="Y3378" t="str">
        <f t="shared" si="211"/>
        <v>Non-Senior</v>
      </c>
    </row>
    <row r="3379" spans="1:25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7082</v>
      </c>
      <c r="J3379" t="s">
        <v>7084</v>
      </c>
      <c r="K3379" t="s">
        <v>46</v>
      </c>
      <c r="L3379" t="s">
        <v>7084</v>
      </c>
      <c r="M3379" t="s">
        <v>7084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208"/>
        <v>61-72 Months</v>
      </c>
      <c r="W3379">
        <f t="shared" si="209"/>
        <v>0</v>
      </c>
      <c r="X3379">
        <f t="shared" si="210"/>
        <v>0</v>
      </c>
      <c r="Y3379" t="str">
        <f t="shared" si="211"/>
        <v>Non-Senior</v>
      </c>
    </row>
    <row r="3380" spans="1:25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208"/>
        <v>61-72 Months</v>
      </c>
      <c r="W3380">
        <f t="shared" si="209"/>
        <v>0</v>
      </c>
      <c r="X3380">
        <f t="shared" si="210"/>
        <v>0</v>
      </c>
      <c r="Y3380" t="str">
        <f t="shared" si="211"/>
        <v>Non-Senior</v>
      </c>
    </row>
    <row r="3381" spans="1:25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7082</v>
      </c>
      <c r="J3381" t="s">
        <v>7084</v>
      </c>
      <c r="K3381" t="s">
        <v>46</v>
      </c>
      <c r="L3381" t="s">
        <v>7084</v>
      </c>
      <c r="M3381" t="s">
        <v>7084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208"/>
        <v>0-12 Months</v>
      </c>
      <c r="W3381">
        <f t="shared" si="209"/>
        <v>0</v>
      </c>
      <c r="X3381">
        <f t="shared" si="210"/>
        <v>0</v>
      </c>
      <c r="Y3381" t="str">
        <f t="shared" si="211"/>
        <v>Non-Senior</v>
      </c>
    </row>
    <row r="3382" spans="1:25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208"/>
        <v>0-12 Months</v>
      </c>
      <c r="W3382">
        <f t="shared" si="209"/>
        <v>1</v>
      </c>
      <c r="X3382">
        <f t="shared" si="210"/>
        <v>95.1</v>
      </c>
      <c r="Y3382" t="str">
        <f t="shared" si="211"/>
        <v>Senior Citizen</v>
      </c>
    </row>
    <row r="3383" spans="1:25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208"/>
        <v>37-48 Months</v>
      </c>
      <c r="W3383">
        <f t="shared" si="209"/>
        <v>0</v>
      </c>
      <c r="X3383">
        <f t="shared" si="210"/>
        <v>0</v>
      </c>
      <c r="Y3383" t="str">
        <f t="shared" si="211"/>
        <v>Non-Senior</v>
      </c>
    </row>
    <row r="3384" spans="1:25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7082</v>
      </c>
      <c r="J3384" t="s">
        <v>7084</v>
      </c>
      <c r="K3384" t="s">
        <v>46</v>
      </c>
      <c r="L3384" t="s">
        <v>7084</v>
      </c>
      <c r="M3384" t="s">
        <v>7084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208"/>
        <v>61-72 Months</v>
      </c>
      <c r="W3384">
        <f t="shared" si="209"/>
        <v>0</v>
      </c>
      <c r="X3384">
        <f t="shared" si="210"/>
        <v>0</v>
      </c>
      <c r="Y3384" t="str">
        <f t="shared" si="211"/>
        <v>Non-Senior</v>
      </c>
    </row>
    <row r="3385" spans="1:25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208"/>
        <v>0-12 Months</v>
      </c>
      <c r="W3385">
        <f t="shared" si="209"/>
        <v>1</v>
      </c>
      <c r="X3385">
        <f t="shared" si="210"/>
        <v>75.5</v>
      </c>
      <c r="Y3385" t="str">
        <f t="shared" si="211"/>
        <v>Non-Senior</v>
      </c>
    </row>
    <row r="3386" spans="1:25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208"/>
        <v>0-12 Months</v>
      </c>
      <c r="W3386">
        <f t="shared" si="209"/>
        <v>1</v>
      </c>
      <c r="X3386">
        <f t="shared" si="210"/>
        <v>73.75</v>
      </c>
      <c r="Y3386" t="str">
        <f t="shared" si="211"/>
        <v>Non-Senior</v>
      </c>
    </row>
    <row r="3387" spans="1:25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208"/>
        <v>0-12 Months</v>
      </c>
      <c r="W3387">
        <f t="shared" si="209"/>
        <v>1</v>
      </c>
      <c r="X3387">
        <f t="shared" si="210"/>
        <v>96.05</v>
      </c>
      <c r="Y3387" t="str">
        <f t="shared" si="211"/>
        <v>Non-Senior</v>
      </c>
    </row>
    <row r="3388" spans="1:25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208"/>
        <v>49-60 Months</v>
      </c>
      <c r="W3388">
        <f t="shared" si="209"/>
        <v>0</v>
      </c>
      <c r="X3388">
        <f t="shared" si="210"/>
        <v>0</v>
      </c>
      <c r="Y3388" t="str">
        <f t="shared" si="211"/>
        <v>Non-Senior</v>
      </c>
    </row>
    <row r="3389" spans="1:25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7082</v>
      </c>
      <c r="J3389" t="s">
        <v>7084</v>
      </c>
      <c r="K3389" t="s">
        <v>46</v>
      </c>
      <c r="L3389" t="s">
        <v>7084</v>
      </c>
      <c r="M3389" t="s">
        <v>7084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208"/>
        <v>0-12 Months</v>
      </c>
      <c r="W3389">
        <f t="shared" si="209"/>
        <v>0</v>
      </c>
      <c r="X3389">
        <f t="shared" si="210"/>
        <v>0</v>
      </c>
      <c r="Y3389" t="str">
        <f t="shared" si="211"/>
        <v>Non-Senior</v>
      </c>
    </row>
    <row r="3390" spans="1:25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208"/>
        <v>61-72 Months</v>
      </c>
      <c r="W3390">
        <f t="shared" si="209"/>
        <v>0</v>
      </c>
      <c r="X3390">
        <f t="shared" si="210"/>
        <v>0</v>
      </c>
      <c r="Y3390" t="str">
        <f t="shared" si="211"/>
        <v>Non-Senior</v>
      </c>
    </row>
    <row r="3391" spans="1:25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208"/>
        <v>0-12 Months</v>
      </c>
      <c r="W3391">
        <f t="shared" si="209"/>
        <v>0</v>
      </c>
      <c r="X3391">
        <f t="shared" si="210"/>
        <v>0</v>
      </c>
      <c r="Y3391" t="str">
        <f t="shared" si="211"/>
        <v>Non-Senior</v>
      </c>
    </row>
    <row r="3392" spans="1:25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7082</v>
      </c>
      <c r="J3392" t="s">
        <v>7084</v>
      </c>
      <c r="K3392" t="s">
        <v>46</v>
      </c>
      <c r="L3392" t="s">
        <v>7084</v>
      </c>
      <c r="M3392" t="s">
        <v>7084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208"/>
        <v>49-60 Months</v>
      </c>
      <c r="W3392">
        <f t="shared" si="209"/>
        <v>0</v>
      </c>
      <c r="X3392">
        <f t="shared" si="210"/>
        <v>0</v>
      </c>
      <c r="Y3392" t="str">
        <f t="shared" si="211"/>
        <v>Non-Senior</v>
      </c>
    </row>
    <row r="3393" spans="1:25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7082</v>
      </c>
      <c r="J3393" t="s">
        <v>7084</v>
      </c>
      <c r="K3393" t="s">
        <v>46</v>
      </c>
      <c r="L3393" t="s">
        <v>7084</v>
      </c>
      <c r="M3393" t="s">
        <v>7084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208"/>
        <v>0-12 Months</v>
      </c>
      <c r="W3393">
        <f t="shared" si="209"/>
        <v>0</v>
      </c>
      <c r="X3393">
        <f t="shared" si="210"/>
        <v>0</v>
      </c>
      <c r="Y3393" t="str">
        <f t="shared" si="211"/>
        <v>Non-Senior</v>
      </c>
    </row>
    <row r="3394" spans="1:25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si="208"/>
        <v>49-60 Months</v>
      </c>
      <c r="W3394">
        <f t="shared" si="209"/>
        <v>0</v>
      </c>
      <c r="X3394">
        <f t="shared" si="210"/>
        <v>0</v>
      </c>
      <c r="Y3394" t="str">
        <f t="shared" si="211"/>
        <v>Non-Senior</v>
      </c>
    </row>
    <row r="3395" spans="1:25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ref="V3395:V3458" si="212">IF(F3395&lt;=12,"0-12 Months",IF(F3395&lt;=24,"13-24 Months",IF(F3395&lt;=36,"25-36 Months",IF(F3395&lt;=48,"37-48 Months",IF(F3395&lt;=60,"49-60 Months","61-72 Months")))))</f>
        <v>61-72 Months</v>
      </c>
      <c r="W3395">
        <f t="shared" ref="W3395:W3458" si="213">IF(U3395="Yes",1,0)</f>
        <v>0</v>
      </c>
      <c r="X3395">
        <f t="shared" ref="X3395:X3458" si="214">IF(U3395="Yes",S3395,0)</f>
        <v>0</v>
      </c>
      <c r="Y3395" t="str">
        <f t="shared" ref="Y3395:Y3458" si="215">IF(C3395=1,"Senior Citizen","Non-Senior")</f>
        <v>Non-Senior</v>
      </c>
    </row>
    <row r="3396" spans="1:25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212"/>
        <v>25-36 Months</v>
      </c>
      <c r="W3396">
        <f t="shared" si="213"/>
        <v>0</v>
      </c>
      <c r="X3396">
        <f t="shared" si="214"/>
        <v>0</v>
      </c>
      <c r="Y3396" t="str">
        <f t="shared" si="215"/>
        <v>Non-Senior</v>
      </c>
    </row>
    <row r="3397" spans="1:25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212"/>
        <v>61-72 Months</v>
      </c>
      <c r="W3397">
        <f t="shared" si="213"/>
        <v>0</v>
      </c>
      <c r="X3397">
        <f t="shared" si="214"/>
        <v>0</v>
      </c>
      <c r="Y3397" t="str">
        <f t="shared" si="215"/>
        <v>Non-Senior</v>
      </c>
    </row>
    <row r="3398" spans="1:25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212"/>
        <v>49-60 Months</v>
      </c>
      <c r="W3398">
        <f t="shared" si="213"/>
        <v>0</v>
      </c>
      <c r="X3398">
        <f t="shared" si="214"/>
        <v>0</v>
      </c>
      <c r="Y3398" t="str">
        <f t="shared" si="215"/>
        <v>Non-Senior</v>
      </c>
    </row>
    <row r="3399" spans="1:25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212"/>
        <v>61-72 Months</v>
      </c>
      <c r="W3399">
        <f t="shared" si="213"/>
        <v>0</v>
      </c>
      <c r="X3399">
        <f t="shared" si="214"/>
        <v>0</v>
      </c>
      <c r="Y3399" t="str">
        <f t="shared" si="215"/>
        <v>Non-Senior</v>
      </c>
    </row>
    <row r="3400" spans="1:25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212"/>
        <v>61-72 Months</v>
      </c>
      <c r="W3400">
        <f t="shared" si="213"/>
        <v>0</v>
      </c>
      <c r="X3400">
        <f t="shared" si="214"/>
        <v>0</v>
      </c>
      <c r="Y3400" t="str">
        <f t="shared" si="215"/>
        <v>Non-Senior</v>
      </c>
    </row>
    <row r="3401" spans="1:25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212"/>
        <v>37-48 Months</v>
      </c>
      <c r="W3401">
        <f t="shared" si="213"/>
        <v>0</v>
      </c>
      <c r="X3401">
        <f t="shared" si="214"/>
        <v>0</v>
      </c>
      <c r="Y3401" t="str">
        <f t="shared" si="215"/>
        <v>Non-Senior</v>
      </c>
    </row>
    <row r="3402" spans="1:25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212"/>
        <v>13-24 Months</v>
      </c>
      <c r="W3402">
        <f t="shared" si="213"/>
        <v>0</v>
      </c>
      <c r="X3402">
        <f t="shared" si="214"/>
        <v>0</v>
      </c>
      <c r="Y3402" t="str">
        <f t="shared" si="215"/>
        <v>Non-Senior</v>
      </c>
    </row>
    <row r="3403" spans="1:25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7082</v>
      </c>
      <c r="J3403" t="s">
        <v>7084</v>
      </c>
      <c r="K3403" t="s">
        <v>46</v>
      </c>
      <c r="L3403" t="s">
        <v>7084</v>
      </c>
      <c r="M3403" t="s">
        <v>7084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212"/>
        <v>49-60 Months</v>
      </c>
      <c r="W3403">
        <f t="shared" si="213"/>
        <v>0</v>
      </c>
      <c r="X3403">
        <f t="shared" si="214"/>
        <v>0</v>
      </c>
      <c r="Y3403" t="str">
        <f t="shared" si="215"/>
        <v>Non-Senior</v>
      </c>
    </row>
    <row r="3404" spans="1:25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212"/>
        <v>0-12 Months</v>
      </c>
      <c r="W3404">
        <f t="shared" si="213"/>
        <v>1</v>
      </c>
      <c r="X3404">
        <f t="shared" si="214"/>
        <v>88.95</v>
      </c>
      <c r="Y3404" t="str">
        <f t="shared" si="215"/>
        <v>Non-Senior</v>
      </c>
    </row>
    <row r="3405" spans="1:25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7082</v>
      </c>
      <c r="J3405" t="s">
        <v>7084</v>
      </c>
      <c r="K3405" t="s">
        <v>46</v>
      </c>
      <c r="L3405" t="s">
        <v>7084</v>
      </c>
      <c r="M3405" t="s">
        <v>7084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212"/>
        <v>0-12 Months</v>
      </c>
      <c r="W3405">
        <f t="shared" si="213"/>
        <v>0</v>
      </c>
      <c r="X3405">
        <f t="shared" si="214"/>
        <v>0</v>
      </c>
      <c r="Y3405" t="str">
        <f t="shared" si="215"/>
        <v>Non-Senior</v>
      </c>
    </row>
    <row r="3406" spans="1:25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212"/>
        <v>25-36 Months</v>
      </c>
      <c r="W3406">
        <f t="shared" si="213"/>
        <v>0</v>
      </c>
      <c r="X3406">
        <f t="shared" si="214"/>
        <v>0</v>
      </c>
      <c r="Y3406" t="str">
        <f t="shared" si="215"/>
        <v>Non-Senior</v>
      </c>
    </row>
    <row r="3407" spans="1:25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212"/>
        <v>61-72 Months</v>
      </c>
      <c r="W3407">
        <f t="shared" si="213"/>
        <v>0</v>
      </c>
      <c r="X3407">
        <f t="shared" si="214"/>
        <v>0</v>
      </c>
      <c r="Y3407" t="str">
        <f t="shared" si="215"/>
        <v>Non-Senior</v>
      </c>
    </row>
    <row r="3408" spans="1:25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7082</v>
      </c>
      <c r="J3408" t="s">
        <v>7084</v>
      </c>
      <c r="K3408" t="s">
        <v>46</v>
      </c>
      <c r="L3408" t="s">
        <v>7084</v>
      </c>
      <c r="M3408" t="s">
        <v>7084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212"/>
        <v>25-36 Months</v>
      </c>
      <c r="W3408">
        <f t="shared" si="213"/>
        <v>0</v>
      </c>
      <c r="X3408">
        <f t="shared" si="214"/>
        <v>0</v>
      </c>
      <c r="Y3408" t="str">
        <f t="shared" si="215"/>
        <v>Non-Senior</v>
      </c>
    </row>
    <row r="3409" spans="1:25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7082</v>
      </c>
      <c r="J3409" t="s">
        <v>7084</v>
      </c>
      <c r="K3409" t="s">
        <v>46</v>
      </c>
      <c r="L3409" t="s">
        <v>7084</v>
      </c>
      <c r="M3409" t="s">
        <v>7084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212"/>
        <v>61-72 Months</v>
      </c>
      <c r="W3409">
        <f t="shared" si="213"/>
        <v>0</v>
      </c>
      <c r="X3409">
        <f t="shared" si="214"/>
        <v>0</v>
      </c>
      <c r="Y3409" t="str">
        <f t="shared" si="215"/>
        <v>Senior Citizen</v>
      </c>
    </row>
    <row r="3410" spans="1:25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212"/>
        <v>0-12 Months</v>
      </c>
      <c r="W3410">
        <f t="shared" si="213"/>
        <v>1</v>
      </c>
      <c r="X3410">
        <f t="shared" si="214"/>
        <v>50.7</v>
      </c>
      <c r="Y3410" t="str">
        <f t="shared" si="215"/>
        <v>Non-Senior</v>
      </c>
    </row>
    <row r="3411" spans="1:25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212"/>
        <v>61-72 Months</v>
      </c>
      <c r="W3411">
        <f t="shared" si="213"/>
        <v>0</v>
      </c>
      <c r="X3411">
        <f t="shared" si="214"/>
        <v>0</v>
      </c>
      <c r="Y3411" t="str">
        <f t="shared" si="215"/>
        <v>Senior Citizen</v>
      </c>
    </row>
    <row r="3412" spans="1:25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212"/>
        <v>0-12 Months</v>
      </c>
      <c r="W3412">
        <f t="shared" si="213"/>
        <v>1</v>
      </c>
      <c r="X3412">
        <f t="shared" si="214"/>
        <v>53.4</v>
      </c>
      <c r="Y3412" t="str">
        <f t="shared" si="215"/>
        <v>Non-Senior</v>
      </c>
    </row>
    <row r="3413" spans="1:25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212"/>
        <v>49-60 Months</v>
      </c>
      <c r="W3413">
        <f t="shared" si="213"/>
        <v>1</v>
      </c>
      <c r="X3413">
        <f t="shared" si="214"/>
        <v>101.9</v>
      </c>
      <c r="Y3413" t="str">
        <f t="shared" si="215"/>
        <v>Senior Citizen</v>
      </c>
    </row>
    <row r="3414" spans="1:25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212"/>
        <v>0-12 Months</v>
      </c>
      <c r="W3414">
        <f t="shared" si="213"/>
        <v>0</v>
      </c>
      <c r="X3414">
        <f t="shared" si="214"/>
        <v>0</v>
      </c>
      <c r="Y3414" t="str">
        <f t="shared" si="215"/>
        <v>Non-Senior</v>
      </c>
    </row>
    <row r="3415" spans="1:25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212"/>
        <v>25-36 Months</v>
      </c>
      <c r="W3415">
        <f t="shared" si="213"/>
        <v>0</v>
      </c>
      <c r="X3415">
        <f t="shared" si="214"/>
        <v>0</v>
      </c>
      <c r="Y3415" t="str">
        <f t="shared" si="215"/>
        <v>Non-Senior</v>
      </c>
    </row>
    <row r="3416" spans="1:25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212"/>
        <v>37-48 Months</v>
      </c>
      <c r="W3416">
        <f t="shared" si="213"/>
        <v>0</v>
      </c>
      <c r="X3416">
        <f t="shared" si="214"/>
        <v>0</v>
      </c>
      <c r="Y3416" t="str">
        <f t="shared" si="215"/>
        <v>Non-Senior</v>
      </c>
    </row>
    <row r="3417" spans="1:25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212"/>
        <v>61-72 Months</v>
      </c>
      <c r="W3417">
        <f t="shared" si="213"/>
        <v>1</v>
      </c>
      <c r="X3417">
        <f t="shared" si="214"/>
        <v>83</v>
      </c>
      <c r="Y3417" t="str">
        <f t="shared" si="215"/>
        <v>Non-Senior</v>
      </c>
    </row>
    <row r="3418" spans="1:25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212"/>
        <v>0-12 Months</v>
      </c>
      <c r="W3418">
        <f t="shared" si="213"/>
        <v>0</v>
      </c>
      <c r="X3418">
        <f t="shared" si="214"/>
        <v>0</v>
      </c>
      <c r="Y3418" t="str">
        <f t="shared" si="215"/>
        <v>Non-Senior</v>
      </c>
    </row>
    <row r="3419" spans="1:25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212"/>
        <v>0-12 Months</v>
      </c>
      <c r="W3419">
        <f t="shared" si="213"/>
        <v>0</v>
      </c>
      <c r="X3419">
        <f t="shared" si="214"/>
        <v>0</v>
      </c>
      <c r="Y3419" t="str">
        <f t="shared" si="215"/>
        <v>Non-Senior</v>
      </c>
    </row>
    <row r="3420" spans="1:25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212"/>
        <v>49-60 Months</v>
      </c>
      <c r="W3420">
        <f t="shared" si="213"/>
        <v>0</v>
      </c>
      <c r="X3420">
        <f t="shared" si="214"/>
        <v>0</v>
      </c>
      <c r="Y3420" t="str">
        <f t="shared" si="215"/>
        <v>Non-Senior</v>
      </c>
    </row>
    <row r="3421" spans="1:25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212"/>
        <v>61-72 Months</v>
      </c>
      <c r="W3421">
        <f t="shared" si="213"/>
        <v>0</v>
      </c>
      <c r="X3421">
        <f t="shared" si="214"/>
        <v>0</v>
      </c>
      <c r="Y3421" t="str">
        <f t="shared" si="215"/>
        <v>Non-Senior</v>
      </c>
    </row>
    <row r="3422" spans="1:25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212"/>
        <v>25-36 Months</v>
      </c>
      <c r="W3422">
        <f t="shared" si="213"/>
        <v>0</v>
      </c>
      <c r="X3422">
        <f t="shared" si="214"/>
        <v>0</v>
      </c>
      <c r="Y3422" t="str">
        <f t="shared" si="215"/>
        <v>Non-Senior</v>
      </c>
    </row>
    <row r="3423" spans="1:25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212"/>
        <v>61-72 Months</v>
      </c>
      <c r="W3423">
        <f t="shared" si="213"/>
        <v>0</v>
      </c>
      <c r="X3423">
        <f t="shared" si="214"/>
        <v>0</v>
      </c>
      <c r="Y3423" t="str">
        <f t="shared" si="215"/>
        <v>Non-Senior</v>
      </c>
    </row>
    <row r="3424" spans="1:25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212"/>
        <v>61-72 Months</v>
      </c>
      <c r="W3424">
        <f t="shared" si="213"/>
        <v>0</v>
      </c>
      <c r="X3424">
        <f t="shared" si="214"/>
        <v>0</v>
      </c>
      <c r="Y3424" t="str">
        <f t="shared" si="215"/>
        <v>Non-Senior</v>
      </c>
    </row>
    <row r="3425" spans="1:25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212"/>
        <v>0-12 Months</v>
      </c>
      <c r="W3425">
        <f t="shared" si="213"/>
        <v>1</v>
      </c>
      <c r="X3425">
        <f t="shared" si="214"/>
        <v>50.6</v>
      </c>
      <c r="Y3425" t="str">
        <f t="shared" si="215"/>
        <v>Non-Senior</v>
      </c>
    </row>
    <row r="3426" spans="1:25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212"/>
        <v>0-12 Months</v>
      </c>
      <c r="W3426">
        <f t="shared" si="213"/>
        <v>1</v>
      </c>
      <c r="X3426">
        <f t="shared" si="214"/>
        <v>89.5</v>
      </c>
      <c r="Y3426" t="str">
        <f t="shared" si="215"/>
        <v>Non-Senior</v>
      </c>
    </row>
    <row r="3427" spans="1:25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212"/>
        <v>25-36 Months</v>
      </c>
      <c r="W3427">
        <f t="shared" si="213"/>
        <v>0</v>
      </c>
      <c r="X3427">
        <f t="shared" si="214"/>
        <v>0</v>
      </c>
      <c r="Y3427" t="str">
        <f t="shared" si="215"/>
        <v>Non-Senior</v>
      </c>
    </row>
    <row r="3428" spans="1:25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212"/>
        <v>0-12 Months</v>
      </c>
      <c r="W3428">
        <f t="shared" si="213"/>
        <v>1</v>
      </c>
      <c r="X3428">
        <f t="shared" si="214"/>
        <v>69.8</v>
      </c>
      <c r="Y3428" t="str">
        <f t="shared" si="215"/>
        <v>Non-Senior</v>
      </c>
    </row>
    <row r="3429" spans="1:25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212"/>
        <v>13-24 Months</v>
      </c>
      <c r="W3429">
        <f t="shared" si="213"/>
        <v>0</v>
      </c>
      <c r="X3429">
        <f t="shared" si="214"/>
        <v>0</v>
      </c>
      <c r="Y3429" t="str">
        <f t="shared" si="215"/>
        <v>Non-Senior</v>
      </c>
    </row>
    <row r="3430" spans="1:25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212"/>
        <v>49-60 Months</v>
      </c>
      <c r="W3430">
        <f t="shared" si="213"/>
        <v>1</v>
      </c>
      <c r="X3430">
        <f t="shared" si="214"/>
        <v>93.8</v>
      </c>
      <c r="Y3430" t="str">
        <f t="shared" si="215"/>
        <v>Senior Citizen</v>
      </c>
    </row>
    <row r="3431" spans="1:25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7082</v>
      </c>
      <c r="J3431" t="s">
        <v>7084</v>
      </c>
      <c r="K3431" t="s">
        <v>46</v>
      </c>
      <c r="L3431" t="s">
        <v>7084</v>
      </c>
      <c r="M3431" t="s">
        <v>7084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212"/>
        <v>49-60 Months</v>
      </c>
      <c r="W3431">
        <f t="shared" si="213"/>
        <v>0</v>
      </c>
      <c r="X3431">
        <f t="shared" si="214"/>
        <v>0</v>
      </c>
      <c r="Y3431" t="str">
        <f t="shared" si="215"/>
        <v>Non-Senior</v>
      </c>
    </row>
    <row r="3432" spans="1:25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212"/>
        <v>49-60 Months</v>
      </c>
      <c r="W3432">
        <f t="shared" si="213"/>
        <v>0</v>
      </c>
      <c r="X3432">
        <f t="shared" si="214"/>
        <v>0</v>
      </c>
      <c r="Y3432" t="str">
        <f t="shared" si="215"/>
        <v>Non-Senior</v>
      </c>
    </row>
    <row r="3433" spans="1:25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212"/>
        <v>13-24 Months</v>
      </c>
      <c r="W3433">
        <f t="shared" si="213"/>
        <v>1</v>
      </c>
      <c r="X3433">
        <f t="shared" si="214"/>
        <v>101.05</v>
      </c>
      <c r="Y3433" t="str">
        <f t="shared" si="215"/>
        <v>Non-Senior</v>
      </c>
    </row>
    <row r="3434" spans="1:25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212"/>
        <v>61-72 Months</v>
      </c>
      <c r="W3434">
        <f t="shared" si="213"/>
        <v>0</v>
      </c>
      <c r="X3434">
        <f t="shared" si="214"/>
        <v>0</v>
      </c>
      <c r="Y3434" t="str">
        <f t="shared" si="215"/>
        <v>Non-Senior</v>
      </c>
    </row>
    <row r="3435" spans="1:25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212"/>
        <v>61-72 Months</v>
      </c>
      <c r="W3435">
        <f t="shared" si="213"/>
        <v>0</v>
      </c>
      <c r="X3435">
        <f t="shared" si="214"/>
        <v>0</v>
      </c>
      <c r="Y3435" t="str">
        <f t="shared" si="215"/>
        <v>Non-Senior</v>
      </c>
    </row>
    <row r="3436" spans="1:25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212"/>
        <v>0-12 Months</v>
      </c>
      <c r="W3436">
        <f t="shared" si="213"/>
        <v>0</v>
      </c>
      <c r="X3436">
        <f t="shared" si="214"/>
        <v>0</v>
      </c>
      <c r="Y3436" t="str">
        <f t="shared" si="215"/>
        <v>Non-Senior</v>
      </c>
    </row>
    <row r="3437" spans="1:25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212"/>
        <v>0-12 Months</v>
      </c>
      <c r="W3437">
        <f t="shared" si="213"/>
        <v>0</v>
      </c>
      <c r="X3437">
        <f t="shared" si="214"/>
        <v>0</v>
      </c>
      <c r="Y3437" t="str">
        <f t="shared" si="215"/>
        <v>Non-Senior</v>
      </c>
    </row>
    <row r="3438" spans="1:25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7082</v>
      </c>
      <c r="J3438" t="s">
        <v>7084</v>
      </c>
      <c r="K3438" t="s">
        <v>46</v>
      </c>
      <c r="L3438" t="s">
        <v>7084</v>
      </c>
      <c r="M3438" t="s">
        <v>7084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212"/>
        <v>25-36 Months</v>
      </c>
      <c r="W3438">
        <f t="shared" si="213"/>
        <v>0</v>
      </c>
      <c r="X3438">
        <f t="shared" si="214"/>
        <v>0</v>
      </c>
      <c r="Y3438" t="str">
        <f t="shared" si="215"/>
        <v>Non-Senior</v>
      </c>
    </row>
    <row r="3439" spans="1:25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212"/>
        <v>37-48 Months</v>
      </c>
      <c r="W3439">
        <f t="shared" si="213"/>
        <v>0</v>
      </c>
      <c r="X3439">
        <f t="shared" si="214"/>
        <v>0</v>
      </c>
      <c r="Y3439" t="str">
        <f t="shared" si="215"/>
        <v>Non-Senior</v>
      </c>
    </row>
    <row r="3440" spans="1:25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212"/>
        <v>13-24 Months</v>
      </c>
      <c r="W3440">
        <f t="shared" si="213"/>
        <v>1</v>
      </c>
      <c r="X3440">
        <f t="shared" si="214"/>
        <v>94.7</v>
      </c>
      <c r="Y3440" t="str">
        <f t="shared" si="215"/>
        <v>Non-Senior</v>
      </c>
    </row>
    <row r="3441" spans="1:25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212"/>
        <v>61-72 Months</v>
      </c>
      <c r="W3441">
        <f t="shared" si="213"/>
        <v>1</v>
      </c>
      <c r="X3441">
        <f t="shared" si="214"/>
        <v>104.15</v>
      </c>
      <c r="Y3441" t="str">
        <f t="shared" si="215"/>
        <v>Senior Citizen</v>
      </c>
    </row>
    <row r="3442" spans="1:25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212"/>
        <v>61-72 Months</v>
      </c>
      <c r="W3442">
        <f t="shared" si="213"/>
        <v>0</v>
      </c>
      <c r="X3442">
        <f t="shared" si="214"/>
        <v>0</v>
      </c>
      <c r="Y3442" t="str">
        <f t="shared" si="215"/>
        <v>Non-Senior</v>
      </c>
    </row>
    <row r="3443" spans="1:25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212"/>
        <v>25-36 Months</v>
      </c>
      <c r="W3443">
        <f t="shared" si="213"/>
        <v>0</v>
      </c>
      <c r="X3443">
        <f t="shared" si="214"/>
        <v>0</v>
      </c>
      <c r="Y3443" t="str">
        <f t="shared" si="215"/>
        <v>Non-Senior</v>
      </c>
    </row>
    <row r="3444" spans="1:25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212"/>
        <v>25-36 Months</v>
      </c>
      <c r="W3444">
        <f t="shared" si="213"/>
        <v>0</v>
      </c>
      <c r="X3444">
        <f t="shared" si="214"/>
        <v>0</v>
      </c>
      <c r="Y3444" t="str">
        <f t="shared" si="215"/>
        <v>Non-Senior</v>
      </c>
    </row>
    <row r="3445" spans="1:25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212"/>
        <v>37-48 Months</v>
      </c>
      <c r="W3445">
        <f t="shared" si="213"/>
        <v>0</v>
      </c>
      <c r="X3445">
        <f t="shared" si="214"/>
        <v>0</v>
      </c>
      <c r="Y3445" t="str">
        <f t="shared" si="215"/>
        <v>Senior Citizen</v>
      </c>
    </row>
    <row r="3446" spans="1:25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212"/>
        <v>25-36 Months</v>
      </c>
      <c r="W3446">
        <f t="shared" si="213"/>
        <v>0</v>
      </c>
      <c r="X3446">
        <f t="shared" si="214"/>
        <v>0</v>
      </c>
      <c r="Y3446" t="str">
        <f t="shared" si="215"/>
        <v>Non-Senior</v>
      </c>
    </row>
    <row r="3447" spans="1:25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212"/>
        <v>37-48 Months</v>
      </c>
      <c r="W3447">
        <f t="shared" si="213"/>
        <v>0</v>
      </c>
      <c r="X3447">
        <f t="shared" si="214"/>
        <v>0</v>
      </c>
      <c r="Y3447" t="str">
        <f t="shared" si="215"/>
        <v>Non-Senior</v>
      </c>
    </row>
    <row r="3448" spans="1:25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212"/>
        <v>49-60 Months</v>
      </c>
      <c r="W3448">
        <f t="shared" si="213"/>
        <v>0</v>
      </c>
      <c r="X3448">
        <f t="shared" si="214"/>
        <v>0</v>
      </c>
      <c r="Y3448" t="str">
        <f t="shared" si="215"/>
        <v>Non-Senior</v>
      </c>
    </row>
    <row r="3449" spans="1:25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212"/>
        <v>37-48 Months</v>
      </c>
      <c r="W3449">
        <f t="shared" si="213"/>
        <v>0</v>
      </c>
      <c r="X3449">
        <f t="shared" si="214"/>
        <v>0</v>
      </c>
      <c r="Y3449" t="str">
        <f t="shared" si="215"/>
        <v>Non-Senior</v>
      </c>
    </row>
    <row r="3450" spans="1:25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212"/>
        <v>0-12 Months</v>
      </c>
      <c r="W3450">
        <f t="shared" si="213"/>
        <v>1</v>
      </c>
      <c r="X3450">
        <f t="shared" si="214"/>
        <v>61.45</v>
      </c>
      <c r="Y3450" t="str">
        <f t="shared" si="215"/>
        <v>Non-Senior</v>
      </c>
    </row>
    <row r="3451" spans="1:25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212"/>
        <v>49-60 Months</v>
      </c>
      <c r="W3451">
        <f t="shared" si="213"/>
        <v>0</v>
      </c>
      <c r="X3451">
        <f t="shared" si="214"/>
        <v>0</v>
      </c>
      <c r="Y3451" t="str">
        <f t="shared" si="215"/>
        <v>Non-Senior</v>
      </c>
    </row>
    <row r="3452" spans="1:25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212"/>
        <v>61-72 Months</v>
      </c>
      <c r="W3452">
        <f t="shared" si="213"/>
        <v>0</v>
      </c>
      <c r="X3452">
        <f t="shared" si="214"/>
        <v>0</v>
      </c>
      <c r="Y3452" t="str">
        <f t="shared" si="215"/>
        <v>Senior Citizen</v>
      </c>
    </row>
    <row r="3453" spans="1:25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212"/>
        <v>61-72 Months</v>
      </c>
      <c r="W3453">
        <f t="shared" si="213"/>
        <v>0</v>
      </c>
      <c r="X3453">
        <f t="shared" si="214"/>
        <v>0</v>
      </c>
      <c r="Y3453" t="str">
        <f t="shared" si="215"/>
        <v>Senior Citizen</v>
      </c>
    </row>
    <row r="3454" spans="1:25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212"/>
        <v>0-12 Months</v>
      </c>
      <c r="W3454">
        <f t="shared" si="213"/>
        <v>0</v>
      </c>
      <c r="X3454">
        <f t="shared" si="214"/>
        <v>0</v>
      </c>
      <c r="Y3454" t="str">
        <f t="shared" si="215"/>
        <v>Non-Senior</v>
      </c>
    </row>
    <row r="3455" spans="1:25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212"/>
        <v>61-72 Months</v>
      </c>
      <c r="W3455">
        <f t="shared" si="213"/>
        <v>0</v>
      </c>
      <c r="X3455">
        <f t="shared" si="214"/>
        <v>0</v>
      </c>
      <c r="Y3455" t="str">
        <f t="shared" si="215"/>
        <v>Non-Senior</v>
      </c>
    </row>
    <row r="3456" spans="1:25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212"/>
        <v>25-36 Months</v>
      </c>
      <c r="W3456">
        <f t="shared" si="213"/>
        <v>0</v>
      </c>
      <c r="X3456">
        <f t="shared" si="214"/>
        <v>0</v>
      </c>
      <c r="Y3456" t="str">
        <f t="shared" si="215"/>
        <v>Senior Citizen</v>
      </c>
    </row>
    <row r="3457" spans="1:25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212"/>
        <v>0-12 Months</v>
      </c>
      <c r="W3457">
        <f t="shared" si="213"/>
        <v>1</v>
      </c>
      <c r="X3457">
        <f t="shared" si="214"/>
        <v>90.55</v>
      </c>
      <c r="Y3457" t="str">
        <f t="shared" si="215"/>
        <v>Non-Senior</v>
      </c>
    </row>
    <row r="3458" spans="1:25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si="212"/>
        <v>61-72 Months</v>
      </c>
      <c r="W3458">
        <f t="shared" si="213"/>
        <v>0</v>
      </c>
      <c r="X3458">
        <f t="shared" si="214"/>
        <v>0</v>
      </c>
      <c r="Y3458" t="str">
        <f t="shared" si="215"/>
        <v>Non-Senior</v>
      </c>
    </row>
    <row r="3459" spans="1:25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7082</v>
      </c>
      <c r="J3459" t="s">
        <v>7084</v>
      </c>
      <c r="K3459" t="s">
        <v>46</v>
      </c>
      <c r="L3459" t="s">
        <v>7084</v>
      </c>
      <c r="M3459" t="s">
        <v>7084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ref="V3459:V3522" si="216">IF(F3459&lt;=12,"0-12 Months",IF(F3459&lt;=24,"13-24 Months",IF(F3459&lt;=36,"25-36 Months",IF(F3459&lt;=48,"37-48 Months",IF(F3459&lt;=60,"49-60 Months","61-72 Months")))))</f>
        <v>0-12 Months</v>
      </c>
      <c r="W3459">
        <f t="shared" ref="W3459:W3522" si="217">IF(U3459="Yes",1,0)</f>
        <v>0</v>
      </c>
      <c r="X3459">
        <f t="shared" ref="X3459:X3522" si="218">IF(U3459="Yes",S3459,0)</f>
        <v>0</v>
      </c>
      <c r="Y3459" t="str">
        <f t="shared" ref="Y3459:Y3522" si="219">IF(C3459=1,"Senior Citizen","Non-Senior")</f>
        <v>Non-Senior</v>
      </c>
    </row>
    <row r="3460" spans="1:25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216"/>
        <v>25-36 Months</v>
      </c>
      <c r="W3460">
        <f t="shared" si="217"/>
        <v>1</v>
      </c>
      <c r="X3460">
        <f t="shared" si="218"/>
        <v>88.8</v>
      </c>
      <c r="Y3460" t="str">
        <f t="shared" si="219"/>
        <v>Non-Senior</v>
      </c>
    </row>
    <row r="3461" spans="1:25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7082</v>
      </c>
      <c r="J3461" t="s">
        <v>7084</v>
      </c>
      <c r="K3461" t="s">
        <v>46</v>
      </c>
      <c r="L3461" t="s">
        <v>7084</v>
      </c>
      <c r="M3461" t="s">
        <v>7084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216"/>
        <v>25-36 Months</v>
      </c>
      <c r="W3461">
        <f t="shared" si="217"/>
        <v>0</v>
      </c>
      <c r="X3461">
        <f t="shared" si="218"/>
        <v>0</v>
      </c>
      <c r="Y3461" t="str">
        <f t="shared" si="219"/>
        <v>Non-Senior</v>
      </c>
    </row>
    <row r="3462" spans="1:25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216"/>
        <v>37-48 Months</v>
      </c>
      <c r="W3462">
        <f t="shared" si="217"/>
        <v>0</v>
      </c>
      <c r="X3462">
        <f t="shared" si="218"/>
        <v>0</v>
      </c>
      <c r="Y3462" t="str">
        <f t="shared" si="219"/>
        <v>Non-Senior</v>
      </c>
    </row>
    <row r="3463" spans="1:25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216"/>
        <v>49-60 Months</v>
      </c>
      <c r="W3463">
        <f t="shared" si="217"/>
        <v>0</v>
      </c>
      <c r="X3463">
        <f t="shared" si="218"/>
        <v>0</v>
      </c>
      <c r="Y3463" t="str">
        <f t="shared" si="219"/>
        <v>Non-Senior</v>
      </c>
    </row>
    <row r="3464" spans="1:25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216"/>
        <v>0-12 Months</v>
      </c>
      <c r="W3464">
        <f t="shared" si="217"/>
        <v>1</v>
      </c>
      <c r="X3464">
        <f t="shared" si="218"/>
        <v>85.2</v>
      </c>
      <c r="Y3464" t="str">
        <f t="shared" si="219"/>
        <v>Non-Senior</v>
      </c>
    </row>
    <row r="3465" spans="1:25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216"/>
        <v>37-48 Months</v>
      </c>
      <c r="W3465">
        <f t="shared" si="217"/>
        <v>0</v>
      </c>
      <c r="X3465">
        <f t="shared" si="218"/>
        <v>0</v>
      </c>
      <c r="Y3465" t="str">
        <f t="shared" si="219"/>
        <v>Non-Senior</v>
      </c>
    </row>
    <row r="3466" spans="1:25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216"/>
        <v>25-36 Months</v>
      </c>
      <c r="W3466">
        <f t="shared" si="217"/>
        <v>0</v>
      </c>
      <c r="X3466">
        <f t="shared" si="218"/>
        <v>0</v>
      </c>
      <c r="Y3466" t="str">
        <f t="shared" si="219"/>
        <v>Non-Senior</v>
      </c>
    </row>
    <row r="3467" spans="1:25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216"/>
        <v>0-12 Months</v>
      </c>
      <c r="W3467">
        <f t="shared" si="217"/>
        <v>0</v>
      </c>
      <c r="X3467">
        <f t="shared" si="218"/>
        <v>0</v>
      </c>
      <c r="Y3467" t="str">
        <f t="shared" si="219"/>
        <v>Non-Senior</v>
      </c>
    </row>
    <row r="3468" spans="1:25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7082</v>
      </c>
      <c r="J3468" t="s">
        <v>7084</v>
      </c>
      <c r="K3468" t="s">
        <v>46</v>
      </c>
      <c r="L3468" t="s">
        <v>7084</v>
      </c>
      <c r="M3468" t="s">
        <v>7084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216"/>
        <v>61-72 Months</v>
      </c>
      <c r="W3468">
        <f t="shared" si="217"/>
        <v>0</v>
      </c>
      <c r="X3468">
        <f t="shared" si="218"/>
        <v>0</v>
      </c>
      <c r="Y3468" t="str">
        <f t="shared" si="219"/>
        <v>Non-Senior</v>
      </c>
    </row>
    <row r="3469" spans="1:25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216"/>
        <v>0-12 Months</v>
      </c>
      <c r="W3469">
        <f t="shared" si="217"/>
        <v>1</v>
      </c>
      <c r="X3469">
        <f t="shared" si="218"/>
        <v>91.4</v>
      </c>
      <c r="Y3469" t="str">
        <f t="shared" si="219"/>
        <v>Senior Citizen</v>
      </c>
    </row>
    <row r="3470" spans="1:25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7082</v>
      </c>
      <c r="J3470" t="s">
        <v>7084</v>
      </c>
      <c r="K3470" t="s">
        <v>46</v>
      </c>
      <c r="L3470" t="s">
        <v>7084</v>
      </c>
      <c r="M3470" t="s">
        <v>7084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216"/>
        <v>0-12 Months</v>
      </c>
      <c r="W3470">
        <f t="shared" si="217"/>
        <v>0</v>
      </c>
      <c r="X3470">
        <f t="shared" si="218"/>
        <v>0</v>
      </c>
      <c r="Y3470" t="str">
        <f t="shared" si="219"/>
        <v>Non-Senior</v>
      </c>
    </row>
    <row r="3471" spans="1:25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216"/>
        <v>13-24 Months</v>
      </c>
      <c r="W3471">
        <f t="shared" si="217"/>
        <v>0</v>
      </c>
      <c r="X3471">
        <f t="shared" si="218"/>
        <v>0</v>
      </c>
      <c r="Y3471" t="str">
        <f t="shared" si="219"/>
        <v>Senior Citizen</v>
      </c>
    </row>
    <row r="3472" spans="1:25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216"/>
        <v>0-12 Months</v>
      </c>
      <c r="W3472">
        <f t="shared" si="217"/>
        <v>0</v>
      </c>
      <c r="X3472">
        <f t="shared" si="218"/>
        <v>0</v>
      </c>
      <c r="Y3472" t="str">
        <f t="shared" si="219"/>
        <v>Non-Senior</v>
      </c>
    </row>
    <row r="3473" spans="1:25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7082</v>
      </c>
      <c r="J3473" t="s">
        <v>7084</v>
      </c>
      <c r="K3473" t="s">
        <v>46</v>
      </c>
      <c r="L3473" t="s">
        <v>7084</v>
      </c>
      <c r="M3473" t="s">
        <v>7084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216"/>
        <v>25-36 Months</v>
      </c>
      <c r="W3473">
        <f t="shared" si="217"/>
        <v>0</v>
      </c>
      <c r="X3473">
        <f t="shared" si="218"/>
        <v>0</v>
      </c>
      <c r="Y3473" t="str">
        <f t="shared" si="219"/>
        <v>Non-Senior</v>
      </c>
    </row>
    <row r="3474" spans="1:25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216"/>
        <v>49-60 Months</v>
      </c>
      <c r="W3474">
        <f t="shared" si="217"/>
        <v>0</v>
      </c>
      <c r="X3474">
        <f t="shared" si="218"/>
        <v>0</v>
      </c>
      <c r="Y3474" t="str">
        <f t="shared" si="219"/>
        <v>Senior Citizen</v>
      </c>
    </row>
    <row r="3475" spans="1:25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216"/>
        <v>37-48 Months</v>
      </c>
      <c r="W3475">
        <f t="shared" si="217"/>
        <v>1</v>
      </c>
      <c r="X3475">
        <f t="shared" si="218"/>
        <v>106.15</v>
      </c>
      <c r="Y3475" t="str">
        <f t="shared" si="219"/>
        <v>Non-Senior</v>
      </c>
    </row>
    <row r="3476" spans="1:25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216"/>
        <v>61-72 Months</v>
      </c>
      <c r="W3476">
        <f t="shared" si="217"/>
        <v>0</v>
      </c>
      <c r="X3476">
        <f t="shared" si="218"/>
        <v>0</v>
      </c>
      <c r="Y3476" t="str">
        <f t="shared" si="219"/>
        <v>Senior Citizen</v>
      </c>
    </row>
    <row r="3477" spans="1:25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7082</v>
      </c>
      <c r="J3477" t="s">
        <v>7084</v>
      </c>
      <c r="K3477" t="s">
        <v>46</v>
      </c>
      <c r="L3477" t="s">
        <v>7084</v>
      </c>
      <c r="M3477" t="s">
        <v>7084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216"/>
        <v>0-12 Months</v>
      </c>
      <c r="W3477">
        <f t="shared" si="217"/>
        <v>0</v>
      </c>
      <c r="X3477">
        <f t="shared" si="218"/>
        <v>0</v>
      </c>
      <c r="Y3477" t="str">
        <f t="shared" si="219"/>
        <v>Non-Senior</v>
      </c>
    </row>
    <row r="3478" spans="1:25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216"/>
        <v>61-72 Months</v>
      </c>
      <c r="W3478">
        <f t="shared" si="217"/>
        <v>0</v>
      </c>
      <c r="X3478">
        <f t="shared" si="218"/>
        <v>0</v>
      </c>
      <c r="Y3478" t="str">
        <f t="shared" si="219"/>
        <v>Senior Citizen</v>
      </c>
    </row>
    <row r="3479" spans="1:25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216"/>
        <v>13-24 Months</v>
      </c>
      <c r="W3479">
        <f t="shared" si="217"/>
        <v>0</v>
      </c>
      <c r="X3479">
        <f t="shared" si="218"/>
        <v>0</v>
      </c>
      <c r="Y3479" t="str">
        <f t="shared" si="219"/>
        <v>Non-Senior</v>
      </c>
    </row>
    <row r="3480" spans="1:25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216"/>
        <v>13-24 Months</v>
      </c>
      <c r="W3480">
        <f t="shared" si="217"/>
        <v>0</v>
      </c>
      <c r="X3480">
        <f t="shared" si="218"/>
        <v>0</v>
      </c>
      <c r="Y3480" t="str">
        <f t="shared" si="219"/>
        <v>Non-Senior</v>
      </c>
    </row>
    <row r="3481" spans="1:25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216"/>
        <v>0-12 Months</v>
      </c>
      <c r="W3481">
        <f t="shared" si="217"/>
        <v>1</v>
      </c>
      <c r="X3481">
        <f t="shared" si="218"/>
        <v>45.3</v>
      </c>
      <c r="Y3481" t="str">
        <f t="shared" si="219"/>
        <v>Non-Senior</v>
      </c>
    </row>
    <row r="3482" spans="1:25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7082</v>
      </c>
      <c r="J3482" t="s">
        <v>7084</v>
      </c>
      <c r="K3482" t="s">
        <v>46</v>
      </c>
      <c r="L3482" t="s">
        <v>7084</v>
      </c>
      <c r="M3482" t="s">
        <v>7084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216"/>
        <v>61-72 Months</v>
      </c>
      <c r="W3482">
        <f t="shared" si="217"/>
        <v>0</v>
      </c>
      <c r="X3482">
        <f t="shared" si="218"/>
        <v>0</v>
      </c>
      <c r="Y3482" t="str">
        <f t="shared" si="219"/>
        <v>Non-Senior</v>
      </c>
    </row>
    <row r="3483" spans="1:25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216"/>
        <v>0-12 Months</v>
      </c>
      <c r="W3483">
        <f t="shared" si="217"/>
        <v>0</v>
      </c>
      <c r="X3483">
        <f t="shared" si="218"/>
        <v>0</v>
      </c>
      <c r="Y3483" t="str">
        <f t="shared" si="219"/>
        <v>Non-Senior</v>
      </c>
    </row>
    <row r="3484" spans="1:25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216"/>
        <v>13-24 Months</v>
      </c>
      <c r="W3484">
        <f t="shared" si="217"/>
        <v>0</v>
      </c>
      <c r="X3484">
        <f t="shared" si="218"/>
        <v>0</v>
      </c>
      <c r="Y3484" t="str">
        <f t="shared" si="219"/>
        <v>Non-Senior</v>
      </c>
    </row>
    <row r="3485" spans="1:25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216"/>
        <v>13-24 Months</v>
      </c>
      <c r="W3485">
        <f t="shared" si="217"/>
        <v>0</v>
      </c>
      <c r="X3485">
        <f t="shared" si="218"/>
        <v>0</v>
      </c>
      <c r="Y3485" t="str">
        <f t="shared" si="219"/>
        <v>Non-Senior</v>
      </c>
    </row>
    <row r="3486" spans="1:25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216"/>
        <v>37-48 Months</v>
      </c>
      <c r="W3486">
        <f t="shared" si="217"/>
        <v>0</v>
      </c>
      <c r="X3486">
        <f t="shared" si="218"/>
        <v>0</v>
      </c>
      <c r="Y3486" t="str">
        <f t="shared" si="219"/>
        <v>Senior Citizen</v>
      </c>
    </row>
    <row r="3487" spans="1:25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216"/>
        <v>0-12 Months</v>
      </c>
      <c r="W3487">
        <f t="shared" si="217"/>
        <v>1</v>
      </c>
      <c r="X3487">
        <f t="shared" si="218"/>
        <v>73.25</v>
      </c>
      <c r="Y3487" t="str">
        <f t="shared" si="219"/>
        <v>Non-Senior</v>
      </c>
    </row>
    <row r="3488" spans="1:25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216"/>
        <v>37-48 Months</v>
      </c>
      <c r="W3488">
        <f t="shared" si="217"/>
        <v>0</v>
      </c>
      <c r="X3488">
        <f t="shared" si="218"/>
        <v>0</v>
      </c>
      <c r="Y3488" t="str">
        <f t="shared" si="219"/>
        <v>Non-Senior</v>
      </c>
    </row>
    <row r="3489" spans="1:25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7082</v>
      </c>
      <c r="J3489" t="s">
        <v>7084</v>
      </c>
      <c r="K3489" t="s">
        <v>46</v>
      </c>
      <c r="L3489" t="s">
        <v>7084</v>
      </c>
      <c r="M3489" t="s">
        <v>7084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216"/>
        <v>49-60 Months</v>
      </c>
      <c r="W3489">
        <f t="shared" si="217"/>
        <v>0</v>
      </c>
      <c r="X3489">
        <f t="shared" si="218"/>
        <v>0</v>
      </c>
      <c r="Y3489" t="str">
        <f t="shared" si="219"/>
        <v>Non-Senior</v>
      </c>
    </row>
    <row r="3490" spans="1:25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216"/>
        <v>0-12 Months</v>
      </c>
      <c r="W3490">
        <f t="shared" si="217"/>
        <v>0</v>
      </c>
      <c r="X3490">
        <f t="shared" si="218"/>
        <v>0</v>
      </c>
      <c r="Y3490" t="str">
        <f t="shared" si="219"/>
        <v>Non-Senior</v>
      </c>
    </row>
    <row r="3491" spans="1:25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216"/>
        <v>25-36 Months</v>
      </c>
      <c r="W3491">
        <f t="shared" si="217"/>
        <v>0</v>
      </c>
      <c r="X3491">
        <f t="shared" si="218"/>
        <v>0</v>
      </c>
      <c r="Y3491" t="str">
        <f t="shared" si="219"/>
        <v>Non-Senior</v>
      </c>
    </row>
    <row r="3492" spans="1:25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216"/>
        <v>0-12 Months</v>
      </c>
      <c r="W3492">
        <f t="shared" si="217"/>
        <v>1</v>
      </c>
      <c r="X3492">
        <f t="shared" si="218"/>
        <v>51.05</v>
      </c>
      <c r="Y3492" t="str">
        <f t="shared" si="219"/>
        <v>Non-Senior</v>
      </c>
    </row>
    <row r="3493" spans="1:25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216"/>
        <v>37-48 Months</v>
      </c>
      <c r="W3493">
        <f t="shared" si="217"/>
        <v>0</v>
      </c>
      <c r="X3493">
        <f t="shared" si="218"/>
        <v>0</v>
      </c>
      <c r="Y3493" t="str">
        <f t="shared" si="219"/>
        <v>Non-Senior</v>
      </c>
    </row>
    <row r="3494" spans="1:25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216"/>
        <v>0-12 Months</v>
      </c>
      <c r="W3494">
        <f t="shared" si="217"/>
        <v>0</v>
      </c>
      <c r="X3494">
        <f t="shared" si="218"/>
        <v>0</v>
      </c>
      <c r="Y3494" t="str">
        <f t="shared" si="219"/>
        <v>Non-Senior</v>
      </c>
    </row>
    <row r="3495" spans="1:25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216"/>
        <v>0-12 Months</v>
      </c>
      <c r="W3495">
        <f t="shared" si="217"/>
        <v>0</v>
      </c>
      <c r="X3495">
        <f t="shared" si="218"/>
        <v>0</v>
      </c>
      <c r="Y3495" t="str">
        <f t="shared" si="219"/>
        <v>Non-Senior</v>
      </c>
    </row>
    <row r="3496" spans="1:25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216"/>
        <v>0-12 Months</v>
      </c>
      <c r="W3496">
        <f t="shared" si="217"/>
        <v>1</v>
      </c>
      <c r="X3496">
        <f t="shared" si="218"/>
        <v>85.35</v>
      </c>
      <c r="Y3496" t="str">
        <f t="shared" si="219"/>
        <v>Non-Senior</v>
      </c>
    </row>
    <row r="3497" spans="1:25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216"/>
        <v>0-12 Months</v>
      </c>
      <c r="W3497">
        <f t="shared" si="217"/>
        <v>1</v>
      </c>
      <c r="X3497">
        <f t="shared" si="218"/>
        <v>75.349999999999994</v>
      </c>
      <c r="Y3497" t="str">
        <f t="shared" si="219"/>
        <v>Senior Citizen</v>
      </c>
    </row>
    <row r="3498" spans="1:25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216"/>
        <v>25-36 Months</v>
      </c>
      <c r="W3498">
        <f t="shared" si="217"/>
        <v>0</v>
      </c>
      <c r="X3498">
        <f t="shared" si="218"/>
        <v>0</v>
      </c>
      <c r="Y3498" t="str">
        <f t="shared" si="219"/>
        <v>Non-Senior</v>
      </c>
    </row>
    <row r="3499" spans="1:25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216"/>
        <v>0-12 Months</v>
      </c>
      <c r="W3499">
        <f t="shared" si="217"/>
        <v>0</v>
      </c>
      <c r="X3499">
        <f t="shared" si="218"/>
        <v>0</v>
      </c>
      <c r="Y3499" t="str">
        <f t="shared" si="219"/>
        <v>Senior Citizen</v>
      </c>
    </row>
    <row r="3500" spans="1:25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216"/>
        <v>37-48 Months</v>
      </c>
      <c r="W3500">
        <f t="shared" si="217"/>
        <v>1</v>
      </c>
      <c r="X3500">
        <f t="shared" si="218"/>
        <v>75.2</v>
      </c>
      <c r="Y3500" t="str">
        <f t="shared" si="219"/>
        <v>Non-Senior</v>
      </c>
    </row>
    <row r="3501" spans="1:25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7082</v>
      </c>
      <c r="J3501" t="s">
        <v>7084</v>
      </c>
      <c r="K3501" t="s">
        <v>46</v>
      </c>
      <c r="L3501" t="s">
        <v>7084</v>
      </c>
      <c r="M3501" t="s">
        <v>7084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216"/>
        <v>0-12 Months</v>
      </c>
      <c r="W3501">
        <f t="shared" si="217"/>
        <v>1</v>
      </c>
      <c r="X3501">
        <f t="shared" si="218"/>
        <v>20.9</v>
      </c>
      <c r="Y3501" t="str">
        <f t="shared" si="219"/>
        <v>Non-Senior</v>
      </c>
    </row>
    <row r="3502" spans="1:25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216"/>
        <v>49-60 Months</v>
      </c>
      <c r="W3502">
        <f t="shared" si="217"/>
        <v>0</v>
      </c>
      <c r="X3502">
        <f t="shared" si="218"/>
        <v>0</v>
      </c>
      <c r="Y3502" t="str">
        <f t="shared" si="219"/>
        <v>Non-Senior</v>
      </c>
    </row>
    <row r="3503" spans="1:25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216"/>
        <v>49-60 Months</v>
      </c>
      <c r="W3503">
        <f t="shared" si="217"/>
        <v>0</v>
      </c>
      <c r="X3503">
        <f t="shared" si="218"/>
        <v>0</v>
      </c>
      <c r="Y3503" t="str">
        <f t="shared" si="219"/>
        <v>Non-Senior</v>
      </c>
    </row>
    <row r="3504" spans="1:25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216"/>
        <v>37-48 Months</v>
      </c>
      <c r="W3504">
        <f t="shared" si="217"/>
        <v>0</v>
      </c>
      <c r="X3504">
        <f t="shared" si="218"/>
        <v>0</v>
      </c>
      <c r="Y3504" t="str">
        <f t="shared" si="219"/>
        <v>Non-Senior</v>
      </c>
    </row>
    <row r="3505" spans="1:25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216"/>
        <v>61-72 Months</v>
      </c>
      <c r="W3505">
        <f t="shared" si="217"/>
        <v>0</v>
      </c>
      <c r="X3505">
        <f t="shared" si="218"/>
        <v>0</v>
      </c>
      <c r="Y3505" t="str">
        <f t="shared" si="219"/>
        <v>Non-Senior</v>
      </c>
    </row>
    <row r="3506" spans="1:25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7082</v>
      </c>
      <c r="J3506" t="s">
        <v>7084</v>
      </c>
      <c r="K3506" t="s">
        <v>46</v>
      </c>
      <c r="L3506" t="s">
        <v>7084</v>
      </c>
      <c r="M3506" t="s">
        <v>7084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216"/>
        <v>61-72 Months</v>
      </c>
      <c r="W3506">
        <f t="shared" si="217"/>
        <v>0</v>
      </c>
      <c r="X3506">
        <f t="shared" si="218"/>
        <v>0</v>
      </c>
      <c r="Y3506" t="str">
        <f t="shared" si="219"/>
        <v>Non-Senior</v>
      </c>
    </row>
    <row r="3507" spans="1:25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216"/>
        <v>0-12 Months</v>
      </c>
      <c r="W3507">
        <f t="shared" si="217"/>
        <v>0</v>
      </c>
      <c r="X3507">
        <f t="shared" si="218"/>
        <v>0</v>
      </c>
      <c r="Y3507" t="str">
        <f t="shared" si="219"/>
        <v>Non-Senior</v>
      </c>
    </row>
    <row r="3508" spans="1:25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216"/>
        <v>13-24 Months</v>
      </c>
      <c r="W3508">
        <f t="shared" si="217"/>
        <v>0</v>
      </c>
      <c r="X3508">
        <f t="shared" si="218"/>
        <v>0</v>
      </c>
      <c r="Y3508" t="str">
        <f t="shared" si="219"/>
        <v>Non-Senior</v>
      </c>
    </row>
    <row r="3509" spans="1:25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7082</v>
      </c>
      <c r="J3509" t="s">
        <v>7084</v>
      </c>
      <c r="K3509" t="s">
        <v>46</v>
      </c>
      <c r="L3509" t="s">
        <v>7084</v>
      </c>
      <c r="M3509" t="s">
        <v>7084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216"/>
        <v>0-12 Months</v>
      </c>
      <c r="W3509">
        <f t="shared" si="217"/>
        <v>0</v>
      </c>
      <c r="X3509">
        <f t="shared" si="218"/>
        <v>0</v>
      </c>
      <c r="Y3509" t="str">
        <f t="shared" si="219"/>
        <v>Non-Senior</v>
      </c>
    </row>
    <row r="3510" spans="1:25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216"/>
        <v>61-72 Months</v>
      </c>
      <c r="W3510">
        <f t="shared" si="217"/>
        <v>0</v>
      </c>
      <c r="X3510">
        <f t="shared" si="218"/>
        <v>0</v>
      </c>
      <c r="Y3510" t="str">
        <f t="shared" si="219"/>
        <v>Non-Senior</v>
      </c>
    </row>
    <row r="3511" spans="1:25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216"/>
        <v>0-12 Months</v>
      </c>
      <c r="W3511">
        <f t="shared" si="217"/>
        <v>0</v>
      </c>
      <c r="X3511">
        <f t="shared" si="218"/>
        <v>0</v>
      </c>
      <c r="Y3511" t="str">
        <f t="shared" si="219"/>
        <v>Non-Senior</v>
      </c>
    </row>
    <row r="3512" spans="1:25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216"/>
        <v>0-12 Months</v>
      </c>
      <c r="W3512">
        <f t="shared" si="217"/>
        <v>0</v>
      </c>
      <c r="X3512">
        <f t="shared" si="218"/>
        <v>0</v>
      </c>
      <c r="Y3512" t="str">
        <f t="shared" si="219"/>
        <v>Non-Senior</v>
      </c>
    </row>
    <row r="3513" spans="1:25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7082</v>
      </c>
      <c r="J3513" t="s">
        <v>7084</v>
      </c>
      <c r="K3513" t="s">
        <v>46</v>
      </c>
      <c r="L3513" t="s">
        <v>7084</v>
      </c>
      <c r="M3513" t="s">
        <v>7084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216"/>
        <v>49-60 Months</v>
      </c>
      <c r="W3513">
        <f t="shared" si="217"/>
        <v>0</v>
      </c>
      <c r="X3513">
        <f t="shared" si="218"/>
        <v>0</v>
      </c>
      <c r="Y3513" t="str">
        <f t="shared" si="219"/>
        <v>Non-Senior</v>
      </c>
    </row>
    <row r="3514" spans="1:25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7082</v>
      </c>
      <c r="J3514" t="s">
        <v>7084</v>
      </c>
      <c r="K3514" t="s">
        <v>46</v>
      </c>
      <c r="L3514" t="s">
        <v>7084</v>
      </c>
      <c r="M3514" t="s">
        <v>7084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216"/>
        <v>49-60 Months</v>
      </c>
      <c r="W3514">
        <f t="shared" si="217"/>
        <v>0</v>
      </c>
      <c r="X3514">
        <f t="shared" si="218"/>
        <v>0</v>
      </c>
      <c r="Y3514" t="str">
        <f t="shared" si="219"/>
        <v>Senior Citizen</v>
      </c>
    </row>
    <row r="3515" spans="1:25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7082</v>
      </c>
      <c r="J3515" t="s">
        <v>7084</v>
      </c>
      <c r="K3515" t="s">
        <v>46</v>
      </c>
      <c r="L3515" t="s">
        <v>7084</v>
      </c>
      <c r="M3515" t="s">
        <v>7084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216"/>
        <v>0-12 Months</v>
      </c>
      <c r="W3515">
        <f t="shared" si="217"/>
        <v>0</v>
      </c>
      <c r="X3515">
        <f t="shared" si="218"/>
        <v>0</v>
      </c>
      <c r="Y3515" t="str">
        <f t="shared" si="219"/>
        <v>Non-Senior</v>
      </c>
    </row>
    <row r="3516" spans="1:25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216"/>
        <v>49-60 Months</v>
      </c>
      <c r="W3516">
        <f t="shared" si="217"/>
        <v>0</v>
      </c>
      <c r="X3516">
        <f t="shared" si="218"/>
        <v>0</v>
      </c>
      <c r="Y3516" t="str">
        <f t="shared" si="219"/>
        <v>Non-Senior</v>
      </c>
    </row>
    <row r="3517" spans="1:25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216"/>
        <v>13-24 Months</v>
      </c>
      <c r="W3517">
        <f t="shared" si="217"/>
        <v>0</v>
      </c>
      <c r="X3517">
        <f t="shared" si="218"/>
        <v>0</v>
      </c>
      <c r="Y3517" t="str">
        <f t="shared" si="219"/>
        <v>Non-Senior</v>
      </c>
    </row>
    <row r="3518" spans="1:25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216"/>
        <v>0-12 Months</v>
      </c>
      <c r="W3518">
        <f t="shared" si="217"/>
        <v>1</v>
      </c>
      <c r="X3518">
        <f t="shared" si="218"/>
        <v>43.3</v>
      </c>
      <c r="Y3518" t="str">
        <f t="shared" si="219"/>
        <v>Non-Senior</v>
      </c>
    </row>
    <row r="3519" spans="1:25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216"/>
        <v>61-72 Months</v>
      </c>
      <c r="W3519">
        <f t="shared" si="217"/>
        <v>1</v>
      </c>
      <c r="X3519">
        <f t="shared" si="218"/>
        <v>109.5</v>
      </c>
      <c r="Y3519" t="str">
        <f t="shared" si="219"/>
        <v>Non-Senior</v>
      </c>
    </row>
    <row r="3520" spans="1:25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7082</v>
      </c>
      <c r="J3520" t="s">
        <v>7084</v>
      </c>
      <c r="K3520" t="s">
        <v>46</v>
      </c>
      <c r="L3520" t="s">
        <v>7084</v>
      </c>
      <c r="M3520" t="s">
        <v>7084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216"/>
        <v>0-12 Months</v>
      </c>
      <c r="W3520">
        <f t="shared" si="217"/>
        <v>0</v>
      </c>
      <c r="X3520">
        <f t="shared" si="218"/>
        <v>0</v>
      </c>
      <c r="Y3520" t="str">
        <f t="shared" si="219"/>
        <v>Non-Senior</v>
      </c>
    </row>
    <row r="3521" spans="1:25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216"/>
        <v>37-48 Months</v>
      </c>
      <c r="W3521">
        <f t="shared" si="217"/>
        <v>0</v>
      </c>
      <c r="X3521">
        <f t="shared" si="218"/>
        <v>0</v>
      </c>
      <c r="Y3521" t="str">
        <f t="shared" si="219"/>
        <v>Senior Citizen</v>
      </c>
    </row>
    <row r="3522" spans="1:25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7082</v>
      </c>
      <c r="J3522" t="s">
        <v>7084</v>
      </c>
      <c r="K3522" t="s">
        <v>46</v>
      </c>
      <c r="L3522" t="s">
        <v>7084</v>
      </c>
      <c r="M3522" t="s">
        <v>7084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si="216"/>
        <v>13-24 Months</v>
      </c>
      <c r="W3522">
        <f t="shared" si="217"/>
        <v>0</v>
      </c>
      <c r="X3522">
        <f t="shared" si="218"/>
        <v>0</v>
      </c>
      <c r="Y3522" t="str">
        <f t="shared" si="219"/>
        <v>Non-Senior</v>
      </c>
    </row>
    <row r="3523" spans="1:25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ref="V3523:V3586" si="220">IF(F3523&lt;=12,"0-12 Months",IF(F3523&lt;=24,"13-24 Months",IF(F3523&lt;=36,"25-36 Months",IF(F3523&lt;=48,"37-48 Months",IF(F3523&lt;=60,"49-60 Months","61-72 Months")))))</f>
        <v>49-60 Months</v>
      </c>
      <c r="W3523">
        <f t="shared" ref="W3523:W3586" si="221">IF(U3523="Yes",1,0)</f>
        <v>0</v>
      </c>
      <c r="X3523">
        <f t="shared" ref="X3523:X3586" si="222">IF(U3523="Yes",S3523,0)</f>
        <v>0</v>
      </c>
      <c r="Y3523" t="str">
        <f t="shared" ref="Y3523:Y3586" si="223">IF(C3523=1,"Senior Citizen","Non-Senior")</f>
        <v>Non-Senior</v>
      </c>
    </row>
    <row r="3524" spans="1:25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7082</v>
      </c>
      <c r="J3524" t="s">
        <v>7084</v>
      </c>
      <c r="K3524" t="s">
        <v>46</v>
      </c>
      <c r="L3524" t="s">
        <v>7084</v>
      </c>
      <c r="M3524" t="s">
        <v>7084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220"/>
        <v>37-48 Months</v>
      </c>
      <c r="W3524">
        <f t="shared" si="221"/>
        <v>0</v>
      </c>
      <c r="X3524">
        <f t="shared" si="222"/>
        <v>0</v>
      </c>
      <c r="Y3524" t="str">
        <f t="shared" si="223"/>
        <v>Non-Senior</v>
      </c>
    </row>
    <row r="3525" spans="1:25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220"/>
        <v>61-72 Months</v>
      </c>
      <c r="W3525">
        <f t="shared" si="221"/>
        <v>0</v>
      </c>
      <c r="X3525">
        <f t="shared" si="222"/>
        <v>0</v>
      </c>
      <c r="Y3525" t="str">
        <f t="shared" si="223"/>
        <v>Non-Senior</v>
      </c>
    </row>
    <row r="3526" spans="1:25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220"/>
        <v>0-12 Months</v>
      </c>
      <c r="W3526">
        <f t="shared" si="221"/>
        <v>1</v>
      </c>
      <c r="X3526">
        <f t="shared" si="222"/>
        <v>84.8</v>
      </c>
      <c r="Y3526" t="str">
        <f t="shared" si="223"/>
        <v>Senior Citizen</v>
      </c>
    </row>
    <row r="3527" spans="1:25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220"/>
        <v>49-60 Months</v>
      </c>
      <c r="W3527">
        <f t="shared" si="221"/>
        <v>1</v>
      </c>
      <c r="X3527">
        <f t="shared" si="222"/>
        <v>95.05</v>
      </c>
      <c r="Y3527" t="str">
        <f t="shared" si="223"/>
        <v>Senior Citizen</v>
      </c>
    </row>
    <row r="3528" spans="1:25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220"/>
        <v>0-12 Months</v>
      </c>
      <c r="W3528">
        <f t="shared" si="221"/>
        <v>1</v>
      </c>
      <c r="X3528">
        <f t="shared" si="222"/>
        <v>50.35</v>
      </c>
      <c r="Y3528" t="str">
        <f t="shared" si="223"/>
        <v>Senior Citizen</v>
      </c>
    </row>
    <row r="3529" spans="1:25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220"/>
        <v>0-12 Months</v>
      </c>
      <c r="W3529">
        <f t="shared" si="221"/>
        <v>1</v>
      </c>
      <c r="X3529">
        <f t="shared" si="222"/>
        <v>74.599999999999994</v>
      </c>
      <c r="Y3529" t="str">
        <f t="shared" si="223"/>
        <v>Non-Senior</v>
      </c>
    </row>
    <row r="3530" spans="1:25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7082</v>
      </c>
      <c r="J3530" t="s">
        <v>7084</v>
      </c>
      <c r="K3530" t="s">
        <v>46</v>
      </c>
      <c r="L3530" t="s">
        <v>7084</v>
      </c>
      <c r="M3530" t="s">
        <v>7084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220"/>
        <v>13-24 Months</v>
      </c>
      <c r="W3530">
        <f t="shared" si="221"/>
        <v>1</v>
      </c>
      <c r="X3530">
        <f t="shared" si="222"/>
        <v>19.7</v>
      </c>
      <c r="Y3530" t="str">
        <f t="shared" si="223"/>
        <v>Non-Senior</v>
      </c>
    </row>
    <row r="3531" spans="1:25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220"/>
        <v>0-12 Months</v>
      </c>
      <c r="W3531">
        <f t="shared" si="221"/>
        <v>0</v>
      </c>
      <c r="X3531">
        <f t="shared" si="222"/>
        <v>0</v>
      </c>
      <c r="Y3531" t="str">
        <f t="shared" si="223"/>
        <v>Senior Citizen</v>
      </c>
    </row>
    <row r="3532" spans="1:25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220"/>
        <v>13-24 Months</v>
      </c>
      <c r="W3532">
        <f t="shared" si="221"/>
        <v>0</v>
      </c>
      <c r="X3532">
        <f t="shared" si="222"/>
        <v>0</v>
      </c>
      <c r="Y3532" t="str">
        <f t="shared" si="223"/>
        <v>Non-Senior</v>
      </c>
    </row>
    <row r="3533" spans="1:25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7082</v>
      </c>
      <c r="J3533" t="s">
        <v>7084</v>
      </c>
      <c r="K3533" t="s">
        <v>46</v>
      </c>
      <c r="L3533" t="s">
        <v>7084</v>
      </c>
      <c r="M3533" t="s">
        <v>7084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220"/>
        <v>13-24 Months</v>
      </c>
      <c r="W3533">
        <f t="shared" si="221"/>
        <v>0</v>
      </c>
      <c r="X3533">
        <f t="shared" si="222"/>
        <v>0</v>
      </c>
      <c r="Y3533" t="str">
        <f t="shared" si="223"/>
        <v>Non-Senior</v>
      </c>
    </row>
    <row r="3534" spans="1:25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220"/>
        <v>13-24 Months</v>
      </c>
      <c r="W3534">
        <f t="shared" si="221"/>
        <v>1</v>
      </c>
      <c r="X3534">
        <f t="shared" si="222"/>
        <v>59.45</v>
      </c>
      <c r="Y3534" t="str">
        <f t="shared" si="223"/>
        <v>Non-Senior</v>
      </c>
    </row>
    <row r="3535" spans="1:25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7082</v>
      </c>
      <c r="J3535" t="s">
        <v>7084</v>
      </c>
      <c r="K3535" t="s">
        <v>46</v>
      </c>
      <c r="L3535" t="s">
        <v>7084</v>
      </c>
      <c r="M3535" t="s">
        <v>7084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220"/>
        <v>0-12 Months</v>
      </c>
      <c r="W3535">
        <f t="shared" si="221"/>
        <v>0</v>
      </c>
      <c r="X3535">
        <f t="shared" si="222"/>
        <v>0</v>
      </c>
      <c r="Y3535" t="str">
        <f t="shared" si="223"/>
        <v>Non-Senior</v>
      </c>
    </row>
    <row r="3536" spans="1:25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220"/>
        <v>37-48 Months</v>
      </c>
      <c r="W3536">
        <f t="shared" si="221"/>
        <v>1</v>
      </c>
      <c r="X3536">
        <f t="shared" si="222"/>
        <v>105.2</v>
      </c>
      <c r="Y3536" t="str">
        <f t="shared" si="223"/>
        <v>Non-Senior</v>
      </c>
    </row>
    <row r="3537" spans="1:25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220"/>
        <v>61-72 Months</v>
      </c>
      <c r="W3537">
        <f t="shared" si="221"/>
        <v>0</v>
      </c>
      <c r="X3537">
        <f t="shared" si="222"/>
        <v>0</v>
      </c>
      <c r="Y3537" t="str">
        <f t="shared" si="223"/>
        <v>Non-Senior</v>
      </c>
    </row>
    <row r="3538" spans="1:25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220"/>
        <v>0-12 Months</v>
      </c>
      <c r="W3538">
        <f t="shared" si="221"/>
        <v>0</v>
      </c>
      <c r="X3538">
        <f t="shared" si="222"/>
        <v>0</v>
      </c>
      <c r="Y3538" t="str">
        <f t="shared" si="223"/>
        <v>Non-Senior</v>
      </c>
    </row>
    <row r="3539" spans="1:25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220"/>
        <v>25-36 Months</v>
      </c>
      <c r="W3539">
        <f t="shared" si="221"/>
        <v>0</v>
      </c>
      <c r="X3539">
        <f t="shared" si="222"/>
        <v>0</v>
      </c>
      <c r="Y3539" t="str">
        <f t="shared" si="223"/>
        <v>Non-Senior</v>
      </c>
    </row>
    <row r="3540" spans="1:25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220"/>
        <v>61-72 Months</v>
      </c>
      <c r="W3540">
        <f t="shared" si="221"/>
        <v>0</v>
      </c>
      <c r="X3540">
        <f t="shared" si="222"/>
        <v>0</v>
      </c>
      <c r="Y3540" t="str">
        <f t="shared" si="223"/>
        <v>Non-Senior</v>
      </c>
    </row>
    <row r="3541" spans="1:25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220"/>
        <v>0-12 Months</v>
      </c>
      <c r="W3541">
        <f t="shared" si="221"/>
        <v>1</v>
      </c>
      <c r="X3541">
        <f t="shared" si="222"/>
        <v>45.15</v>
      </c>
      <c r="Y3541" t="str">
        <f t="shared" si="223"/>
        <v>Non-Senior</v>
      </c>
    </row>
    <row r="3542" spans="1:25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220"/>
        <v>61-72 Months</v>
      </c>
      <c r="W3542">
        <f t="shared" si="221"/>
        <v>0</v>
      </c>
      <c r="X3542">
        <f t="shared" si="222"/>
        <v>0</v>
      </c>
      <c r="Y3542" t="str">
        <f t="shared" si="223"/>
        <v>Non-Senior</v>
      </c>
    </row>
    <row r="3543" spans="1:25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220"/>
        <v>49-60 Months</v>
      </c>
      <c r="W3543">
        <f t="shared" si="221"/>
        <v>0</v>
      </c>
      <c r="X3543">
        <f t="shared" si="222"/>
        <v>0</v>
      </c>
      <c r="Y3543" t="str">
        <f t="shared" si="223"/>
        <v>Non-Senior</v>
      </c>
    </row>
    <row r="3544" spans="1:25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220"/>
        <v>25-36 Months</v>
      </c>
      <c r="W3544">
        <f t="shared" si="221"/>
        <v>0</v>
      </c>
      <c r="X3544">
        <f t="shared" si="222"/>
        <v>0</v>
      </c>
      <c r="Y3544" t="str">
        <f t="shared" si="223"/>
        <v>Non-Senior</v>
      </c>
    </row>
    <row r="3545" spans="1:25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220"/>
        <v>61-72 Months</v>
      </c>
      <c r="W3545">
        <f t="shared" si="221"/>
        <v>0</v>
      </c>
      <c r="X3545">
        <f t="shared" si="222"/>
        <v>0</v>
      </c>
      <c r="Y3545" t="str">
        <f t="shared" si="223"/>
        <v>Non-Senior</v>
      </c>
    </row>
    <row r="3546" spans="1:25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220"/>
        <v>25-36 Months</v>
      </c>
      <c r="W3546">
        <f t="shared" si="221"/>
        <v>1</v>
      </c>
      <c r="X3546">
        <f t="shared" si="222"/>
        <v>93.8</v>
      </c>
      <c r="Y3546" t="str">
        <f t="shared" si="223"/>
        <v>Non-Senior</v>
      </c>
    </row>
    <row r="3547" spans="1:25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220"/>
        <v>49-60 Months</v>
      </c>
      <c r="W3547">
        <f t="shared" si="221"/>
        <v>0</v>
      </c>
      <c r="X3547">
        <f t="shared" si="222"/>
        <v>0</v>
      </c>
      <c r="Y3547" t="str">
        <f t="shared" si="223"/>
        <v>Non-Senior</v>
      </c>
    </row>
    <row r="3548" spans="1:25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220"/>
        <v>61-72 Months</v>
      </c>
      <c r="W3548">
        <f t="shared" si="221"/>
        <v>0</v>
      </c>
      <c r="X3548">
        <f t="shared" si="222"/>
        <v>0</v>
      </c>
      <c r="Y3548" t="str">
        <f t="shared" si="223"/>
        <v>Non-Senior</v>
      </c>
    </row>
    <row r="3549" spans="1:25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220"/>
        <v>61-72 Months</v>
      </c>
      <c r="W3549">
        <f t="shared" si="221"/>
        <v>0</v>
      </c>
      <c r="X3549">
        <f t="shared" si="222"/>
        <v>0</v>
      </c>
      <c r="Y3549" t="str">
        <f t="shared" si="223"/>
        <v>Senior Citizen</v>
      </c>
    </row>
    <row r="3550" spans="1:25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220"/>
        <v>61-72 Months</v>
      </c>
      <c r="W3550">
        <f t="shared" si="221"/>
        <v>0</v>
      </c>
      <c r="X3550">
        <f t="shared" si="222"/>
        <v>0</v>
      </c>
      <c r="Y3550" t="str">
        <f t="shared" si="223"/>
        <v>Non-Senior</v>
      </c>
    </row>
    <row r="3551" spans="1:25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220"/>
        <v>61-72 Months</v>
      </c>
      <c r="W3551">
        <f t="shared" si="221"/>
        <v>0</v>
      </c>
      <c r="X3551">
        <f t="shared" si="222"/>
        <v>0</v>
      </c>
      <c r="Y3551" t="str">
        <f t="shared" si="223"/>
        <v>Non-Senior</v>
      </c>
    </row>
    <row r="3552" spans="1:25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220"/>
        <v>25-36 Months</v>
      </c>
      <c r="W3552">
        <f t="shared" si="221"/>
        <v>1</v>
      </c>
      <c r="X3552">
        <f t="shared" si="222"/>
        <v>96.2</v>
      </c>
      <c r="Y3552" t="str">
        <f t="shared" si="223"/>
        <v>Non-Senior</v>
      </c>
    </row>
    <row r="3553" spans="1:25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220"/>
        <v>0-12 Months</v>
      </c>
      <c r="W3553">
        <f t="shared" si="221"/>
        <v>1</v>
      </c>
      <c r="X3553">
        <f t="shared" si="222"/>
        <v>79.599999999999994</v>
      </c>
      <c r="Y3553" t="str">
        <f t="shared" si="223"/>
        <v>Non-Senior</v>
      </c>
    </row>
    <row r="3554" spans="1:25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220"/>
        <v>61-72 Months</v>
      </c>
      <c r="W3554">
        <f t="shared" si="221"/>
        <v>0</v>
      </c>
      <c r="X3554">
        <f t="shared" si="222"/>
        <v>0</v>
      </c>
      <c r="Y3554" t="str">
        <f t="shared" si="223"/>
        <v>Non-Senior</v>
      </c>
    </row>
    <row r="3555" spans="1:25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7082</v>
      </c>
      <c r="J3555" t="s">
        <v>7084</v>
      </c>
      <c r="K3555" t="s">
        <v>46</v>
      </c>
      <c r="L3555" t="s">
        <v>7084</v>
      </c>
      <c r="M3555" t="s">
        <v>7084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220"/>
        <v>61-72 Months</v>
      </c>
      <c r="W3555">
        <f t="shared" si="221"/>
        <v>0</v>
      </c>
      <c r="X3555">
        <f t="shared" si="222"/>
        <v>0</v>
      </c>
      <c r="Y3555" t="str">
        <f t="shared" si="223"/>
        <v>Non-Senior</v>
      </c>
    </row>
    <row r="3556" spans="1:25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220"/>
        <v>0-12 Months</v>
      </c>
      <c r="W3556">
        <f t="shared" si="221"/>
        <v>0</v>
      </c>
      <c r="X3556">
        <f t="shared" si="222"/>
        <v>0</v>
      </c>
      <c r="Y3556" t="str">
        <f t="shared" si="223"/>
        <v>Non-Senior</v>
      </c>
    </row>
    <row r="3557" spans="1:25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220"/>
        <v>13-24 Months</v>
      </c>
      <c r="W3557">
        <f t="shared" si="221"/>
        <v>1</v>
      </c>
      <c r="X3557">
        <f t="shared" si="222"/>
        <v>85.25</v>
      </c>
      <c r="Y3557" t="str">
        <f t="shared" si="223"/>
        <v>Non-Senior</v>
      </c>
    </row>
    <row r="3558" spans="1:25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7082</v>
      </c>
      <c r="J3558" t="s">
        <v>7084</v>
      </c>
      <c r="K3558" t="s">
        <v>46</v>
      </c>
      <c r="L3558" t="s">
        <v>7084</v>
      </c>
      <c r="M3558" t="s">
        <v>7084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220"/>
        <v>0-12 Months</v>
      </c>
      <c r="W3558">
        <f t="shared" si="221"/>
        <v>0</v>
      </c>
      <c r="X3558">
        <f t="shared" si="222"/>
        <v>0</v>
      </c>
      <c r="Y3558" t="str">
        <f t="shared" si="223"/>
        <v>Non-Senior</v>
      </c>
    </row>
    <row r="3559" spans="1:25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220"/>
        <v>25-36 Months</v>
      </c>
      <c r="W3559">
        <f t="shared" si="221"/>
        <v>0</v>
      </c>
      <c r="X3559">
        <f t="shared" si="222"/>
        <v>0</v>
      </c>
      <c r="Y3559" t="str">
        <f t="shared" si="223"/>
        <v>Senior Citizen</v>
      </c>
    </row>
    <row r="3560" spans="1:25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220"/>
        <v>25-36 Months</v>
      </c>
      <c r="W3560">
        <f t="shared" si="221"/>
        <v>0</v>
      </c>
      <c r="X3560">
        <f t="shared" si="222"/>
        <v>0</v>
      </c>
      <c r="Y3560" t="str">
        <f t="shared" si="223"/>
        <v>Non-Senior</v>
      </c>
    </row>
    <row r="3561" spans="1:25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7082</v>
      </c>
      <c r="J3561" t="s">
        <v>7084</v>
      </c>
      <c r="K3561" t="s">
        <v>46</v>
      </c>
      <c r="L3561" t="s">
        <v>7084</v>
      </c>
      <c r="M3561" t="s">
        <v>7084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220"/>
        <v>25-36 Months</v>
      </c>
      <c r="W3561">
        <f t="shared" si="221"/>
        <v>0</v>
      </c>
      <c r="X3561">
        <f t="shared" si="222"/>
        <v>0</v>
      </c>
      <c r="Y3561" t="str">
        <f t="shared" si="223"/>
        <v>Non-Senior</v>
      </c>
    </row>
    <row r="3562" spans="1:25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220"/>
        <v>0-12 Months</v>
      </c>
      <c r="W3562">
        <f t="shared" si="221"/>
        <v>0</v>
      </c>
      <c r="X3562">
        <f t="shared" si="222"/>
        <v>0</v>
      </c>
      <c r="Y3562" t="str">
        <f t="shared" si="223"/>
        <v>Non-Senior</v>
      </c>
    </row>
    <row r="3563" spans="1:25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220"/>
        <v>25-36 Months</v>
      </c>
      <c r="W3563">
        <f t="shared" si="221"/>
        <v>1</v>
      </c>
      <c r="X3563">
        <f t="shared" si="222"/>
        <v>80.5</v>
      </c>
      <c r="Y3563" t="str">
        <f t="shared" si="223"/>
        <v>Non-Senior</v>
      </c>
    </row>
    <row r="3564" spans="1:25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220"/>
        <v>0-12 Months</v>
      </c>
      <c r="W3564">
        <f t="shared" si="221"/>
        <v>1</v>
      </c>
      <c r="X3564">
        <f t="shared" si="222"/>
        <v>89.8</v>
      </c>
      <c r="Y3564" t="str">
        <f t="shared" si="223"/>
        <v>Senior Citizen</v>
      </c>
    </row>
    <row r="3565" spans="1:25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220"/>
        <v>25-36 Months</v>
      </c>
      <c r="W3565">
        <f t="shared" si="221"/>
        <v>0</v>
      </c>
      <c r="X3565">
        <f t="shared" si="222"/>
        <v>0</v>
      </c>
      <c r="Y3565" t="str">
        <f t="shared" si="223"/>
        <v>Senior Citizen</v>
      </c>
    </row>
    <row r="3566" spans="1:25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220"/>
        <v>61-72 Months</v>
      </c>
      <c r="W3566">
        <f t="shared" si="221"/>
        <v>0</v>
      </c>
      <c r="X3566">
        <f t="shared" si="222"/>
        <v>0</v>
      </c>
      <c r="Y3566" t="str">
        <f t="shared" si="223"/>
        <v>Non-Senior</v>
      </c>
    </row>
    <row r="3567" spans="1:25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220"/>
        <v>0-12 Months</v>
      </c>
      <c r="W3567">
        <f t="shared" si="221"/>
        <v>1</v>
      </c>
      <c r="X3567">
        <f t="shared" si="222"/>
        <v>50.75</v>
      </c>
      <c r="Y3567" t="str">
        <f t="shared" si="223"/>
        <v>Non-Senior</v>
      </c>
    </row>
    <row r="3568" spans="1:25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220"/>
        <v>49-60 Months</v>
      </c>
      <c r="W3568">
        <f t="shared" si="221"/>
        <v>0</v>
      </c>
      <c r="X3568">
        <f t="shared" si="222"/>
        <v>0</v>
      </c>
      <c r="Y3568" t="str">
        <f t="shared" si="223"/>
        <v>Non-Senior</v>
      </c>
    </row>
    <row r="3569" spans="1:25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220"/>
        <v>13-24 Months</v>
      </c>
      <c r="W3569">
        <f t="shared" si="221"/>
        <v>1</v>
      </c>
      <c r="X3569">
        <f t="shared" si="222"/>
        <v>89.65</v>
      </c>
      <c r="Y3569" t="str">
        <f t="shared" si="223"/>
        <v>Non-Senior</v>
      </c>
    </row>
    <row r="3570" spans="1:25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220"/>
        <v>13-24 Months</v>
      </c>
      <c r="W3570">
        <f t="shared" si="221"/>
        <v>0</v>
      </c>
      <c r="X3570">
        <f t="shared" si="222"/>
        <v>0</v>
      </c>
      <c r="Y3570" t="str">
        <f t="shared" si="223"/>
        <v>Non-Senior</v>
      </c>
    </row>
    <row r="3571" spans="1:25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7082</v>
      </c>
      <c r="J3571" t="s">
        <v>7084</v>
      </c>
      <c r="K3571" t="s">
        <v>46</v>
      </c>
      <c r="L3571" t="s">
        <v>7084</v>
      </c>
      <c r="M3571" t="s">
        <v>7084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220"/>
        <v>13-24 Months</v>
      </c>
      <c r="W3571">
        <f t="shared" si="221"/>
        <v>0</v>
      </c>
      <c r="X3571">
        <f t="shared" si="222"/>
        <v>0</v>
      </c>
      <c r="Y3571" t="str">
        <f t="shared" si="223"/>
        <v>Non-Senior</v>
      </c>
    </row>
    <row r="3572" spans="1:25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7082</v>
      </c>
      <c r="J3572" t="s">
        <v>7084</v>
      </c>
      <c r="K3572" t="s">
        <v>46</v>
      </c>
      <c r="L3572" t="s">
        <v>7084</v>
      </c>
      <c r="M3572" t="s">
        <v>7084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220"/>
        <v>13-24 Months</v>
      </c>
      <c r="W3572">
        <f t="shared" si="221"/>
        <v>0</v>
      </c>
      <c r="X3572">
        <f t="shared" si="222"/>
        <v>0</v>
      </c>
      <c r="Y3572" t="str">
        <f t="shared" si="223"/>
        <v>Non-Senior</v>
      </c>
    </row>
    <row r="3573" spans="1:25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220"/>
        <v>25-36 Months</v>
      </c>
      <c r="W3573">
        <f t="shared" si="221"/>
        <v>0</v>
      </c>
      <c r="X3573">
        <f t="shared" si="222"/>
        <v>0</v>
      </c>
      <c r="Y3573" t="str">
        <f t="shared" si="223"/>
        <v>Non-Senior</v>
      </c>
    </row>
    <row r="3574" spans="1:25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220"/>
        <v>25-36 Months</v>
      </c>
      <c r="W3574">
        <f t="shared" si="221"/>
        <v>0</v>
      </c>
      <c r="X3574">
        <f t="shared" si="222"/>
        <v>0</v>
      </c>
      <c r="Y3574" t="str">
        <f t="shared" si="223"/>
        <v>Senior Citizen</v>
      </c>
    </row>
    <row r="3575" spans="1:25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7082</v>
      </c>
      <c r="J3575" t="s">
        <v>7084</v>
      </c>
      <c r="K3575" t="s">
        <v>46</v>
      </c>
      <c r="L3575" t="s">
        <v>7084</v>
      </c>
      <c r="M3575" t="s">
        <v>7084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220"/>
        <v>25-36 Months</v>
      </c>
      <c r="W3575">
        <f t="shared" si="221"/>
        <v>0</v>
      </c>
      <c r="X3575">
        <f t="shared" si="222"/>
        <v>0</v>
      </c>
      <c r="Y3575" t="str">
        <f t="shared" si="223"/>
        <v>Non-Senior</v>
      </c>
    </row>
    <row r="3576" spans="1:25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7082</v>
      </c>
      <c r="J3576" t="s">
        <v>7084</v>
      </c>
      <c r="K3576" t="s">
        <v>46</v>
      </c>
      <c r="L3576" t="s">
        <v>7084</v>
      </c>
      <c r="M3576" t="s">
        <v>7084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220"/>
        <v>0-12 Months</v>
      </c>
      <c r="W3576">
        <f t="shared" si="221"/>
        <v>0</v>
      </c>
      <c r="X3576">
        <f t="shared" si="222"/>
        <v>0</v>
      </c>
      <c r="Y3576" t="str">
        <f t="shared" si="223"/>
        <v>Non-Senior</v>
      </c>
    </row>
    <row r="3577" spans="1:25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220"/>
        <v>49-60 Months</v>
      </c>
      <c r="W3577">
        <f t="shared" si="221"/>
        <v>0</v>
      </c>
      <c r="X3577">
        <f t="shared" si="222"/>
        <v>0</v>
      </c>
      <c r="Y3577" t="str">
        <f t="shared" si="223"/>
        <v>Non-Senior</v>
      </c>
    </row>
    <row r="3578" spans="1:25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7082</v>
      </c>
      <c r="J3578" t="s">
        <v>7084</v>
      </c>
      <c r="K3578" t="s">
        <v>46</v>
      </c>
      <c r="L3578" t="s">
        <v>7084</v>
      </c>
      <c r="M3578" t="s">
        <v>7084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220"/>
        <v>61-72 Months</v>
      </c>
      <c r="W3578">
        <f t="shared" si="221"/>
        <v>0</v>
      </c>
      <c r="X3578">
        <f t="shared" si="222"/>
        <v>0</v>
      </c>
      <c r="Y3578" t="str">
        <f t="shared" si="223"/>
        <v>Non-Senior</v>
      </c>
    </row>
    <row r="3579" spans="1:25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220"/>
        <v>25-36 Months</v>
      </c>
      <c r="W3579">
        <f t="shared" si="221"/>
        <v>1</v>
      </c>
      <c r="X3579">
        <f t="shared" si="222"/>
        <v>65.400000000000006</v>
      </c>
      <c r="Y3579" t="str">
        <f t="shared" si="223"/>
        <v>Non-Senior</v>
      </c>
    </row>
    <row r="3580" spans="1:25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220"/>
        <v>37-48 Months</v>
      </c>
      <c r="W3580">
        <f t="shared" si="221"/>
        <v>0</v>
      </c>
      <c r="X3580">
        <f t="shared" si="222"/>
        <v>0</v>
      </c>
      <c r="Y3580" t="str">
        <f t="shared" si="223"/>
        <v>Non-Senior</v>
      </c>
    </row>
    <row r="3581" spans="1:25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220"/>
        <v>37-48 Months</v>
      </c>
      <c r="W3581">
        <f t="shared" si="221"/>
        <v>0</v>
      </c>
      <c r="X3581">
        <f t="shared" si="222"/>
        <v>0</v>
      </c>
      <c r="Y3581" t="str">
        <f t="shared" si="223"/>
        <v>Non-Senior</v>
      </c>
    </row>
    <row r="3582" spans="1:25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220"/>
        <v>0-12 Months</v>
      </c>
      <c r="W3582">
        <f t="shared" si="221"/>
        <v>1</v>
      </c>
      <c r="X3582">
        <f t="shared" si="222"/>
        <v>72.900000000000006</v>
      </c>
      <c r="Y3582" t="str">
        <f t="shared" si="223"/>
        <v>Non-Senior</v>
      </c>
    </row>
    <row r="3583" spans="1:25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220"/>
        <v>61-72 Months</v>
      </c>
      <c r="W3583">
        <f t="shared" si="221"/>
        <v>0</v>
      </c>
      <c r="X3583">
        <f t="shared" si="222"/>
        <v>0</v>
      </c>
      <c r="Y3583" t="str">
        <f t="shared" si="223"/>
        <v>Non-Senior</v>
      </c>
    </row>
    <row r="3584" spans="1:25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220"/>
        <v>0-12 Months</v>
      </c>
      <c r="W3584">
        <f t="shared" si="221"/>
        <v>0</v>
      </c>
      <c r="X3584">
        <f t="shared" si="222"/>
        <v>0</v>
      </c>
      <c r="Y3584" t="str">
        <f t="shared" si="223"/>
        <v>Non-Senior</v>
      </c>
    </row>
    <row r="3585" spans="1:25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220"/>
        <v>37-48 Months</v>
      </c>
      <c r="W3585">
        <f t="shared" si="221"/>
        <v>0</v>
      </c>
      <c r="X3585">
        <f t="shared" si="222"/>
        <v>0</v>
      </c>
      <c r="Y3585" t="str">
        <f t="shared" si="223"/>
        <v>Non-Senior</v>
      </c>
    </row>
    <row r="3586" spans="1:25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si="220"/>
        <v>0-12 Months</v>
      </c>
      <c r="W3586">
        <f t="shared" si="221"/>
        <v>0</v>
      </c>
      <c r="X3586">
        <f t="shared" si="222"/>
        <v>0</v>
      </c>
      <c r="Y3586" t="str">
        <f t="shared" si="223"/>
        <v>Non-Senior</v>
      </c>
    </row>
    <row r="3587" spans="1:25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ref="V3587:V3650" si="224">IF(F3587&lt;=12,"0-12 Months",IF(F3587&lt;=24,"13-24 Months",IF(F3587&lt;=36,"25-36 Months",IF(F3587&lt;=48,"37-48 Months",IF(F3587&lt;=60,"49-60 Months","61-72 Months")))))</f>
        <v>25-36 Months</v>
      </c>
      <c r="W3587">
        <f t="shared" ref="W3587:W3650" si="225">IF(U3587="Yes",1,0)</f>
        <v>0</v>
      </c>
      <c r="X3587">
        <f t="shared" ref="X3587:X3650" si="226">IF(U3587="Yes",S3587,0)</f>
        <v>0</v>
      </c>
      <c r="Y3587" t="str">
        <f t="shared" ref="Y3587:Y3650" si="227">IF(C3587=1,"Senior Citizen","Non-Senior")</f>
        <v>Senior Citizen</v>
      </c>
    </row>
    <row r="3588" spans="1:25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224"/>
        <v>0-12 Months</v>
      </c>
      <c r="W3588">
        <f t="shared" si="225"/>
        <v>1</v>
      </c>
      <c r="X3588">
        <f t="shared" si="226"/>
        <v>40</v>
      </c>
      <c r="Y3588" t="str">
        <f t="shared" si="227"/>
        <v>Non-Senior</v>
      </c>
    </row>
    <row r="3589" spans="1:25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224"/>
        <v>0-12 Months</v>
      </c>
      <c r="W3589">
        <f t="shared" si="225"/>
        <v>1</v>
      </c>
      <c r="X3589">
        <f t="shared" si="226"/>
        <v>99.45</v>
      </c>
      <c r="Y3589" t="str">
        <f t="shared" si="227"/>
        <v>Senior Citizen</v>
      </c>
    </row>
    <row r="3590" spans="1:25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224"/>
        <v>0-12 Months</v>
      </c>
      <c r="W3590">
        <f t="shared" si="225"/>
        <v>0</v>
      </c>
      <c r="X3590">
        <f t="shared" si="226"/>
        <v>0</v>
      </c>
      <c r="Y3590" t="str">
        <f t="shared" si="227"/>
        <v>Non-Senior</v>
      </c>
    </row>
    <row r="3591" spans="1:25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224"/>
        <v>25-36 Months</v>
      </c>
      <c r="W3591">
        <f t="shared" si="225"/>
        <v>0</v>
      </c>
      <c r="X3591">
        <f t="shared" si="226"/>
        <v>0</v>
      </c>
      <c r="Y3591" t="str">
        <f t="shared" si="227"/>
        <v>Non-Senior</v>
      </c>
    </row>
    <row r="3592" spans="1:25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7082</v>
      </c>
      <c r="J3592" t="s">
        <v>7084</v>
      </c>
      <c r="K3592" t="s">
        <v>46</v>
      </c>
      <c r="L3592" t="s">
        <v>7084</v>
      </c>
      <c r="M3592" t="s">
        <v>7084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224"/>
        <v>49-60 Months</v>
      </c>
      <c r="W3592">
        <f t="shared" si="225"/>
        <v>0</v>
      </c>
      <c r="X3592">
        <f t="shared" si="226"/>
        <v>0</v>
      </c>
      <c r="Y3592" t="str">
        <f t="shared" si="227"/>
        <v>Non-Senior</v>
      </c>
    </row>
    <row r="3593" spans="1:25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224"/>
        <v>0-12 Months</v>
      </c>
      <c r="W3593">
        <f t="shared" si="225"/>
        <v>1</v>
      </c>
      <c r="X3593">
        <f t="shared" si="226"/>
        <v>86.25</v>
      </c>
      <c r="Y3593" t="str">
        <f t="shared" si="227"/>
        <v>Non-Senior</v>
      </c>
    </row>
    <row r="3594" spans="1:25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224"/>
        <v>0-12 Months</v>
      </c>
      <c r="W3594">
        <f t="shared" si="225"/>
        <v>1</v>
      </c>
      <c r="X3594">
        <f t="shared" si="226"/>
        <v>45.65</v>
      </c>
      <c r="Y3594" t="str">
        <f t="shared" si="227"/>
        <v>Non-Senior</v>
      </c>
    </row>
    <row r="3595" spans="1:25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224"/>
        <v>0-12 Months</v>
      </c>
      <c r="W3595">
        <f t="shared" si="225"/>
        <v>1</v>
      </c>
      <c r="X3595">
        <f t="shared" si="226"/>
        <v>70.099999999999994</v>
      </c>
      <c r="Y3595" t="str">
        <f t="shared" si="227"/>
        <v>Non-Senior</v>
      </c>
    </row>
    <row r="3596" spans="1:25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224"/>
        <v>0-12 Months</v>
      </c>
      <c r="W3596">
        <f t="shared" si="225"/>
        <v>0</v>
      </c>
      <c r="X3596">
        <f t="shared" si="226"/>
        <v>0</v>
      </c>
      <c r="Y3596" t="str">
        <f t="shared" si="227"/>
        <v>Non-Senior</v>
      </c>
    </row>
    <row r="3597" spans="1:25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224"/>
        <v>0-12 Months</v>
      </c>
      <c r="W3597">
        <f t="shared" si="225"/>
        <v>1</v>
      </c>
      <c r="X3597">
        <f t="shared" si="226"/>
        <v>70.2</v>
      </c>
      <c r="Y3597" t="str">
        <f t="shared" si="227"/>
        <v>Senior Citizen</v>
      </c>
    </row>
    <row r="3598" spans="1:25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224"/>
        <v>0-12 Months</v>
      </c>
      <c r="W3598">
        <f t="shared" si="225"/>
        <v>1</v>
      </c>
      <c r="X3598">
        <f t="shared" si="226"/>
        <v>55.35</v>
      </c>
      <c r="Y3598" t="str">
        <f t="shared" si="227"/>
        <v>Non-Senior</v>
      </c>
    </row>
    <row r="3599" spans="1:25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224"/>
        <v>25-36 Months</v>
      </c>
      <c r="W3599">
        <f t="shared" si="225"/>
        <v>0</v>
      </c>
      <c r="X3599">
        <f t="shared" si="226"/>
        <v>0</v>
      </c>
      <c r="Y3599" t="str">
        <f t="shared" si="227"/>
        <v>Non-Senior</v>
      </c>
    </row>
    <row r="3600" spans="1:25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224"/>
        <v>0-12 Months</v>
      </c>
      <c r="W3600">
        <f t="shared" si="225"/>
        <v>0</v>
      </c>
      <c r="X3600">
        <f t="shared" si="226"/>
        <v>0</v>
      </c>
      <c r="Y3600" t="str">
        <f t="shared" si="227"/>
        <v>Senior Citizen</v>
      </c>
    </row>
    <row r="3601" spans="1:25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224"/>
        <v>37-48 Months</v>
      </c>
      <c r="W3601">
        <f t="shared" si="225"/>
        <v>0</v>
      </c>
      <c r="X3601">
        <f t="shared" si="226"/>
        <v>0</v>
      </c>
      <c r="Y3601" t="str">
        <f t="shared" si="227"/>
        <v>Non-Senior</v>
      </c>
    </row>
    <row r="3602" spans="1:25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224"/>
        <v>49-60 Months</v>
      </c>
      <c r="W3602">
        <f t="shared" si="225"/>
        <v>1</v>
      </c>
      <c r="X3602">
        <f t="shared" si="226"/>
        <v>84.2</v>
      </c>
      <c r="Y3602" t="str">
        <f t="shared" si="227"/>
        <v>Senior Citizen</v>
      </c>
    </row>
    <row r="3603" spans="1:25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7082</v>
      </c>
      <c r="J3603" t="s">
        <v>7084</v>
      </c>
      <c r="K3603" t="s">
        <v>46</v>
      </c>
      <c r="L3603" t="s">
        <v>7084</v>
      </c>
      <c r="M3603" t="s">
        <v>7084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224"/>
        <v>49-60 Months</v>
      </c>
      <c r="W3603">
        <f t="shared" si="225"/>
        <v>0</v>
      </c>
      <c r="X3603">
        <f t="shared" si="226"/>
        <v>0</v>
      </c>
      <c r="Y3603" t="str">
        <f t="shared" si="227"/>
        <v>Non-Senior</v>
      </c>
    </row>
    <row r="3604" spans="1:25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224"/>
        <v>37-48 Months</v>
      </c>
      <c r="W3604">
        <f t="shared" si="225"/>
        <v>0</v>
      </c>
      <c r="X3604">
        <f t="shared" si="226"/>
        <v>0</v>
      </c>
      <c r="Y3604" t="str">
        <f t="shared" si="227"/>
        <v>Non-Senior</v>
      </c>
    </row>
    <row r="3605" spans="1:25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224"/>
        <v>0-12 Months</v>
      </c>
      <c r="W3605">
        <f t="shared" si="225"/>
        <v>1</v>
      </c>
      <c r="X3605">
        <f t="shared" si="226"/>
        <v>45.85</v>
      </c>
      <c r="Y3605" t="str">
        <f t="shared" si="227"/>
        <v>Non-Senior</v>
      </c>
    </row>
    <row r="3606" spans="1:25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7082</v>
      </c>
      <c r="J3606" t="s">
        <v>7084</v>
      </c>
      <c r="K3606" t="s">
        <v>46</v>
      </c>
      <c r="L3606" t="s">
        <v>7084</v>
      </c>
      <c r="M3606" t="s">
        <v>7084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224"/>
        <v>37-48 Months</v>
      </c>
      <c r="W3606">
        <f t="shared" si="225"/>
        <v>0</v>
      </c>
      <c r="X3606">
        <f t="shared" si="226"/>
        <v>0</v>
      </c>
      <c r="Y3606" t="str">
        <f t="shared" si="227"/>
        <v>Non-Senior</v>
      </c>
    </row>
    <row r="3607" spans="1:25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224"/>
        <v>25-36 Months</v>
      </c>
      <c r="W3607">
        <f t="shared" si="225"/>
        <v>0</v>
      </c>
      <c r="X3607">
        <f t="shared" si="226"/>
        <v>0</v>
      </c>
      <c r="Y3607" t="str">
        <f t="shared" si="227"/>
        <v>Non-Senior</v>
      </c>
    </row>
    <row r="3608" spans="1:25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224"/>
        <v>61-72 Months</v>
      </c>
      <c r="W3608">
        <f t="shared" si="225"/>
        <v>0</v>
      </c>
      <c r="X3608">
        <f t="shared" si="226"/>
        <v>0</v>
      </c>
      <c r="Y3608" t="str">
        <f t="shared" si="227"/>
        <v>Non-Senior</v>
      </c>
    </row>
    <row r="3609" spans="1:25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224"/>
        <v>13-24 Months</v>
      </c>
      <c r="W3609">
        <f t="shared" si="225"/>
        <v>0</v>
      </c>
      <c r="X3609">
        <f t="shared" si="226"/>
        <v>0</v>
      </c>
      <c r="Y3609" t="str">
        <f t="shared" si="227"/>
        <v>Non-Senior</v>
      </c>
    </row>
    <row r="3610" spans="1:25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224"/>
        <v>37-48 Months</v>
      </c>
      <c r="W3610">
        <f t="shared" si="225"/>
        <v>1</v>
      </c>
      <c r="X3610">
        <f t="shared" si="226"/>
        <v>75.25</v>
      </c>
      <c r="Y3610" t="str">
        <f t="shared" si="227"/>
        <v>Non-Senior</v>
      </c>
    </row>
    <row r="3611" spans="1:25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224"/>
        <v>61-72 Months</v>
      </c>
      <c r="W3611">
        <f t="shared" si="225"/>
        <v>0</v>
      </c>
      <c r="X3611">
        <f t="shared" si="226"/>
        <v>0</v>
      </c>
      <c r="Y3611" t="str">
        <f t="shared" si="227"/>
        <v>Non-Senior</v>
      </c>
    </row>
    <row r="3612" spans="1:25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224"/>
        <v>0-12 Months</v>
      </c>
      <c r="W3612">
        <f t="shared" si="225"/>
        <v>1</v>
      </c>
      <c r="X3612">
        <f t="shared" si="226"/>
        <v>100.15</v>
      </c>
      <c r="Y3612" t="str">
        <f t="shared" si="227"/>
        <v>Non-Senior</v>
      </c>
    </row>
    <row r="3613" spans="1:25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224"/>
        <v>37-48 Months</v>
      </c>
      <c r="W3613">
        <f t="shared" si="225"/>
        <v>0</v>
      </c>
      <c r="X3613">
        <f t="shared" si="226"/>
        <v>0</v>
      </c>
      <c r="Y3613" t="str">
        <f t="shared" si="227"/>
        <v>Non-Senior</v>
      </c>
    </row>
    <row r="3614" spans="1:25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224"/>
        <v>13-24 Months</v>
      </c>
      <c r="W3614">
        <f t="shared" si="225"/>
        <v>0</v>
      </c>
      <c r="X3614">
        <f t="shared" si="226"/>
        <v>0</v>
      </c>
      <c r="Y3614" t="str">
        <f t="shared" si="227"/>
        <v>Non-Senior</v>
      </c>
    </row>
    <row r="3615" spans="1:25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224"/>
        <v>49-60 Months</v>
      </c>
      <c r="W3615">
        <f t="shared" si="225"/>
        <v>0</v>
      </c>
      <c r="X3615">
        <f t="shared" si="226"/>
        <v>0</v>
      </c>
      <c r="Y3615" t="str">
        <f t="shared" si="227"/>
        <v>Senior Citizen</v>
      </c>
    </row>
    <row r="3616" spans="1:25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224"/>
        <v>61-72 Months</v>
      </c>
      <c r="W3616">
        <f t="shared" si="225"/>
        <v>0</v>
      </c>
      <c r="X3616">
        <f t="shared" si="226"/>
        <v>0</v>
      </c>
      <c r="Y3616" t="str">
        <f t="shared" si="227"/>
        <v>Non-Senior</v>
      </c>
    </row>
    <row r="3617" spans="1:25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224"/>
        <v>25-36 Months</v>
      </c>
      <c r="W3617">
        <f t="shared" si="225"/>
        <v>1</v>
      </c>
      <c r="X3617">
        <f t="shared" si="226"/>
        <v>105.75</v>
      </c>
      <c r="Y3617" t="str">
        <f t="shared" si="227"/>
        <v>Senior Citizen</v>
      </c>
    </row>
    <row r="3618" spans="1:25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224"/>
        <v>61-72 Months</v>
      </c>
      <c r="W3618">
        <f t="shared" si="225"/>
        <v>0</v>
      </c>
      <c r="X3618">
        <f t="shared" si="226"/>
        <v>0</v>
      </c>
      <c r="Y3618" t="str">
        <f t="shared" si="227"/>
        <v>Senior Citizen</v>
      </c>
    </row>
    <row r="3619" spans="1:25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224"/>
        <v>13-24 Months</v>
      </c>
      <c r="W3619">
        <f t="shared" si="225"/>
        <v>1</v>
      </c>
      <c r="X3619">
        <f t="shared" si="226"/>
        <v>48.35</v>
      </c>
      <c r="Y3619" t="str">
        <f t="shared" si="227"/>
        <v>Senior Citizen</v>
      </c>
    </row>
    <row r="3620" spans="1:25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224"/>
        <v>37-48 Months</v>
      </c>
      <c r="W3620">
        <f t="shared" si="225"/>
        <v>0</v>
      </c>
      <c r="X3620">
        <f t="shared" si="226"/>
        <v>0</v>
      </c>
      <c r="Y3620" t="str">
        <f t="shared" si="227"/>
        <v>Non-Senior</v>
      </c>
    </row>
    <row r="3621" spans="1:25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224"/>
        <v>61-72 Months</v>
      </c>
      <c r="W3621">
        <f t="shared" si="225"/>
        <v>0</v>
      </c>
      <c r="X3621">
        <f t="shared" si="226"/>
        <v>0</v>
      </c>
      <c r="Y3621" t="str">
        <f t="shared" si="227"/>
        <v>Non-Senior</v>
      </c>
    </row>
    <row r="3622" spans="1:25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224"/>
        <v>25-36 Months</v>
      </c>
      <c r="W3622">
        <f t="shared" si="225"/>
        <v>0</v>
      </c>
      <c r="X3622">
        <f t="shared" si="226"/>
        <v>0</v>
      </c>
      <c r="Y3622" t="str">
        <f t="shared" si="227"/>
        <v>Senior Citizen</v>
      </c>
    </row>
    <row r="3623" spans="1:25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224"/>
        <v>0-12 Months</v>
      </c>
      <c r="W3623">
        <f t="shared" si="225"/>
        <v>1</v>
      </c>
      <c r="X3623">
        <f t="shared" si="226"/>
        <v>24.4</v>
      </c>
      <c r="Y3623" t="str">
        <f t="shared" si="227"/>
        <v>Non-Senior</v>
      </c>
    </row>
    <row r="3624" spans="1:25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224"/>
        <v>61-72 Months</v>
      </c>
      <c r="W3624">
        <f t="shared" si="225"/>
        <v>0</v>
      </c>
      <c r="X3624">
        <f t="shared" si="226"/>
        <v>0</v>
      </c>
      <c r="Y3624" t="str">
        <f t="shared" si="227"/>
        <v>Non-Senior</v>
      </c>
    </row>
    <row r="3625" spans="1:25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224"/>
        <v>37-48 Months</v>
      </c>
      <c r="W3625">
        <f t="shared" si="225"/>
        <v>0</v>
      </c>
      <c r="X3625">
        <f t="shared" si="226"/>
        <v>0</v>
      </c>
      <c r="Y3625" t="str">
        <f t="shared" si="227"/>
        <v>Senior Citizen</v>
      </c>
    </row>
    <row r="3626" spans="1:25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224"/>
        <v>61-72 Months</v>
      </c>
      <c r="W3626">
        <f t="shared" si="225"/>
        <v>0</v>
      </c>
      <c r="X3626">
        <f t="shared" si="226"/>
        <v>0</v>
      </c>
      <c r="Y3626" t="str">
        <f t="shared" si="227"/>
        <v>Senior Citizen</v>
      </c>
    </row>
    <row r="3627" spans="1:25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7082</v>
      </c>
      <c r="J3627" t="s">
        <v>7084</v>
      </c>
      <c r="K3627" t="s">
        <v>46</v>
      </c>
      <c r="L3627" t="s">
        <v>7084</v>
      </c>
      <c r="M3627" t="s">
        <v>7084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224"/>
        <v>61-72 Months</v>
      </c>
      <c r="W3627">
        <f t="shared" si="225"/>
        <v>0</v>
      </c>
      <c r="X3627">
        <f t="shared" si="226"/>
        <v>0</v>
      </c>
      <c r="Y3627" t="str">
        <f t="shared" si="227"/>
        <v>Non-Senior</v>
      </c>
    </row>
    <row r="3628" spans="1:25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224"/>
        <v>13-24 Months</v>
      </c>
      <c r="W3628">
        <f t="shared" si="225"/>
        <v>0</v>
      </c>
      <c r="X3628">
        <f t="shared" si="226"/>
        <v>0</v>
      </c>
      <c r="Y3628" t="str">
        <f t="shared" si="227"/>
        <v>Non-Senior</v>
      </c>
    </row>
    <row r="3629" spans="1:25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7082</v>
      </c>
      <c r="J3629" t="s">
        <v>7084</v>
      </c>
      <c r="K3629" t="s">
        <v>46</v>
      </c>
      <c r="L3629" t="s">
        <v>7084</v>
      </c>
      <c r="M3629" t="s">
        <v>7084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224"/>
        <v>13-24 Months</v>
      </c>
      <c r="W3629">
        <f t="shared" si="225"/>
        <v>0</v>
      </c>
      <c r="X3629">
        <f t="shared" si="226"/>
        <v>0</v>
      </c>
      <c r="Y3629" t="str">
        <f t="shared" si="227"/>
        <v>Non-Senior</v>
      </c>
    </row>
    <row r="3630" spans="1:25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224"/>
        <v>0-12 Months</v>
      </c>
      <c r="W3630">
        <f t="shared" si="225"/>
        <v>0</v>
      </c>
      <c r="X3630">
        <f t="shared" si="226"/>
        <v>0</v>
      </c>
      <c r="Y3630" t="str">
        <f t="shared" si="227"/>
        <v>Non-Senior</v>
      </c>
    </row>
    <row r="3631" spans="1:25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7082</v>
      </c>
      <c r="J3631" t="s">
        <v>7084</v>
      </c>
      <c r="K3631" t="s">
        <v>46</v>
      </c>
      <c r="L3631" t="s">
        <v>7084</v>
      </c>
      <c r="M3631" t="s">
        <v>7084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224"/>
        <v>13-24 Months</v>
      </c>
      <c r="W3631">
        <f t="shared" si="225"/>
        <v>0</v>
      </c>
      <c r="X3631">
        <f t="shared" si="226"/>
        <v>0</v>
      </c>
      <c r="Y3631" t="str">
        <f t="shared" si="227"/>
        <v>Non-Senior</v>
      </c>
    </row>
    <row r="3632" spans="1:25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7082</v>
      </c>
      <c r="J3632" t="s">
        <v>7084</v>
      </c>
      <c r="K3632" t="s">
        <v>46</v>
      </c>
      <c r="L3632" t="s">
        <v>7084</v>
      </c>
      <c r="M3632" t="s">
        <v>7084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224"/>
        <v>0-12 Months</v>
      </c>
      <c r="W3632">
        <f t="shared" si="225"/>
        <v>1</v>
      </c>
      <c r="X3632">
        <f t="shared" si="226"/>
        <v>20.95</v>
      </c>
      <c r="Y3632" t="str">
        <f t="shared" si="227"/>
        <v>Non-Senior</v>
      </c>
    </row>
    <row r="3633" spans="1:25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224"/>
        <v>0-12 Months</v>
      </c>
      <c r="W3633">
        <f t="shared" si="225"/>
        <v>1</v>
      </c>
      <c r="X3633">
        <f t="shared" si="226"/>
        <v>49.55</v>
      </c>
      <c r="Y3633" t="str">
        <f t="shared" si="227"/>
        <v>Senior Citizen</v>
      </c>
    </row>
    <row r="3634" spans="1:25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224"/>
        <v>13-24 Months</v>
      </c>
      <c r="W3634">
        <f t="shared" si="225"/>
        <v>0</v>
      </c>
      <c r="X3634">
        <f t="shared" si="226"/>
        <v>0</v>
      </c>
      <c r="Y3634" t="str">
        <f t="shared" si="227"/>
        <v>Non-Senior</v>
      </c>
    </row>
    <row r="3635" spans="1:25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224"/>
        <v>0-12 Months</v>
      </c>
      <c r="W3635">
        <f t="shared" si="225"/>
        <v>0</v>
      </c>
      <c r="X3635">
        <f t="shared" si="226"/>
        <v>0</v>
      </c>
      <c r="Y3635" t="str">
        <f t="shared" si="227"/>
        <v>Senior Citizen</v>
      </c>
    </row>
    <row r="3636" spans="1:25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224"/>
        <v>61-72 Months</v>
      </c>
      <c r="W3636">
        <f t="shared" si="225"/>
        <v>0</v>
      </c>
      <c r="X3636">
        <f t="shared" si="226"/>
        <v>0</v>
      </c>
      <c r="Y3636" t="str">
        <f t="shared" si="227"/>
        <v>Senior Citizen</v>
      </c>
    </row>
    <row r="3637" spans="1:25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7082</v>
      </c>
      <c r="J3637" t="s">
        <v>7084</v>
      </c>
      <c r="K3637" t="s">
        <v>46</v>
      </c>
      <c r="L3637" t="s">
        <v>7084</v>
      </c>
      <c r="M3637" t="s">
        <v>7084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224"/>
        <v>61-72 Months</v>
      </c>
      <c r="W3637">
        <f t="shared" si="225"/>
        <v>0</v>
      </c>
      <c r="X3637">
        <f t="shared" si="226"/>
        <v>0</v>
      </c>
      <c r="Y3637" t="str">
        <f t="shared" si="227"/>
        <v>Non-Senior</v>
      </c>
    </row>
    <row r="3638" spans="1:25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7082</v>
      </c>
      <c r="J3638" t="s">
        <v>7084</v>
      </c>
      <c r="K3638" t="s">
        <v>46</v>
      </c>
      <c r="L3638" t="s">
        <v>7084</v>
      </c>
      <c r="M3638" t="s">
        <v>7084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224"/>
        <v>0-12 Months</v>
      </c>
      <c r="W3638">
        <f t="shared" si="225"/>
        <v>0</v>
      </c>
      <c r="X3638">
        <f t="shared" si="226"/>
        <v>0</v>
      </c>
      <c r="Y3638" t="str">
        <f t="shared" si="227"/>
        <v>Non-Senior</v>
      </c>
    </row>
    <row r="3639" spans="1:25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7082</v>
      </c>
      <c r="J3639" t="s">
        <v>7084</v>
      </c>
      <c r="K3639" t="s">
        <v>46</v>
      </c>
      <c r="L3639" t="s">
        <v>7084</v>
      </c>
      <c r="M3639" t="s">
        <v>7084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224"/>
        <v>0-12 Months</v>
      </c>
      <c r="W3639">
        <f t="shared" si="225"/>
        <v>1</v>
      </c>
      <c r="X3639">
        <f t="shared" si="226"/>
        <v>20.25</v>
      </c>
      <c r="Y3639" t="str">
        <f t="shared" si="227"/>
        <v>Non-Senior</v>
      </c>
    </row>
    <row r="3640" spans="1:25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224"/>
        <v>0-12 Months</v>
      </c>
      <c r="W3640">
        <f t="shared" si="225"/>
        <v>1</v>
      </c>
      <c r="X3640">
        <f t="shared" si="226"/>
        <v>50.15</v>
      </c>
      <c r="Y3640" t="str">
        <f t="shared" si="227"/>
        <v>Senior Citizen</v>
      </c>
    </row>
    <row r="3641" spans="1:25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224"/>
        <v>49-60 Months</v>
      </c>
      <c r="W3641">
        <f t="shared" si="225"/>
        <v>0</v>
      </c>
      <c r="X3641">
        <f t="shared" si="226"/>
        <v>0</v>
      </c>
      <c r="Y3641" t="str">
        <f t="shared" si="227"/>
        <v>Senior Citizen</v>
      </c>
    </row>
    <row r="3642" spans="1:25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224"/>
        <v>25-36 Months</v>
      </c>
      <c r="W3642">
        <f t="shared" si="225"/>
        <v>1</v>
      </c>
      <c r="X3642">
        <f t="shared" si="226"/>
        <v>95.9</v>
      </c>
      <c r="Y3642" t="str">
        <f t="shared" si="227"/>
        <v>Senior Citizen</v>
      </c>
    </row>
    <row r="3643" spans="1:25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224"/>
        <v>49-60 Months</v>
      </c>
      <c r="W3643">
        <f t="shared" si="225"/>
        <v>0</v>
      </c>
      <c r="X3643">
        <f t="shared" si="226"/>
        <v>0</v>
      </c>
      <c r="Y3643" t="str">
        <f t="shared" si="227"/>
        <v>Non-Senior</v>
      </c>
    </row>
    <row r="3644" spans="1:25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224"/>
        <v>25-36 Months</v>
      </c>
      <c r="W3644">
        <f t="shared" si="225"/>
        <v>0</v>
      </c>
      <c r="X3644">
        <f t="shared" si="226"/>
        <v>0</v>
      </c>
      <c r="Y3644" t="str">
        <f t="shared" si="227"/>
        <v>Senior Citizen</v>
      </c>
    </row>
    <row r="3645" spans="1:25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7082</v>
      </c>
      <c r="J3645" t="s">
        <v>7084</v>
      </c>
      <c r="K3645" t="s">
        <v>46</v>
      </c>
      <c r="L3645" t="s">
        <v>7084</v>
      </c>
      <c r="M3645" t="s">
        <v>7084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224"/>
        <v>49-60 Months</v>
      </c>
      <c r="W3645">
        <f t="shared" si="225"/>
        <v>0</v>
      </c>
      <c r="X3645">
        <f t="shared" si="226"/>
        <v>0</v>
      </c>
      <c r="Y3645" t="str">
        <f t="shared" si="227"/>
        <v>Non-Senior</v>
      </c>
    </row>
    <row r="3646" spans="1:25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7082</v>
      </c>
      <c r="J3646" t="s">
        <v>7084</v>
      </c>
      <c r="K3646" t="s">
        <v>46</v>
      </c>
      <c r="L3646" t="s">
        <v>7084</v>
      </c>
      <c r="M3646" t="s">
        <v>7084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224"/>
        <v>37-48 Months</v>
      </c>
      <c r="W3646">
        <f t="shared" si="225"/>
        <v>0</v>
      </c>
      <c r="X3646">
        <f t="shared" si="226"/>
        <v>0</v>
      </c>
      <c r="Y3646" t="str">
        <f t="shared" si="227"/>
        <v>Non-Senior</v>
      </c>
    </row>
    <row r="3647" spans="1:25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7082</v>
      </c>
      <c r="J3647" t="s">
        <v>7084</v>
      </c>
      <c r="K3647" t="s">
        <v>46</v>
      </c>
      <c r="L3647" t="s">
        <v>7084</v>
      </c>
      <c r="M3647" t="s">
        <v>7084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224"/>
        <v>0-12 Months</v>
      </c>
      <c r="W3647">
        <f t="shared" si="225"/>
        <v>0</v>
      </c>
      <c r="X3647">
        <f t="shared" si="226"/>
        <v>0</v>
      </c>
      <c r="Y3647" t="str">
        <f t="shared" si="227"/>
        <v>Non-Senior</v>
      </c>
    </row>
    <row r="3648" spans="1:25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224"/>
        <v>37-48 Months</v>
      </c>
      <c r="W3648">
        <f t="shared" si="225"/>
        <v>0</v>
      </c>
      <c r="X3648">
        <f t="shared" si="226"/>
        <v>0</v>
      </c>
      <c r="Y3648" t="str">
        <f t="shared" si="227"/>
        <v>Non-Senior</v>
      </c>
    </row>
    <row r="3649" spans="1:25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224"/>
        <v>0-12 Months</v>
      </c>
      <c r="W3649">
        <f t="shared" si="225"/>
        <v>0</v>
      </c>
      <c r="X3649">
        <f t="shared" si="226"/>
        <v>0</v>
      </c>
      <c r="Y3649" t="str">
        <f t="shared" si="227"/>
        <v>Senior Citizen</v>
      </c>
    </row>
    <row r="3650" spans="1:25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si="224"/>
        <v>49-60 Months</v>
      </c>
      <c r="W3650">
        <f t="shared" si="225"/>
        <v>0</v>
      </c>
      <c r="X3650">
        <f t="shared" si="226"/>
        <v>0</v>
      </c>
      <c r="Y3650" t="str">
        <f t="shared" si="227"/>
        <v>Non-Senior</v>
      </c>
    </row>
    <row r="3651" spans="1:25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7082</v>
      </c>
      <c r="J3651" t="s">
        <v>7084</v>
      </c>
      <c r="K3651" t="s">
        <v>46</v>
      </c>
      <c r="L3651" t="s">
        <v>7084</v>
      </c>
      <c r="M3651" t="s">
        <v>7084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ref="V3651:V3714" si="228">IF(F3651&lt;=12,"0-12 Months",IF(F3651&lt;=24,"13-24 Months",IF(F3651&lt;=36,"25-36 Months",IF(F3651&lt;=48,"37-48 Months",IF(F3651&lt;=60,"49-60 Months","61-72 Months")))))</f>
        <v>61-72 Months</v>
      </c>
      <c r="W3651">
        <f t="shared" ref="W3651:W3714" si="229">IF(U3651="Yes",1,0)</f>
        <v>0</v>
      </c>
      <c r="X3651">
        <f t="shared" ref="X3651:X3714" si="230">IF(U3651="Yes",S3651,0)</f>
        <v>0</v>
      </c>
      <c r="Y3651" t="str">
        <f t="shared" ref="Y3651:Y3714" si="231">IF(C3651=1,"Senior Citizen","Non-Senior")</f>
        <v>Non-Senior</v>
      </c>
    </row>
    <row r="3652" spans="1:25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7082</v>
      </c>
      <c r="J3652" t="s">
        <v>7084</v>
      </c>
      <c r="K3652" t="s">
        <v>46</v>
      </c>
      <c r="L3652" t="s">
        <v>7084</v>
      </c>
      <c r="M3652" t="s">
        <v>7084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228"/>
        <v>61-72 Months</v>
      </c>
      <c r="W3652">
        <f t="shared" si="229"/>
        <v>0</v>
      </c>
      <c r="X3652">
        <f t="shared" si="230"/>
        <v>0</v>
      </c>
      <c r="Y3652" t="str">
        <f t="shared" si="231"/>
        <v>Senior Citizen</v>
      </c>
    </row>
    <row r="3653" spans="1:25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7082</v>
      </c>
      <c r="J3653" t="s">
        <v>7084</v>
      </c>
      <c r="K3653" t="s">
        <v>46</v>
      </c>
      <c r="L3653" t="s">
        <v>7084</v>
      </c>
      <c r="M3653" t="s">
        <v>7084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228"/>
        <v>61-72 Months</v>
      </c>
      <c r="W3653">
        <f t="shared" si="229"/>
        <v>0</v>
      </c>
      <c r="X3653">
        <f t="shared" si="230"/>
        <v>0</v>
      </c>
      <c r="Y3653" t="str">
        <f t="shared" si="231"/>
        <v>Senior Citizen</v>
      </c>
    </row>
    <row r="3654" spans="1:25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228"/>
        <v>0-12 Months</v>
      </c>
      <c r="W3654">
        <f t="shared" si="229"/>
        <v>1</v>
      </c>
      <c r="X3654">
        <f t="shared" si="230"/>
        <v>25.25</v>
      </c>
      <c r="Y3654" t="str">
        <f t="shared" si="231"/>
        <v>Senior Citizen</v>
      </c>
    </row>
    <row r="3655" spans="1:25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228"/>
        <v>37-48 Months</v>
      </c>
      <c r="W3655">
        <f t="shared" si="229"/>
        <v>0</v>
      </c>
      <c r="X3655">
        <f t="shared" si="230"/>
        <v>0</v>
      </c>
      <c r="Y3655" t="str">
        <f t="shared" si="231"/>
        <v>Non-Senior</v>
      </c>
    </row>
    <row r="3656" spans="1:25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228"/>
        <v>25-36 Months</v>
      </c>
      <c r="W3656">
        <f t="shared" si="229"/>
        <v>0</v>
      </c>
      <c r="X3656">
        <f t="shared" si="230"/>
        <v>0</v>
      </c>
      <c r="Y3656" t="str">
        <f t="shared" si="231"/>
        <v>Non-Senior</v>
      </c>
    </row>
    <row r="3657" spans="1:25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7082</v>
      </c>
      <c r="J3657" t="s">
        <v>7084</v>
      </c>
      <c r="K3657" t="s">
        <v>46</v>
      </c>
      <c r="L3657" t="s">
        <v>7084</v>
      </c>
      <c r="M3657" t="s">
        <v>7084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228"/>
        <v>25-36 Months</v>
      </c>
      <c r="W3657">
        <f t="shared" si="229"/>
        <v>0</v>
      </c>
      <c r="X3657">
        <f t="shared" si="230"/>
        <v>0</v>
      </c>
      <c r="Y3657" t="str">
        <f t="shared" si="231"/>
        <v>Non-Senior</v>
      </c>
    </row>
    <row r="3658" spans="1:25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228"/>
        <v>49-60 Months</v>
      </c>
      <c r="W3658">
        <f t="shared" si="229"/>
        <v>0</v>
      </c>
      <c r="X3658">
        <f t="shared" si="230"/>
        <v>0</v>
      </c>
      <c r="Y3658" t="str">
        <f t="shared" si="231"/>
        <v>Senior Citizen</v>
      </c>
    </row>
    <row r="3659" spans="1:25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7082</v>
      </c>
      <c r="J3659" t="s">
        <v>7084</v>
      </c>
      <c r="K3659" t="s">
        <v>46</v>
      </c>
      <c r="L3659" t="s">
        <v>7084</v>
      </c>
      <c r="M3659" t="s">
        <v>7084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228"/>
        <v>37-48 Months</v>
      </c>
      <c r="W3659">
        <f t="shared" si="229"/>
        <v>0</v>
      </c>
      <c r="X3659">
        <f t="shared" si="230"/>
        <v>0</v>
      </c>
      <c r="Y3659" t="str">
        <f t="shared" si="231"/>
        <v>Non-Senior</v>
      </c>
    </row>
    <row r="3660" spans="1:25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228"/>
        <v>0-12 Months</v>
      </c>
      <c r="W3660">
        <f t="shared" si="229"/>
        <v>0</v>
      </c>
      <c r="X3660">
        <f t="shared" si="230"/>
        <v>0</v>
      </c>
      <c r="Y3660" t="str">
        <f t="shared" si="231"/>
        <v>Non-Senior</v>
      </c>
    </row>
    <row r="3661" spans="1:25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228"/>
        <v>61-72 Months</v>
      </c>
      <c r="W3661">
        <f t="shared" si="229"/>
        <v>0</v>
      </c>
      <c r="X3661">
        <f t="shared" si="230"/>
        <v>0</v>
      </c>
      <c r="Y3661" t="str">
        <f t="shared" si="231"/>
        <v>Non-Senior</v>
      </c>
    </row>
    <row r="3662" spans="1:25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228"/>
        <v>0-12 Months</v>
      </c>
      <c r="W3662">
        <f t="shared" si="229"/>
        <v>0</v>
      </c>
      <c r="X3662">
        <f t="shared" si="230"/>
        <v>0</v>
      </c>
      <c r="Y3662" t="str">
        <f t="shared" si="231"/>
        <v>Non-Senior</v>
      </c>
    </row>
    <row r="3663" spans="1:25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228"/>
        <v>49-60 Months</v>
      </c>
      <c r="W3663">
        <f t="shared" si="229"/>
        <v>0</v>
      </c>
      <c r="X3663">
        <f t="shared" si="230"/>
        <v>0</v>
      </c>
      <c r="Y3663" t="str">
        <f t="shared" si="231"/>
        <v>Non-Senior</v>
      </c>
    </row>
    <row r="3664" spans="1:25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228"/>
        <v>0-12 Months</v>
      </c>
      <c r="W3664">
        <f t="shared" si="229"/>
        <v>1</v>
      </c>
      <c r="X3664">
        <f t="shared" si="230"/>
        <v>45.15</v>
      </c>
      <c r="Y3664" t="str">
        <f t="shared" si="231"/>
        <v>Non-Senior</v>
      </c>
    </row>
    <row r="3665" spans="1:25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228"/>
        <v>0-12 Months</v>
      </c>
      <c r="W3665">
        <f t="shared" si="229"/>
        <v>0</v>
      </c>
      <c r="X3665">
        <f t="shared" si="230"/>
        <v>0</v>
      </c>
      <c r="Y3665" t="str">
        <f t="shared" si="231"/>
        <v>Non-Senior</v>
      </c>
    </row>
    <row r="3666" spans="1:25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228"/>
        <v>0-12 Months</v>
      </c>
      <c r="W3666">
        <f t="shared" si="229"/>
        <v>0</v>
      </c>
      <c r="X3666">
        <f t="shared" si="230"/>
        <v>0</v>
      </c>
      <c r="Y3666" t="str">
        <f t="shared" si="231"/>
        <v>Non-Senior</v>
      </c>
    </row>
    <row r="3667" spans="1:25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228"/>
        <v>61-72 Months</v>
      </c>
      <c r="W3667">
        <f t="shared" si="229"/>
        <v>0</v>
      </c>
      <c r="X3667">
        <f t="shared" si="230"/>
        <v>0</v>
      </c>
      <c r="Y3667" t="str">
        <f t="shared" si="231"/>
        <v>Non-Senior</v>
      </c>
    </row>
    <row r="3668" spans="1:25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228"/>
        <v>49-60 Months</v>
      </c>
      <c r="W3668">
        <f t="shared" si="229"/>
        <v>1</v>
      </c>
      <c r="X3668">
        <f t="shared" si="230"/>
        <v>84.4</v>
      </c>
      <c r="Y3668" t="str">
        <f t="shared" si="231"/>
        <v>Non-Senior</v>
      </c>
    </row>
    <row r="3669" spans="1:25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228"/>
        <v>13-24 Months</v>
      </c>
      <c r="W3669">
        <f t="shared" si="229"/>
        <v>0</v>
      </c>
      <c r="X3669">
        <f t="shared" si="230"/>
        <v>0</v>
      </c>
      <c r="Y3669" t="str">
        <f t="shared" si="231"/>
        <v>Senior Citizen</v>
      </c>
    </row>
    <row r="3670" spans="1:25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228"/>
        <v>13-24 Months</v>
      </c>
      <c r="W3670">
        <f t="shared" si="229"/>
        <v>0</v>
      </c>
      <c r="X3670">
        <f t="shared" si="230"/>
        <v>0</v>
      </c>
      <c r="Y3670" t="str">
        <f t="shared" si="231"/>
        <v>Non-Senior</v>
      </c>
    </row>
    <row r="3671" spans="1:25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228"/>
        <v>37-48 Months</v>
      </c>
      <c r="W3671">
        <f t="shared" si="229"/>
        <v>0</v>
      </c>
      <c r="X3671">
        <f t="shared" si="230"/>
        <v>0</v>
      </c>
      <c r="Y3671" t="str">
        <f t="shared" si="231"/>
        <v>Non-Senior</v>
      </c>
    </row>
    <row r="3672" spans="1:25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7082</v>
      </c>
      <c r="J3672" t="s">
        <v>7084</v>
      </c>
      <c r="K3672" t="s">
        <v>46</v>
      </c>
      <c r="L3672" t="s">
        <v>7084</v>
      </c>
      <c r="M3672" t="s">
        <v>7084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228"/>
        <v>25-36 Months</v>
      </c>
      <c r="W3672">
        <f t="shared" si="229"/>
        <v>0</v>
      </c>
      <c r="X3672">
        <f t="shared" si="230"/>
        <v>0</v>
      </c>
      <c r="Y3672" t="str">
        <f t="shared" si="231"/>
        <v>Non-Senior</v>
      </c>
    </row>
    <row r="3673" spans="1:25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228"/>
        <v>0-12 Months</v>
      </c>
      <c r="W3673">
        <f t="shared" si="229"/>
        <v>1</v>
      </c>
      <c r="X3673">
        <f t="shared" si="230"/>
        <v>75.099999999999994</v>
      </c>
      <c r="Y3673" t="str">
        <f t="shared" si="231"/>
        <v>Non-Senior</v>
      </c>
    </row>
    <row r="3674" spans="1:25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228"/>
        <v>49-60 Months</v>
      </c>
      <c r="W3674">
        <f t="shared" si="229"/>
        <v>1</v>
      </c>
      <c r="X3674">
        <f t="shared" si="230"/>
        <v>70.150000000000006</v>
      </c>
      <c r="Y3674" t="str">
        <f t="shared" si="231"/>
        <v>Non-Senior</v>
      </c>
    </row>
    <row r="3675" spans="1:25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228"/>
        <v>37-48 Months</v>
      </c>
      <c r="W3675">
        <f t="shared" si="229"/>
        <v>1</v>
      </c>
      <c r="X3675">
        <f t="shared" si="230"/>
        <v>101.75</v>
      </c>
      <c r="Y3675" t="str">
        <f t="shared" si="231"/>
        <v>Non-Senior</v>
      </c>
    </row>
    <row r="3676" spans="1:25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228"/>
        <v>0-12 Months</v>
      </c>
      <c r="W3676">
        <f t="shared" si="229"/>
        <v>1</v>
      </c>
      <c r="X3676">
        <f t="shared" si="230"/>
        <v>45.8</v>
      </c>
      <c r="Y3676" t="str">
        <f t="shared" si="231"/>
        <v>Non-Senior</v>
      </c>
    </row>
    <row r="3677" spans="1:25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7082</v>
      </c>
      <c r="J3677" t="s">
        <v>7084</v>
      </c>
      <c r="K3677" t="s">
        <v>46</v>
      </c>
      <c r="L3677" t="s">
        <v>7084</v>
      </c>
      <c r="M3677" t="s">
        <v>7084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228"/>
        <v>0-12 Months</v>
      </c>
      <c r="W3677">
        <f t="shared" si="229"/>
        <v>0</v>
      </c>
      <c r="X3677">
        <f t="shared" si="230"/>
        <v>0</v>
      </c>
      <c r="Y3677" t="str">
        <f t="shared" si="231"/>
        <v>Non-Senior</v>
      </c>
    </row>
    <row r="3678" spans="1:25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228"/>
        <v>25-36 Months</v>
      </c>
      <c r="W3678">
        <f t="shared" si="229"/>
        <v>0</v>
      </c>
      <c r="X3678">
        <f t="shared" si="230"/>
        <v>0</v>
      </c>
      <c r="Y3678" t="str">
        <f t="shared" si="231"/>
        <v>Non-Senior</v>
      </c>
    </row>
    <row r="3679" spans="1:25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228"/>
        <v>0-12 Months</v>
      </c>
      <c r="W3679">
        <f t="shared" si="229"/>
        <v>0</v>
      </c>
      <c r="X3679">
        <f t="shared" si="230"/>
        <v>0</v>
      </c>
      <c r="Y3679" t="str">
        <f t="shared" si="231"/>
        <v>Non-Senior</v>
      </c>
    </row>
    <row r="3680" spans="1:25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228"/>
        <v>13-24 Months</v>
      </c>
      <c r="W3680">
        <f t="shared" si="229"/>
        <v>0</v>
      </c>
      <c r="X3680">
        <f t="shared" si="230"/>
        <v>0</v>
      </c>
      <c r="Y3680" t="str">
        <f t="shared" si="231"/>
        <v>Non-Senior</v>
      </c>
    </row>
    <row r="3681" spans="1:25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7082</v>
      </c>
      <c r="J3681" t="s">
        <v>7084</v>
      </c>
      <c r="K3681" t="s">
        <v>46</v>
      </c>
      <c r="L3681" t="s">
        <v>7084</v>
      </c>
      <c r="M3681" t="s">
        <v>7084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228"/>
        <v>0-12 Months</v>
      </c>
      <c r="W3681">
        <f t="shared" si="229"/>
        <v>1</v>
      </c>
      <c r="X3681">
        <f t="shared" si="230"/>
        <v>20.100000000000001</v>
      </c>
      <c r="Y3681" t="str">
        <f t="shared" si="231"/>
        <v>Non-Senior</v>
      </c>
    </row>
    <row r="3682" spans="1:25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228"/>
        <v>0-12 Months</v>
      </c>
      <c r="W3682">
        <f t="shared" si="229"/>
        <v>1</v>
      </c>
      <c r="X3682">
        <f t="shared" si="230"/>
        <v>40.65</v>
      </c>
      <c r="Y3682" t="str">
        <f t="shared" si="231"/>
        <v>Non-Senior</v>
      </c>
    </row>
    <row r="3683" spans="1:25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228"/>
        <v>37-48 Months</v>
      </c>
      <c r="W3683">
        <f t="shared" si="229"/>
        <v>1</v>
      </c>
      <c r="X3683">
        <f t="shared" si="230"/>
        <v>101</v>
      </c>
      <c r="Y3683" t="str">
        <f t="shared" si="231"/>
        <v>Senior Citizen</v>
      </c>
    </row>
    <row r="3684" spans="1:25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228"/>
        <v>0-12 Months</v>
      </c>
      <c r="W3684">
        <f t="shared" si="229"/>
        <v>1</v>
      </c>
      <c r="X3684">
        <f t="shared" si="230"/>
        <v>69.099999999999994</v>
      </c>
      <c r="Y3684" t="str">
        <f t="shared" si="231"/>
        <v>Non-Senior</v>
      </c>
    </row>
    <row r="3685" spans="1:25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228"/>
        <v>61-72 Months</v>
      </c>
      <c r="W3685">
        <f t="shared" si="229"/>
        <v>0</v>
      </c>
      <c r="X3685">
        <f t="shared" si="230"/>
        <v>0</v>
      </c>
      <c r="Y3685" t="str">
        <f t="shared" si="231"/>
        <v>Non-Senior</v>
      </c>
    </row>
    <row r="3686" spans="1:25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228"/>
        <v>37-48 Months</v>
      </c>
      <c r="W3686">
        <f t="shared" si="229"/>
        <v>0</v>
      </c>
      <c r="X3686">
        <f t="shared" si="230"/>
        <v>0</v>
      </c>
      <c r="Y3686" t="str">
        <f t="shared" si="231"/>
        <v>Non-Senior</v>
      </c>
    </row>
    <row r="3687" spans="1:25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228"/>
        <v>49-60 Months</v>
      </c>
      <c r="W3687">
        <f t="shared" si="229"/>
        <v>0</v>
      </c>
      <c r="X3687">
        <f t="shared" si="230"/>
        <v>0</v>
      </c>
      <c r="Y3687" t="str">
        <f t="shared" si="231"/>
        <v>Non-Senior</v>
      </c>
    </row>
    <row r="3688" spans="1:25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228"/>
        <v>13-24 Months</v>
      </c>
      <c r="W3688">
        <f t="shared" si="229"/>
        <v>1</v>
      </c>
      <c r="X3688">
        <f t="shared" si="230"/>
        <v>75</v>
      </c>
      <c r="Y3688" t="str">
        <f t="shared" si="231"/>
        <v>Non-Senior</v>
      </c>
    </row>
    <row r="3689" spans="1:25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228"/>
        <v>13-24 Months</v>
      </c>
      <c r="W3689">
        <f t="shared" si="229"/>
        <v>1</v>
      </c>
      <c r="X3689">
        <f t="shared" si="230"/>
        <v>100</v>
      </c>
      <c r="Y3689" t="str">
        <f t="shared" si="231"/>
        <v>Non-Senior</v>
      </c>
    </row>
    <row r="3690" spans="1:25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228"/>
        <v>37-48 Months</v>
      </c>
      <c r="W3690">
        <f t="shared" si="229"/>
        <v>0</v>
      </c>
      <c r="X3690">
        <f t="shared" si="230"/>
        <v>0</v>
      </c>
      <c r="Y3690" t="str">
        <f t="shared" si="231"/>
        <v>Non-Senior</v>
      </c>
    </row>
    <row r="3691" spans="1:25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228"/>
        <v>0-12 Months</v>
      </c>
      <c r="W3691">
        <f t="shared" si="229"/>
        <v>1</v>
      </c>
      <c r="X3691">
        <f t="shared" si="230"/>
        <v>71.150000000000006</v>
      </c>
      <c r="Y3691" t="str">
        <f t="shared" si="231"/>
        <v>Senior Citizen</v>
      </c>
    </row>
    <row r="3692" spans="1:25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228"/>
        <v>13-24 Months</v>
      </c>
      <c r="W3692">
        <f t="shared" si="229"/>
        <v>1</v>
      </c>
      <c r="X3692">
        <f t="shared" si="230"/>
        <v>54.15</v>
      </c>
      <c r="Y3692" t="str">
        <f t="shared" si="231"/>
        <v>Non-Senior</v>
      </c>
    </row>
    <row r="3693" spans="1:25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228"/>
        <v>37-48 Months</v>
      </c>
      <c r="W3693">
        <f t="shared" si="229"/>
        <v>0</v>
      </c>
      <c r="X3693">
        <f t="shared" si="230"/>
        <v>0</v>
      </c>
      <c r="Y3693" t="str">
        <f t="shared" si="231"/>
        <v>Non-Senior</v>
      </c>
    </row>
    <row r="3694" spans="1:25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228"/>
        <v>0-12 Months</v>
      </c>
      <c r="W3694">
        <f t="shared" si="229"/>
        <v>0</v>
      </c>
      <c r="X3694">
        <f t="shared" si="230"/>
        <v>0</v>
      </c>
      <c r="Y3694" t="str">
        <f t="shared" si="231"/>
        <v>Non-Senior</v>
      </c>
    </row>
    <row r="3695" spans="1:25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228"/>
        <v>37-48 Months</v>
      </c>
      <c r="W3695">
        <f t="shared" si="229"/>
        <v>0</v>
      </c>
      <c r="X3695">
        <f t="shared" si="230"/>
        <v>0</v>
      </c>
      <c r="Y3695" t="str">
        <f t="shared" si="231"/>
        <v>Non-Senior</v>
      </c>
    </row>
    <row r="3696" spans="1:25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228"/>
        <v>61-72 Months</v>
      </c>
      <c r="W3696">
        <f t="shared" si="229"/>
        <v>1</v>
      </c>
      <c r="X3696">
        <f t="shared" si="230"/>
        <v>108.75</v>
      </c>
      <c r="Y3696" t="str">
        <f t="shared" si="231"/>
        <v>Non-Senior</v>
      </c>
    </row>
    <row r="3697" spans="1:25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228"/>
        <v>25-36 Months</v>
      </c>
      <c r="W3697">
        <f t="shared" si="229"/>
        <v>0</v>
      </c>
      <c r="X3697">
        <f t="shared" si="230"/>
        <v>0</v>
      </c>
      <c r="Y3697" t="str">
        <f t="shared" si="231"/>
        <v>Non-Senior</v>
      </c>
    </row>
    <row r="3698" spans="1:25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228"/>
        <v>0-12 Months</v>
      </c>
      <c r="W3698">
        <f t="shared" si="229"/>
        <v>1</v>
      </c>
      <c r="X3698">
        <f t="shared" si="230"/>
        <v>49.15</v>
      </c>
      <c r="Y3698" t="str">
        <f t="shared" si="231"/>
        <v>Non-Senior</v>
      </c>
    </row>
    <row r="3699" spans="1:25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228"/>
        <v>25-36 Months</v>
      </c>
      <c r="W3699">
        <f t="shared" si="229"/>
        <v>0</v>
      </c>
      <c r="X3699">
        <f t="shared" si="230"/>
        <v>0</v>
      </c>
      <c r="Y3699" t="str">
        <f t="shared" si="231"/>
        <v>Non-Senior</v>
      </c>
    </row>
    <row r="3700" spans="1:25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228"/>
        <v>49-60 Months</v>
      </c>
      <c r="W3700">
        <f t="shared" si="229"/>
        <v>0</v>
      </c>
      <c r="X3700">
        <f t="shared" si="230"/>
        <v>0</v>
      </c>
      <c r="Y3700" t="str">
        <f t="shared" si="231"/>
        <v>Non-Senior</v>
      </c>
    </row>
    <row r="3701" spans="1:25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228"/>
        <v>25-36 Months</v>
      </c>
      <c r="W3701">
        <f t="shared" si="229"/>
        <v>0</v>
      </c>
      <c r="X3701">
        <f t="shared" si="230"/>
        <v>0</v>
      </c>
      <c r="Y3701" t="str">
        <f t="shared" si="231"/>
        <v>Non-Senior</v>
      </c>
    </row>
    <row r="3702" spans="1:25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7082</v>
      </c>
      <c r="J3702" t="s">
        <v>7084</v>
      </c>
      <c r="K3702" t="s">
        <v>46</v>
      </c>
      <c r="L3702" t="s">
        <v>7084</v>
      </c>
      <c r="M3702" t="s">
        <v>7084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228"/>
        <v>13-24 Months</v>
      </c>
      <c r="W3702">
        <f t="shared" si="229"/>
        <v>1</v>
      </c>
      <c r="X3702">
        <f t="shared" si="230"/>
        <v>19.399999999999999</v>
      </c>
      <c r="Y3702" t="str">
        <f t="shared" si="231"/>
        <v>Non-Senior</v>
      </c>
    </row>
    <row r="3703" spans="1:25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7082</v>
      </c>
      <c r="J3703" t="s">
        <v>7084</v>
      </c>
      <c r="K3703" t="s">
        <v>46</v>
      </c>
      <c r="L3703" t="s">
        <v>7084</v>
      </c>
      <c r="M3703" t="s">
        <v>7084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228"/>
        <v>25-36 Months</v>
      </c>
      <c r="W3703">
        <f t="shared" si="229"/>
        <v>0</v>
      </c>
      <c r="X3703">
        <f t="shared" si="230"/>
        <v>0</v>
      </c>
      <c r="Y3703" t="str">
        <f t="shared" si="231"/>
        <v>Non-Senior</v>
      </c>
    </row>
    <row r="3704" spans="1:25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228"/>
        <v>13-24 Months</v>
      </c>
      <c r="W3704">
        <f t="shared" si="229"/>
        <v>1</v>
      </c>
      <c r="X3704">
        <f t="shared" si="230"/>
        <v>79.150000000000006</v>
      </c>
      <c r="Y3704" t="str">
        <f t="shared" si="231"/>
        <v>Senior Citizen</v>
      </c>
    </row>
    <row r="3705" spans="1:25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7082</v>
      </c>
      <c r="J3705" t="s">
        <v>7084</v>
      </c>
      <c r="K3705" t="s">
        <v>46</v>
      </c>
      <c r="L3705" t="s">
        <v>7084</v>
      </c>
      <c r="M3705" t="s">
        <v>7084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228"/>
        <v>0-12 Months</v>
      </c>
      <c r="W3705">
        <f t="shared" si="229"/>
        <v>0</v>
      </c>
      <c r="X3705">
        <f t="shared" si="230"/>
        <v>0</v>
      </c>
      <c r="Y3705" t="str">
        <f t="shared" si="231"/>
        <v>Non-Senior</v>
      </c>
    </row>
    <row r="3706" spans="1:25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228"/>
        <v>61-72 Months</v>
      </c>
      <c r="W3706">
        <f t="shared" si="229"/>
        <v>0</v>
      </c>
      <c r="X3706">
        <f t="shared" si="230"/>
        <v>0</v>
      </c>
      <c r="Y3706" t="str">
        <f t="shared" si="231"/>
        <v>Non-Senior</v>
      </c>
    </row>
    <row r="3707" spans="1:25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228"/>
        <v>61-72 Months</v>
      </c>
      <c r="W3707">
        <f t="shared" si="229"/>
        <v>0</v>
      </c>
      <c r="X3707">
        <f t="shared" si="230"/>
        <v>0</v>
      </c>
      <c r="Y3707" t="str">
        <f t="shared" si="231"/>
        <v>Non-Senior</v>
      </c>
    </row>
    <row r="3708" spans="1:25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228"/>
        <v>25-36 Months</v>
      </c>
      <c r="W3708">
        <f t="shared" si="229"/>
        <v>0</v>
      </c>
      <c r="X3708">
        <f t="shared" si="230"/>
        <v>0</v>
      </c>
      <c r="Y3708" t="str">
        <f t="shared" si="231"/>
        <v>Non-Senior</v>
      </c>
    </row>
    <row r="3709" spans="1:25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7082</v>
      </c>
      <c r="J3709" t="s">
        <v>7084</v>
      </c>
      <c r="K3709" t="s">
        <v>46</v>
      </c>
      <c r="L3709" t="s">
        <v>7084</v>
      </c>
      <c r="M3709" t="s">
        <v>7084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228"/>
        <v>61-72 Months</v>
      </c>
      <c r="W3709">
        <f t="shared" si="229"/>
        <v>0</v>
      </c>
      <c r="X3709">
        <f t="shared" si="230"/>
        <v>0</v>
      </c>
      <c r="Y3709" t="str">
        <f t="shared" si="231"/>
        <v>Non-Senior</v>
      </c>
    </row>
    <row r="3710" spans="1:25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7082</v>
      </c>
      <c r="J3710" t="s">
        <v>7084</v>
      </c>
      <c r="K3710" t="s">
        <v>46</v>
      </c>
      <c r="L3710" t="s">
        <v>7084</v>
      </c>
      <c r="M3710" t="s">
        <v>7084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228"/>
        <v>0-12 Months</v>
      </c>
      <c r="W3710">
        <f t="shared" si="229"/>
        <v>0</v>
      </c>
      <c r="X3710">
        <f t="shared" si="230"/>
        <v>0</v>
      </c>
      <c r="Y3710" t="str">
        <f t="shared" si="231"/>
        <v>Non-Senior</v>
      </c>
    </row>
    <row r="3711" spans="1:25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228"/>
        <v>0-12 Months</v>
      </c>
      <c r="W3711">
        <f t="shared" si="229"/>
        <v>0</v>
      </c>
      <c r="X3711">
        <f t="shared" si="230"/>
        <v>0</v>
      </c>
      <c r="Y3711" t="str">
        <f t="shared" si="231"/>
        <v>Non-Senior</v>
      </c>
    </row>
    <row r="3712" spans="1:25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7082</v>
      </c>
      <c r="J3712" t="s">
        <v>7084</v>
      </c>
      <c r="K3712" t="s">
        <v>46</v>
      </c>
      <c r="L3712" t="s">
        <v>7084</v>
      </c>
      <c r="M3712" t="s">
        <v>7084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228"/>
        <v>0-12 Months</v>
      </c>
      <c r="W3712">
        <f t="shared" si="229"/>
        <v>0</v>
      </c>
      <c r="X3712">
        <f t="shared" si="230"/>
        <v>0</v>
      </c>
      <c r="Y3712" t="str">
        <f t="shared" si="231"/>
        <v>Non-Senior</v>
      </c>
    </row>
    <row r="3713" spans="1:25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228"/>
        <v>49-60 Months</v>
      </c>
      <c r="W3713">
        <f t="shared" si="229"/>
        <v>0</v>
      </c>
      <c r="X3713">
        <f t="shared" si="230"/>
        <v>0</v>
      </c>
      <c r="Y3713" t="str">
        <f t="shared" si="231"/>
        <v>Non-Senior</v>
      </c>
    </row>
    <row r="3714" spans="1:25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si="228"/>
        <v>37-48 Months</v>
      </c>
      <c r="W3714">
        <f t="shared" si="229"/>
        <v>0</v>
      </c>
      <c r="X3714">
        <f t="shared" si="230"/>
        <v>0</v>
      </c>
      <c r="Y3714" t="str">
        <f t="shared" si="231"/>
        <v>Non-Senior</v>
      </c>
    </row>
    <row r="3715" spans="1:25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ref="V3715:V3778" si="232">IF(F3715&lt;=12,"0-12 Months",IF(F3715&lt;=24,"13-24 Months",IF(F3715&lt;=36,"25-36 Months",IF(F3715&lt;=48,"37-48 Months",IF(F3715&lt;=60,"49-60 Months","61-72 Months")))))</f>
        <v>37-48 Months</v>
      </c>
      <c r="W3715">
        <f t="shared" ref="W3715:W3778" si="233">IF(U3715="Yes",1,0)</f>
        <v>1</v>
      </c>
      <c r="X3715">
        <f t="shared" ref="X3715:X3778" si="234">IF(U3715="Yes",S3715,0)</f>
        <v>80.400000000000006</v>
      </c>
      <c r="Y3715" t="str">
        <f t="shared" ref="Y3715:Y3778" si="235">IF(C3715=1,"Senior Citizen","Non-Senior")</f>
        <v>Senior Citizen</v>
      </c>
    </row>
    <row r="3716" spans="1:25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232"/>
        <v>61-72 Months</v>
      </c>
      <c r="W3716">
        <f t="shared" si="233"/>
        <v>0</v>
      </c>
      <c r="X3716">
        <f t="shared" si="234"/>
        <v>0</v>
      </c>
      <c r="Y3716" t="str">
        <f t="shared" si="235"/>
        <v>Non-Senior</v>
      </c>
    </row>
    <row r="3717" spans="1:25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232"/>
        <v>0-12 Months</v>
      </c>
      <c r="W3717">
        <f t="shared" si="233"/>
        <v>0</v>
      </c>
      <c r="X3717">
        <f t="shared" si="234"/>
        <v>0</v>
      </c>
      <c r="Y3717" t="str">
        <f t="shared" si="235"/>
        <v>Senior Citizen</v>
      </c>
    </row>
    <row r="3718" spans="1:25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232"/>
        <v>0-12 Months</v>
      </c>
      <c r="W3718">
        <f t="shared" si="233"/>
        <v>1</v>
      </c>
      <c r="X3718">
        <f t="shared" si="234"/>
        <v>102</v>
      </c>
      <c r="Y3718" t="str">
        <f t="shared" si="235"/>
        <v>Non-Senior</v>
      </c>
    </row>
    <row r="3719" spans="1:25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232"/>
        <v>25-36 Months</v>
      </c>
      <c r="W3719">
        <f t="shared" si="233"/>
        <v>0</v>
      </c>
      <c r="X3719">
        <f t="shared" si="234"/>
        <v>0</v>
      </c>
      <c r="Y3719" t="str">
        <f t="shared" si="235"/>
        <v>Non-Senior</v>
      </c>
    </row>
    <row r="3720" spans="1:25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232"/>
        <v>49-60 Months</v>
      </c>
      <c r="W3720">
        <f t="shared" si="233"/>
        <v>0</v>
      </c>
      <c r="X3720">
        <f t="shared" si="234"/>
        <v>0</v>
      </c>
      <c r="Y3720" t="str">
        <f t="shared" si="235"/>
        <v>Non-Senior</v>
      </c>
    </row>
    <row r="3721" spans="1:25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7082</v>
      </c>
      <c r="J3721" t="s">
        <v>7084</v>
      </c>
      <c r="K3721" t="s">
        <v>46</v>
      </c>
      <c r="L3721" t="s">
        <v>7084</v>
      </c>
      <c r="M3721" t="s">
        <v>7084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232"/>
        <v>25-36 Months</v>
      </c>
      <c r="W3721">
        <f t="shared" si="233"/>
        <v>0</v>
      </c>
      <c r="X3721">
        <f t="shared" si="234"/>
        <v>0</v>
      </c>
      <c r="Y3721" t="str">
        <f t="shared" si="235"/>
        <v>Non-Senior</v>
      </c>
    </row>
    <row r="3722" spans="1:25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232"/>
        <v>37-48 Months</v>
      </c>
      <c r="W3722">
        <f t="shared" si="233"/>
        <v>0</v>
      </c>
      <c r="X3722">
        <f t="shared" si="234"/>
        <v>0</v>
      </c>
      <c r="Y3722" t="str">
        <f t="shared" si="235"/>
        <v>Non-Senior</v>
      </c>
    </row>
    <row r="3723" spans="1:25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7082</v>
      </c>
      <c r="J3723" t="s">
        <v>7084</v>
      </c>
      <c r="K3723" t="s">
        <v>46</v>
      </c>
      <c r="L3723" t="s">
        <v>7084</v>
      </c>
      <c r="M3723" t="s">
        <v>7084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232"/>
        <v>0-12 Months</v>
      </c>
      <c r="W3723">
        <f t="shared" si="233"/>
        <v>1</v>
      </c>
      <c r="X3723">
        <f t="shared" si="234"/>
        <v>20.65</v>
      </c>
      <c r="Y3723" t="str">
        <f t="shared" si="235"/>
        <v>Non-Senior</v>
      </c>
    </row>
    <row r="3724" spans="1:25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232"/>
        <v>13-24 Months</v>
      </c>
      <c r="W3724">
        <f t="shared" si="233"/>
        <v>0</v>
      </c>
      <c r="X3724">
        <f t="shared" si="234"/>
        <v>0</v>
      </c>
      <c r="Y3724" t="str">
        <f t="shared" si="235"/>
        <v>Non-Senior</v>
      </c>
    </row>
    <row r="3725" spans="1:25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7082</v>
      </c>
      <c r="J3725" t="s">
        <v>7084</v>
      </c>
      <c r="K3725" t="s">
        <v>46</v>
      </c>
      <c r="L3725" t="s">
        <v>7084</v>
      </c>
      <c r="M3725" t="s">
        <v>7084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232"/>
        <v>13-24 Months</v>
      </c>
      <c r="W3725">
        <f t="shared" si="233"/>
        <v>0</v>
      </c>
      <c r="X3725">
        <f t="shared" si="234"/>
        <v>0</v>
      </c>
      <c r="Y3725" t="str">
        <f t="shared" si="235"/>
        <v>Non-Senior</v>
      </c>
    </row>
    <row r="3726" spans="1:25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7082</v>
      </c>
      <c r="J3726" t="s">
        <v>7084</v>
      </c>
      <c r="K3726" t="s">
        <v>46</v>
      </c>
      <c r="L3726" t="s">
        <v>7084</v>
      </c>
      <c r="M3726" t="s">
        <v>7084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232"/>
        <v>61-72 Months</v>
      </c>
      <c r="W3726">
        <f t="shared" si="233"/>
        <v>0</v>
      </c>
      <c r="X3726">
        <f t="shared" si="234"/>
        <v>0</v>
      </c>
      <c r="Y3726" t="str">
        <f t="shared" si="235"/>
        <v>Non-Senior</v>
      </c>
    </row>
    <row r="3727" spans="1:25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232"/>
        <v>0-12 Months</v>
      </c>
      <c r="W3727">
        <f t="shared" si="233"/>
        <v>1</v>
      </c>
      <c r="X3727">
        <f t="shared" si="234"/>
        <v>70.8</v>
      </c>
      <c r="Y3727" t="str">
        <f t="shared" si="235"/>
        <v>Non-Senior</v>
      </c>
    </row>
    <row r="3728" spans="1:25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232"/>
        <v>13-24 Months</v>
      </c>
      <c r="W3728">
        <f t="shared" si="233"/>
        <v>1</v>
      </c>
      <c r="X3728">
        <f t="shared" si="234"/>
        <v>89.05</v>
      </c>
      <c r="Y3728" t="str">
        <f t="shared" si="235"/>
        <v>Non-Senior</v>
      </c>
    </row>
    <row r="3729" spans="1:25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232"/>
        <v>0-12 Months</v>
      </c>
      <c r="W3729">
        <f t="shared" si="233"/>
        <v>1</v>
      </c>
      <c r="X3729">
        <f t="shared" si="234"/>
        <v>96.6</v>
      </c>
      <c r="Y3729" t="str">
        <f t="shared" si="235"/>
        <v>Non-Senior</v>
      </c>
    </row>
    <row r="3730" spans="1:25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232"/>
        <v>61-72 Months</v>
      </c>
      <c r="W3730">
        <f t="shared" si="233"/>
        <v>0</v>
      </c>
      <c r="X3730">
        <f t="shared" si="234"/>
        <v>0</v>
      </c>
      <c r="Y3730" t="str">
        <f t="shared" si="235"/>
        <v>Non-Senior</v>
      </c>
    </row>
    <row r="3731" spans="1:25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7082</v>
      </c>
      <c r="J3731" t="s">
        <v>7084</v>
      </c>
      <c r="K3731" t="s">
        <v>46</v>
      </c>
      <c r="L3731" t="s">
        <v>7084</v>
      </c>
      <c r="M3731" t="s">
        <v>7084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232"/>
        <v>61-72 Months</v>
      </c>
      <c r="W3731">
        <f t="shared" si="233"/>
        <v>0</v>
      </c>
      <c r="X3731">
        <f t="shared" si="234"/>
        <v>0</v>
      </c>
      <c r="Y3731" t="str">
        <f t="shared" si="235"/>
        <v>Non-Senior</v>
      </c>
    </row>
    <row r="3732" spans="1:25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232"/>
        <v>49-60 Months</v>
      </c>
      <c r="W3732">
        <f t="shared" si="233"/>
        <v>1</v>
      </c>
      <c r="X3732">
        <f t="shared" si="234"/>
        <v>104.5</v>
      </c>
      <c r="Y3732" t="str">
        <f t="shared" si="235"/>
        <v>Non-Senior</v>
      </c>
    </row>
    <row r="3733" spans="1:25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232"/>
        <v>0-12 Months</v>
      </c>
      <c r="W3733">
        <f t="shared" si="233"/>
        <v>0</v>
      </c>
      <c r="X3733">
        <f t="shared" si="234"/>
        <v>0</v>
      </c>
      <c r="Y3733" t="str">
        <f t="shared" si="235"/>
        <v>Non-Senior</v>
      </c>
    </row>
    <row r="3734" spans="1:25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232"/>
        <v>13-24 Months</v>
      </c>
      <c r="W3734">
        <f t="shared" si="233"/>
        <v>0</v>
      </c>
      <c r="X3734">
        <f t="shared" si="234"/>
        <v>0</v>
      </c>
      <c r="Y3734" t="str">
        <f t="shared" si="235"/>
        <v>Non-Senior</v>
      </c>
    </row>
    <row r="3735" spans="1:25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232"/>
        <v>25-36 Months</v>
      </c>
      <c r="W3735">
        <f t="shared" si="233"/>
        <v>0</v>
      </c>
      <c r="X3735">
        <f t="shared" si="234"/>
        <v>0</v>
      </c>
      <c r="Y3735" t="str">
        <f t="shared" si="235"/>
        <v>Non-Senior</v>
      </c>
    </row>
    <row r="3736" spans="1:25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232"/>
        <v>61-72 Months</v>
      </c>
      <c r="W3736">
        <f t="shared" si="233"/>
        <v>0</v>
      </c>
      <c r="X3736">
        <f t="shared" si="234"/>
        <v>0</v>
      </c>
      <c r="Y3736" t="str">
        <f t="shared" si="235"/>
        <v>Senior Citizen</v>
      </c>
    </row>
    <row r="3737" spans="1:25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232"/>
        <v>0-12 Months</v>
      </c>
      <c r="W3737">
        <f t="shared" si="233"/>
        <v>0</v>
      </c>
      <c r="X3737">
        <f t="shared" si="234"/>
        <v>0</v>
      </c>
      <c r="Y3737" t="str">
        <f t="shared" si="235"/>
        <v>Non-Senior</v>
      </c>
    </row>
    <row r="3738" spans="1:25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7082</v>
      </c>
      <c r="J3738" t="s">
        <v>7084</v>
      </c>
      <c r="K3738" t="s">
        <v>46</v>
      </c>
      <c r="L3738" t="s">
        <v>7084</v>
      </c>
      <c r="M3738" t="s">
        <v>7084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232"/>
        <v>0-12 Months</v>
      </c>
      <c r="W3738">
        <f t="shared" si="233"/>
        <v>0</v>
      </c>
      <c r="X3738">
        <f t="shared" si="234"/>
        <v>0</v>
      </c>
      <c r="Y3738" t="str">
        <f t="shared" si="235"/>
        <v>Non-Senior</v>
      </c>
    </row>
    <row r="3739" spans="1:25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232"/>
        <v>0-12 Months</v>
      </c>
      <c r="W3739">
        <f t="shared" si="233"/>
        <v>1</v>
      </c>
      <c r="X3739">
        <f t="shared" si="234"/>
        <v>50.6</v>
      </c>
      <c r="Y3739" t="str">
        <f t="shared" si="235"/>
        <v>Non-Senior</v>
      </c>
    </row>
    <row r="3740" spans="1:25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232"/>
        <v>25-36 Months</v>
      </c>
      <c r="W3740">
        <f t="shared" si="233"/>
        <v>0</v>
      </c>
      <c r="X3740">
        <f t="shared" si="234"/>
        <v>0</v>
      </c>
      <c r="Y3740" t="str">
        <f t="shared" si="235"/>
        <v>Non-Senior</v>
      </c>
    </row>
    <row r="3741" spans="1:25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7082</v>
      </c>
      <c r="J3741" t="s">
        <v>7084</v>
      </c>
      <c r="K3741" t="s">
        <v>46</v>
      </c>
      <c r="L3741" t="s">
        <v>7084</v>
      </c>
      <c r="M3741" t="s">
        <v>7084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232"/>
        <v>13-24 Months</v>
      </c>
      <c r="W3741">
        <f t="shared" si="233"/>
        <v>0</v>
      </c>
      <c r="X3741">
        <f t="shared" si="234"/>
        <v>0</v>
      </c>
      <c r="Y3741" t="str">
        <f t="shared" si="235"/>
        <v>Non-Senior</v>
      </c>
    </row>
    <row r="3742" spans="1:25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232"/>
        <v>0-12 Months</v>
      </c>
      <c r="W3742">
        <f t="shared" si="233"/>
        <v>0</v>
      </c>
      <c r="X3742">
        <f t="shared" si="234"/>
        <v>0</v>
      </c>
      <c r="Y3742" t="str">
        <f t="shared" si="235"/>
        <v>Non-Senior</v>
      </c>
    </row>
    <row r="3743" spans="1:25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232"/>
        <v>61-72 Months</v>
      </c>
      <c r="W3743">
        <f t="shared" si="233"/>
        <v>0</v>
      </c>
      <c r="X3743">
        <f t="shared" si="234"/>
        <v>0</v>
      </c>
      <c r="Y3743" t="str">
        <f t="shared" si="235"/>
        <v>Non-Senior</v>
      </c>
    </row>
    <row r="3744" spans="1:25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232"/>
        <v>37-48 Months</v>
      </c>
      <c r="W3744">
        <f t="shared" si="233"/>
        <v>0</v>
      </c>
      <c r="X3744">
        <f t="shared" si="234"/>
        <v>0</v>
      </c>
      <c r="Y3744" t="str">
        <f t="shared" si="235"/>
        <v>Non-Senior</v>
      </c>
    </row>
    <row r="3745" spans="1:25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232"/>
        <v>0-12 Months</v>
      </c>
      <c r="W3745">
        <f t="shared" si="233"/>
        <v>1</v>
      </c>
      <c r="X3745">
        <f t="shared" si="234"/>
        <v>49.35</v>
      </c>
      <c r="Y3745" t="str">
        <f t="shared" si="235"/>
        <v>Non-Senior</v>
      </c>
    </row>
    <row r="3746" spans="1:25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232"/>
        <v>25-36 Months</v>
      </c>
      <c r="W3746">
        <f t="shared" si="233"/>
        <v>0</v>
      </c>
      <c r="X3746">
        <f t="shared" si="234"/>
        <v>0</v>
      </c>
      <c r="Y3746" t="str">
        <f t="shared" si="235"/>
        <v>Non-Senior</v>
      </c>
    </row>
    <row r="3747" spans="1:25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232"/>
        <v>0-12 Months</v>
      </c>
      <c r="W3747">
        <f t="shared" si="233"/>
        <v>1</v>
      </c>
      <c r="X3747">
        <f t="shared" si="234"/>
        <v>94.25</v>
      </c>
      <c r="Y3747" t="str">
        <f t="shared" si="235"/>
        <v>Non-Senior</v>
      </c>
    </row>
    <row r="3748" spans="1:25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232"/>
        <v>0-12 Months</v>
      </c>
      <c r="W3748">
        <f t="shared" si="233"/>
        <v>1</v>
      </c>
      <c r="X3748">
        <f t="shared" si="234"/>
        <v>68.95</v>
      </c>
      <c r="Y3748" t="str">
        <f t="shared" si="235"/>
        <v>Non-Senior</v>
      </c>
    </row>
    <row r="3749" spans="1:25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232"/>
        <v>0-12 Months</v>
      </c>
      <c r="W3749">
        <f t="shared" si="233"/>
        <v>0</v>
      </c>
      <c r="X3749">
        <f t="shared" si="234"/>
        <v>0</v>
      </c>
      <c r="Y3749" t="str">
        <f t="shared" si="235"/>
        <v>Non-Senior</v>
      </c>
    </row>
    <row r="3750" spans="1:25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232"/>
        <v>37-48 Months</v>
      </c>
      <c r="W3750">
        <f t="shared" si="233"/>
        <v>0</v>
      </c>
      <c r="X3750">
        <f t="shared" si="234"/>
        <v>0</v>
      </c>
      <c r="Y3750" t="str">
        <f t="shared" si="235"/>
        <v>Non-Senior</v>
      </c>
    </row>
    <row r="3751" spans="1:25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232"/>
        <v>0-12 Months</v>
      </c>
      <c r="W3751">
        <f t="shared" si="233"/>
        <v>1</v>
      </c>
      <c r="X3751">
        <f t="shared" si="234"/>
        <v>93.85</v>
      </c>
      <c r="Y3751" t="str">
        <f t="shared" si="235"/>
        <v>Senior Citizen</v>
      </c>
    </row>
    <row r="3752" spans="1:25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232"/>
        <v>0-12 Months</v>
      </c>
      <c r="W3752">
        <f t="shared" si="233"/>
        <v>0</v>
      </c>
      <c r="X3752">
        <f t="shared" si="234"/>
        <v>0</v>
      </c>
      <c r="Y3752" t="str">
        <f t="shared" si="235"/>
        <v>Senior Citizen</v>
      </c>
    </row>
    <row r="3753" spans="1:25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232"/>
        <v>49-60 Months</v>
      </c>
      <c r="W3753">
        <f t="shared" si="233"/>
        <v>0</v>
      </c>
      <c r="X3753">
        <f t="shared" si="234"/>
        <v>0</v>
      </c>
      <c r="Y3753" t="str">
        <f t="shared" si="235"/>
        <v>Non-Senior</v>
      </c>
    </row>
    <row r="3754" spans="1:25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232"/>
        <v>49-60 Months</v>
      </c>
      <c r="W3754">
        <f t="shared" si="233"/>
        <v>0</v>
      </c>
      <c r="X3754">
        <f t="shared" si="234"/>
        <v>0</v>
      </c>
      <c r="Y3754" t="str">
        <f t="shared" si="235"/>
        <v>Non-Senior</v>
      </c>
    </row>
    <row r="3755" spans="1:25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232"/>
        <v>0-12 Months</v>
      </c>
      <c r="W3755">
        <f t="shared" si="233"/>
        <v>0</v>
      </c>
      <c r="X3755">
        <f t="shared" si="234"/>
        <v>0</v>
      </c>
      <c r="Y3755" t="str">
        <f t="shared" si="235"/>
        <v>Non-Senior</v>
      </c>
    </row>
    <row r="3756" spans="1:25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7082</v>
      </c>
      <c r="J3756" t="s">
        <v>7084</v>
      </c>
      <c r="K3756" t="s">
        <v>46</v>
      </c>
      <c r="L3756" t="s">
        <v>7084</v>
      </c>
      <c r="M3756" t="s">
        <v>7084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232"/>
        <v>0-12 Months</v>
      </c>
      <c r="W3756">
        <f t="shared" si="233"/>
        <v>0</v>
      </c>
      <c r="X3756">
        <f t="shared" si="234"/>
        <v>0</v>
      </c>
      <c r="Y3756" t="str">
        <f t="shared" si="235"/>
        <v>Non-Senior</v>
      </c>
    </row>
    <row r="3757" spans="1:25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232"/>
        <v>0-12 Months</v>
      </c>
      <c r="W3757">
        <f t="shared" si="233"/>
        <v>1</v>
      </c>
      <c r="X3757">
        <f t="shared" si="234"/>
        <v>76.05</v>
      </c>
      <c r="Y3757" t="str">
        <f t="shared" si="235"/>
        <v>Non-Senior</v>
      </c>
    </row>
    <row r="3758" spans="1:25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232"/>
        <v>0-12 Months</v>
      </c>
      <c r="W3758">
        <f t="shared" si="233"/>
        <v>1</v>
      </c>
      <c r="X3758">
        <f t="shared" si="234"/>
        <v>24.45</v>
      </c>
      <c r="Y3758" t="str">
        <f t="shared" si="235"/>
        <v>Non-Senior</v>
      </c>
    </row>
    <row r="3759" spans="1:25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232"/>
        <v>37-48 Months</v>
      </c>
      <c r="W3759">
        <f t="shared" si="233"/>
        <v>0</v>
      </c>
      <c r="X3759">
        <f t="shared" si="234"/>
        <v>0</v>
      </c>
      <c r="Y3759" t="str">
        <f t="shared" si="235"/>
        <v>Non-Senior</v>
      </c>
    </row>
    <row r="3760" spans="1:25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232"/>
        <v>0-12 Months</v>
      </c>
      <c r="W3760">
        <f t="shared" si="233"/>
        <v>0</v>
      </c>
      <c r="X3760">
        <f t="shared" si="234"/>
        <v>0</v>
      </c>
      <c r="Y3760" t="str">
        <f t="shared" si="235"/>
        <v>Non-Senior</v>
      </c>
    </row>
    <row r="3761" spans="1:25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232"/>
        <v>0-12 Months</v>
      </c>
      <c r="W3761">
        <f t="shared" si="233"/>
        <v>1</v>
      </c>
      <c r="X3761">
        <f t="shared" si="234"/>
        <v>89.35</v>
      </c>
      <c r="Y3761" t="str">
        <f t="shared" si="235"/>
        <v>Non-Senior</v>
      </c>
    </row>
    <row r="3762" spans="1:25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232"/>
        <v>0-12 Months</v>
      </c>
      <c r="W3762">
        <f t="shared" si="233"/>
        <v>0</v>
      </c>
      <c r="X3762">
        <f t="shared" si="234"/>
        <v>0</v>
      </c>
      <c r="Y3762" t="str">
        <f t="shared" si="235"/>
        <v>Non-Senior</v>
      </c>
    </row>
    <row r="3763" spans="1:25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232"/>
        <v>61-72 Months</v>
      </c>
      <c r="W3763">
        <f t="shared" si="233"/>
        <v>0</v>
      </c>
      <c r="X3763">
        <f t="shared" si="234"/>
        <v>0</v>
      </c>
      <c r="Y3763" t="str">
        <f t="shared" si="235"/>
        <v>Non-Senior</v>
      </c>
    </row>
    <row r="3764" spans="1:25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232"/>
        <v>13-24 Months</v>
      </c>
      <c r="W3764">
        <f t="shared" si="233"/>
        <v>0</v>
      </c>
      <c r="X3764">
        <f t="shared" si="234"/>
        <v>0</v>
      </c>
      <c r="Y3764" t="str">
        <f t="shared" si="235"/>
        <v>Non-Senior</v>
      </c>
    </row>
    <row r="3765" spans="1:25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232"/>
        <v>0-12 Months</v>
      </c>
      <c r="W3765">
        <f t="shared" si="233"/>
        <v>1</v>
      </c>
      <c r="X3765">
        <f t="shared" si="234"/>
        <v>80.349999999999994</v>
      </c>
      <c r="Y3765" t="str">
        <f t="shared" si="235"/>
        <v>Non-Senior</v>
      </c>
    </row>
    <row r="3766" spans="1:25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7082</v>
      </c>
      <c r="J3766" t="s">
        <v>7084</v>
      </c>
      <c r="K3766" t="s">
        <v>46</v>
      </c>
      <c r="L3766" t="s">
        <v>7084</v>
      </c>
      <c r="M3766" t="s">
        <v>7084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232"/>
        <v>0-12 Months</v>
      </c>
      <c r="W3766">
        <f t="shared" si="233"/>
        <v>0</v>
      </c>
      <c r="X3766">
        <f t="shared" si="234"/>
        <v>0</v>
      </c>
      <c r="Y3766" t="str">
        <f t="shared" si="235"/>
        <v>Non-Senior</v>
      </c>
    </row>
    <row r="3767" spans="1:25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7082</v>
      </c>
      <c r="J3767" t="s">
        <v>7084</v>
      </c>
      <c r="K3767" t="s">
        <v>46</v>
      </c>
      <c r="L3767" t="s">
        <v>7084</v>
      </c>
      <c r="M3767" t="s">
        <v>7084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232"/>
        <v>0-12 Months</v>
      </c>
      <c r="W3767">
        <f t="shared" si="233"/>
        <v>0</v>
      </c>
      <c r="X3767">
        <f t="shared" si="234"/>
        <v>0</v>
      </c>
      <c r="Y3767" t="str">
        <f t="shared" si="235"/>
        <v>Non-Senior</v>
      </c>
    </row>
    <row r="3768" spans="1:25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232"/>
        <v>0-12 Months</v>
      </c>
      <c r="W3768">
        <f t="shared" si="233"/>
        <v>1</v>
      </c>
      <c r="X3768">
        <f t="shared" si="234"/>
        <v>55.8</v>
      </c>
      <c r="Y3768" t="str">
        <f t="shared" si="235"/>
        <v>Senior Citizen</v>
      </c>
    </row>
    <row r="3769" spans="1:25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232"/>
        <v>61-72 Months</v>
      </c>
      <c r="W3769">
        <f t="shared" si="233"/>
        <v>0</v>
      </c>
      <c r="X3769">
        <f t="shared" si="234"/>
        <v>0</v>
      </c>
      <c r="Y3769" t="str">
        <f t="shared" si="235"/>
        <v>Non-Senior</v>
      </c>
    </row>
    <row r="3770" spans="1:25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232"/>
        <v>49-60 Months</v>
      </c>
      <c r="W3770">
        <f t="shared" si="233"/>
        <v>0</v>
      </c>
      <c r="X3770">
        <f t="shared" si="234"/>
        <v>0</v>
      </c>
      <c r="Y3770" t="str">
        <f t="shared" si="235"/>
        <v>Non-Senior</v>
      </c>
    </row>
    <row r="3771" spans="1:25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7082</v>
      </c>
      <c r="J3771" t="s">
        <v>7084</v>
      </c>
      <c r="K3771" t="s">
        <v>46</v>
      </c>
      <c r="L3771" t="s">
        <v>7084</v>
      </c>
      <c r="M3771" t="s">
        <v>7084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232"/>
        <v>37-48 Months</v>
      </c>
      <c r="W3771">
        <f t="shared" si="233"/>
        <v>0</v>
      </c>
      <c r="X3771">
        <f t="shared" si="234"/>
        <v>0</v>
      </c>
      <c r="Y3771" t="str">
        <f t="shared" si="235"/>
        <v>Non-Senior</v>
      </c>
    </row>
    <row r="3772" spans="1:25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7082</v>
      </c>
      <c r="J3772" t="s">
        <v>7084</v>
      </c>
      <c r="K3772" t="s">
        <v>46</v>
      </c>
      <c r="L3772" t="s">
        <v>7084</v>
      </c>
      <c r="M3772" t="s">
        <v>7084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232"/>
        <v>49-60 Months</v>
      </c>
      <c r="W3772">
        <f t="shared" si="233"/>
        <v>0</v>
      </c>
      <c r="X3772">
        <f t="shared" si="234"/>
        <v>0</v>
      </c>
      <c r="Y3772" t="str">
        <f t="shared" si="235"/>
        <v>Non-Senior</v>
      </c>
    </row>
    <row r="3773" spans="1:25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232"/>
        <v>0-12 Months</v>
      </c>
      <c r="W3773">
        <f t="shared" si="233"/>
        <v>1</v>
      </c>
      <c r="X3773">
        <f t="shared" si="234"/>
        <v>79.05</v>
      </c>
      <c r="Y3773" t="str">
        <f t="shared" si="235"/>
        <v>Non-Senior</v>
      </c>
    </row>
    <row r="3774" spans="1:25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232"/>
        <v>0-12 Months</v>
      </c>
      <c r="W3774">
        <f t="shared" si="233"/>
        <v>1</v>
      </c>
      <c r="X3774">
        <f t="shared" si="234"/>
        <v>95</v>
      </c>
      <c r="Y3774" t="str">
        <f t="shared" si="235"/>
        <v>Non-Senior</v>
      </c>
    </row>
    <row r="3775" spans="1:25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232"/>
        <v>0-12 Months</v>
      </c>
      <c r="W3775">
        <f t="shared" si="233"/>
        <v>1</v>
      </c>
      <c r="X3775">
        <f t="shared" si="234"/>
        <v>25.2</v>
      </c>
      <c r="Y3775" t="str">
        <f t="shared" si="235"/>
        <v>Non-Senior</v>
      </c>
    </row>
    <row r="3776" spans="1:25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232"/>
        <v>49-60 Months</v>
      </c>
      <c r="W3776">
        <f t="shared" si="233"/>
        <v>0</v>
      </c>
      <c r="X3776">
        <f t="shared" si="234"/>
        <v>0</v>
      </c>
      <c r="Y3776" t="str">
        <f t="shared" si="235"/>
        <v>Senior Citizen</v>
      </c>
    </row>
    <row r="3777" spans="1:25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232"/>
        <v>37-48 Months</v>
      </c>
      <c r="W3777">
        <f t="shared" si="233"/>
        <v>1</v>
      </c>
      <c r="X3777">
        <f t="shared" si="234"/>
        <v>98.4</v>
      </c>
      <c r="Y3777" t="str">
        <f t="shared" si="235"/>
        <v>Senior Citizen</v>
      </c>
    </row>
    <row r="3778" spans="1:25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si="232"/>
        <v>37-48 Months</v>
      </c>
      <c r="W3778">
        <f t="shared" si="233"/>
        <v>0</v>
      </c>
      <c r="X3778">
        <f t="shared" si="234"/>
        <v>0</v>
      </c>
      <c r="Y3778" t="str">
        <f t="shared" si="235"/>
        <v>Non-Senior</v>
      </c>
    </row>
    <row r="3779" spans="1:25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7082</v>
      </c>
      <c r="J3779" t="s">
        <v>7084</v>
      </c>
      <c r="K3779" t="s">
        <v>46</v>
      </c>
      <c r="L3779" t="s">
        <v>7084</v>
      </c>
      <c r="M3779" t="s">
        <v>7084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ref="V3779:V3842" si="236">IF(F3779&lt;=12,"0-12 Months",IF(F3779&lt;=24,"13-24 Months",IF(F3779&lt;=36,"25-36 Months",IF(F3779&lt;=48,"37-48 Months",IF(F3779&lt;=60,"49-60 Months","61-72 Months")))))</f>
        <v>37-48 Months</v>
      </c>
      <c r="W3779">
        <f t="shared" ref="W3779:W3842" si="237">IF(U3779="Yes",1,0)</f>
        <v>0</v>
      </c>
      <c r="X3779">
        <f t="shared" ref="X3779:X3842" si="238">IF(U3779="Yes",S3779,0)</f>
        <v>0</v>
      </c>
      <c r="Y3779" t="str">
        <f t="shared" ref="Y3779:Y3842" si="239">IF(C3779=1,"Senior Citizen","Non-Senior")</f>
        <v>Non-Senior</v>
      </c>
    </row>
    <row r="3780" spans="1:25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236"/>
        <v>0-12 Months</v>
      </c>
      <c r="W3780">
        <f t="shared" si="237"/>
        <v>0</v>
      </c>
      <c r="X3780">
        <f t="shared" si="238"/>
        <v>0</v>
      </c>
      <c r="Y3780" t="str">
        <f t="shared" si="239"/>
        <v>Non-Senior</v>
      </c>
    </row>
    <row r="3781" spans="1:25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236"/>
        <v>61-72 Months</v>
      </c>
      <c r="W3781">
        <f t="shared" si="237"/>
        <v>1</v>
      </c>
      <c r="X3781">
        <f t="shared" si="238"/>
        <v>79.400000000000006</v>
      </c>
      <c r="Y3781" t="str">
        <f t="shared" si="239"/>
        <v>Senior Citizen</v>
      </c>
    </row>
    <row r="3782" spans="1:25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236"/>
        <v>49-60 Months</v>
      </c>
      <c r="W3782">
        <f t="shared" si="237"/>
        <v>0</v>
      </c>
      <c r="X3782">
        <f t="shared" si="238"/>
        <v>0</v>
      </c>
      <c r="Y3782" t="str">
        <f t="shared" si="239"/>
        <v>Non-Senior</v>
      </c>
    </row>
    <row r="3783" spans="1:25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7082</v>
      </c>
      <c r="J3783" t="s">
        <v>7084</v>
      </c>
      <c r="K3783" t="s">
        <v>46</v>
      </c>
      <c r="L3783" t="s">
        <v>7084</v>
      </c>
      <c r="M3783" t="s">
        <v>7084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236"/>
        <v>25-36 Months</v>
      </c>
      <c r="W3783">
        <f t="shared" si="237"/>
        <v>0</v>
      </c>
      <c r="X3783">
        <f t="shared" si="238"/>
        <v>0</v>
      </c>
      <c r="Y3783" t="str">
        <f t="shared" si="239"/>
        <v>Non-Senior</v>
      </c>
    </row>
    <row r="3784" spans="1:25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236"/>
        <v>0-12 Months</v>
      </c>
      <c r="W3784">
        <f t="shared" si="237"/>
        <v>0</v>
      </c>
      <c r="X3784">
        <f t="shared" si="238"/>
        <v>0</v>
      </c>
      <c r="Y3784" t="str">
        <f t="shared" si="239"/>
        <v>Non-Senior</v>
      </c>
    </row>
    <row r="3785" spans="1:25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236"/>
        <v>61-72 Months</v>
      </c>
      <c r="W3785">
        <f t="shared" si="237"/>
        <v>0</v>
      </c>
      <c r="X3785">
        <f t="shared" si="238"/>
        <v>0</v>
      </c>
      <c r="Y3785" t="str">
        <f t="shared" si="239"/>
        <v>Non-Senior</v>
      </c>
    </row>
    <row r="3786" spans="1:25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236"/>
        <v>25-36 Months</v>
      </c>
      <c r="W3786">
        <f t="shared" si="237"/>
        <v>1</v>
      </c>
      <c r="X3786">
        <f t="shared" si="238"/>
        <v>101.4</v>
      </c>
      <c r="Y3786" t="str">
        <f t="shared" si="239"/>
        <v>Senior Citizen</v>
      </c>
    </row>
    <row r="3787" spans="1:25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236"/>
        <v>0-12 Months</v>
      </c>
      <c r="W3787">
        <f t="shared" si="237"/>
        <v>1</v>
      </c>
      <c r="X3787">
        <f t="shared" si="238"/>
        <v>89.8</v>
      </c>
      <c r="Y3787" t="str">
        <f t="shared" si="239"/>
        <v>Senior Citizen</v>
      </c>
    </row>
    <row r="3788" spans="1:25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236"/>
        <v>25-36 Months</v>
      </c>
      <c r="W3788">
        <f t="shared" si="237"/>
        <v>0</v>
      </c>
      <c r="X3788">
        <f t="shared" si="238"/>
        <v>0</v>
      </c>
      <c r="Y3788" t="str">
        <f t="shared" si="239"/>
        <v>Non-Senior</v>
      </c>
    </row>
    <row r="3789" spans="1:25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236"/>
        <v>49-60 Months</v>
      </c>
      <c r="W3789">
        <f t="shared" si="237"/>
        <v>0</v>
      </c>
      <c r="X3789">
        <f t="shared" si="238"/>
        <v>0</v>
      </c>
      <c r="Y3789" t="str">
        <f t="shared" si="239"/>
        <v>Non-Senior</v>
      </c>
    </row>
    <row r="3790" spans="1:25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236"/>
        <v>49-60 Months</v>
      </c>
      <c r="W3790">
        <f t="shared" si="237"/>
        <v>1</v>
      </c>
      <c r="X3790">
        <f t="shared" si="238"/>
        <v>109.75</v>
      </c>
      <c r="Y3790" t="str">
        <f t="shared" si="239"/>
        <v>Non-Senior</v>
      </c>
    </row>
    <row r="3791" spans="1:25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7082</v>
      </c>
      <c r="J3791" t="s">
        <v>7084</v>
      </c>
      <c r="K3791" t="s">
        <v>46</v>
      </c>
      <c r="L3791" t="s">
        <v>7084</v>
      </c>
      <c r="M3791" t="s">
        <v>7084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236"/>
        <v>0-12 Months</v>
      </c>
      <c r="W3791">
        <f t="shared" si="237"/>
        <v>0</v>
      </c>
      <c r="X3791">
        <f t="shared" si="238"/>
        <v>0</v>
      </c>
      <c r="Y3791" t="str">
        <f t="shared" si="239"/>
        <v>Non-Senior</v>
      </c>
    </row>
    <row r="3792" spans="1:25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7082</v>
      </c>
      <c r="J3792" t="s">
        <v>7084</v>
      </c>
      <c r="K3792" t="s">
        <v>46</v>
      </c>
      <c r="L3792" t="s">
        <v>7084</v>
      </c>
      <c r="M3792" t="s">
        <v>7084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236"/>
        <v>0-12 Months</v>
      </c>
      <c r="W3792">
        <f t="shared" si="237"/>
        <v>1</v>
      </c>
      <c r="X3792">
        <f t="shared" si="238"/>
        <v>19.3</v>
      </c>
      <c r="Y3792" t="str">
        <f t="shared" si="239"/>
        <v>Non-Senior</v>
      </c>
    </row>
    <row r="3793" spans="1:25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236"/>
        <v>0-12 Months</v>
      </c>
      <c r="W3793">
        <f t="shared" si="237"/>
        <v>0</v>
      </c>
      <c r="X3793">
        <f t="shared" si="238"/>
        <v>0</v>
      </c>
      <c r="Y3793" t="str">
        <f t="shared" si="239"/>
        <v>Non-Senior</v>
      </c>
    </row>
    <row r="3794" spans="1:25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236"/>
        <v>25-36 Months</v>
      </c>
      <c r="W3794">
        <f t="shared" si="237"/>
        <v>1</v>
      </c>
      <c r="X3794">
        <f t="shared" si="238"/>
        <v>91.25</v>
      </c>
      <c r="Y3794" t="str">
        <f t="shared" si="239"/>
        <v>Senior Citizen</v>
      </c>
    </row>
    <row r="3795" spans="1:25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7082</v>
      </c>
      <c r="J3795" t="s">
        <v>7084</v>
      </c>
      <c r="K3795" t="s">
        <v>46</v>
      </c>
      <c r="L3795" t="s">
        <v>7084</v>
      </c>
      <c r="M3795" t="s">
        <v>7084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236"/>
        <v>0-12 Months</v>
      </c>
      <c r="W3795">
        <f t="shared" si="237"/>
        <v>0</v>
      </c>
      <c r="X3795">
        <f t="shared" si="238"/>
        <v>0</v>
      </c>
      <c r="Y3795" t="str">
        <f t="shared" si="239"/>
        <v>Non-Senior</v>
      </c>
    </row>
    <row r="3796" spans="1:25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236"/>
        <v>0-12 Months</v>
      </c>
      <c r="W3796">
        <f t="shared" si="237"/>
        <v>0</v>
      </c>
      <c r="X3796">
        <f t="shared" si="238"/>
        <v>0</v>
      </c>
      <c r="Y3796" t="str">
        <f t="shared" si="239"/>
        <v>Non-Senior</v>
      </c>
    </row>
    <row r="3797" spans="1:25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236"/>
        <v>0-12 Months</v>
      </c>
      <c r="W3797">
        <f t="shared" si="237"/>
        <v>0</v>
      </c>
      <c r="X3797">
        <f t="shared" si="238"/>
        <v>0</v>
      </c>
      <c r="Y3797" t="str">
        <f t="shared" si="239"/>
        <v>Non-Senior</v>
      </c>
    </row>
    <row r="3798" spans="1:25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236"/>
        <v>13-24 Months</v>
      </c>
      <c r="W3798">
        <f t="shared" si="237"/>
        <v>1</v>
      </c>
      <c r="X3798">
        <f t="shared" si="238"/>
        <v>49.1</v>
      </c>
      <c r="Y3798" t="str">
        <f t="shared" si="239"/>
        <v>Non-Senior</v>
      </c>
    </row>
    <row r="3799" spans="1:25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236"/>
        <v>37-48 Months</v>
      </c>
      <c r="W3799">
        <f t="shared" si="237"/>
        <v>0</v>
      </c>
      <c r="X3799">
        <f t="shared" si="238"/>
        <v>0</v>
      </c>
      <c r="Y3799" t="str">
        <f t="shared" si="239"/>
        <v>Non-Senior</v>
      </c>
    </row>
    <row r="3800" spans="1:25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236"/>
        <v>37-48 Months</v>
      </c>
      <c r="W3800">
        <f t="shared" si="237"/>
        <v>0</v>
      </c>
      <c r="X3800">
        <f t="shared" si="238"/>
        <v>0</v>
      </c>
      <c r="Y3800" t="str">
        <f t="shared" si="239"/>
        <v>Non-Senior</v>
      </c>
    </row>
    <row r="3801" spans="1:25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236"/>
        <v>25-36 Months</v>
      </c>
      <c r="W3801">
        <f t="shared" si="237"/>
        <v>1</v>
      </c>
      <c r="X3801">
        <f t="shared" si="238"/>
        <v>65.25</v>
      </c>
      <c r="Y3801" t="str">
        <f t="shared" si="239"/>
        <v>Non-Senior</v>
      </c>
    </row>
    <row r="3802" spans="1:25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236"/>
        <v>61-72 Months</v>
      </c>
      <c r="W3802">
        <f t="shared" si="237"/>
        <v>0</v>
      </c>
      <c r="X3802">
        <f t="shared" si="238"/>
        <v>0</v>
      </c>
      <c r="Y3802" t="str">
        <f t="shared" si="239"/>
        <v>Non-Senior</v>
      </c>
    </row>
    <row r="3803" spans="1:25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236"/>
        <v>13-24 Months</v>
      </c>
      <c r="W3803">
        <f t="shared" si="237"/>
        <v>1</v>
      </c>
      <c r="X3803">
        <f t="shared" si="238"/>
        <v>85.45</v>
      </c>
      <c r="Y3803" t="str">
        <f t="shared" si="239"/>
        <v>Senior Citizen</v>
      </c>
    </row>
    <row r="3804" spans="1:25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7082</v>
      </c>
      <c r="J3804" t="s">
        <v>7084</v>
      </c>
      <c r="K3804" t="s">
        <v>46</v>
      </c>
      <c r="L3804" t="s">
        <v>7084</v>
      </c>
      <c r="M3804" t="s">
        <v>7084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236"/>
        <v>0-12 Months</v>
      </c>
      <c r="W3804">
        <f t="shared" si="237"/>
        <v>0</v>
      </c>
      <c r="X3804">
        <f t="shared" si="238"/>
        <v>0</v>
      </c>
      <c r="Y3804" t="str">
        <f t="shared" si="239"/>
        <v>Non-Senior</v>
      </c>
    </row>
    <row r="3805" spans="1:25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236"/>
        <v>61-72 Months</v>
      </c>
      <c r="W3805">
        <f t="shared" si="237"/>
        <v>1</v>
      </c>
      <c r="X3805">
        <f t="shared" si="238"/>
        <v>94.1</v>
      </c>
      <c r="Y3805" t="str">
        <f t="shared" si="239"/>
        <v>Non-Senior</v>
      </c>
    </row>
    <row r="3806" spans="1:25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236"/>
        <v>0-12 Months</v>
      </c>
      <c r="W3806">
        <f t="shared" si="237"/>
        <v>0</v>
      </c>
      <c r="X3806">
        <f t="shared" si="238"/>
        <v>0</v>
      </c>
      <c r="Y3806" t="str">
        <f t="shared" si="239"/>
        <v>Non-Senior</v>
      </c>
    </row>
    <row r="3807" spans="1:25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236"/>
        <v>0-12 Months</v>
      </c>
      <c r="W3807">
        <f t="shared" si="237"/>
        <v>1</v>
      </c>
      <c r="X3807">
        <f t="shared" si="238"/>
        <v>71.650000000000006</v>
      </c>
      <c r="Y3807" t="str">
        <f t="shared" si="239"/>
        <v>Senior Citizen</v>
      </c>
    </row>
    <row r="3808" spans="1:25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236"/>
        <v>13-24 Months</v>
      </c>
      <c r="W3808">
        <f t="shared" si="237"/>
        <v>0</v>
      </c>
      <c r="X3808">
        <f t="shared" si="238"/>
        <v>0</v>
      </c>
      <c r="Y3808" t="str">
        <f t="shared" si="239"/>
        <v>Senior Citizen</v>
      </c>
    </row>
    <row r="3809" spans="1:25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236"/>
        <v>13-24 Months</v>
      </c>
      <c r="W3809">
        <f t="shared" si="237"/>
        <v>1</v>
      </c>
      <c r="X3809">
        <f t="shared" si="238"/>
        <v>104.65</v>
      </c>
      <c r="Y3809" t="str">
        <f t="shared" si="239"/>
        <v>Non-Senior</v>
      </c>
    </row>
    <row r="3810" spans="1:25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7082</v>
      </c>
      <c r="J3810" t="s">
        <v>7084</v>
      </c>
      <c r="K3810" t="s">
        <v>46</v>
      </c>
      <c r="L3810" t="s">
        <v>7084</v>
      </c>
      <c r="M3810" t="s">
        <v>7084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236"/>
        <v>0-12 Months</v>
      </c>
      <c r="W3810">
        <f t="shared" si="237"/>
        <v>0</v>
      </c>
      <c r="X3810">
        <f t="shared" si="238"/>
        <v>0</v>
      </c>
      <c r="Y3810" t="str">
        <f t="shared" si="239"/>
        <v>Non-Senior</v>
      </c>
    </row>
    <row r="3811" spans="1:25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7082</v>
      </c>
      <c r="J3811" t="s">
        <v>7084</v>
      </c>
      <c r="K3811" t="s">
        <v>46</v>
      </c>
      <c r="L3811" t="s">
        <v>7084</v>
      </c>
      <c r="M3811" t="s">
        <v>7084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236"/>
        <v>49-60 Months</v>
      </c>
      <c r="W3811">
        <f t="shared" si="237"/>
        <v>0</v>
      </c>
      <c r="X3811">
        <f t="shared" si="238"/>
        <v>0</v>
      </c>
      <c r="Y3811" t="str">
        <f t="shared" si="239"/>
        <v>Non-Senior</v>
      </c>
    </row>
    <row r="3812" spans="1:25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236"/>
        <v>0-12 Months</v>
      </c>
      <c r="W3812">
        <f t="shared" si="237"/>
        <v>0</v>
      </c>
      <c r="X3812">
        <f t="shared" si="238"/>
        <v>0</v>
      </c>
      <c r="Y3812" t="str">
        <f t="shared" si="239"/>
        <v>Non-Senior</v>
      </c>
    </row>
    <row r="3813" spans="1:25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236"/>
        <v>0-12 Months</v>
      </c>
      <c r="W3813">
        <f t="shared" si="237"/>
        <v>0</v>
      </c>
      <c r="X3813">
        <f t="shared" si="238"/>
        <v>0</v>
      </c>
      <c r="Y3813" t="str">
        <f t="shared" si="239"/>
        <v>Non-Senior</v>
      </c>
    </row>
    <row r="3814" spans="1:25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7082</v>
      </c>
      <c r="J3814" t="s">
        <v>7084</v>
      </c>
      <c r="K3814" t="s">
        <v>46</v>
      </c>
      <c r="L3814" t="s">
        <v>7084</v>
      </c>
      <c r="M3814" t="s">
        <v>7084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236"/>
        <v>13-24 Months</v>
      </c>
      <c r="W3814">
        <f t="shared" si="237"/>
        <v>0</v>
      </c>
      <c r="X3814">
        <f t="shared" si="238"/>
        <v>0</v>
      </c>
      <c r="Y3814" t="str">
        <f t="shared" si="239"/>
        <v>Non-Senior</v>
      </c>
    </row>
    <row r="3815" spans="1:25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236"/>
        <v>61-72 Months</v>
      </c>
      <c r="W3815">
        <f t="shared" si="237"/>
        <v>0</v>
      </c>
      <c r="X3815">
        <f t="shared" si="238"/>
        <v>0</v>
      </c>
      <c r="Y3815" t="str">
        <f t="shared" si="239"/>
        <v>Non-Senior</v>
      </c>
    </row>
    <row r="3816" spans="1:25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236"/>
        <v>61-72 Months</v>
      </c>
      <c r="W3816">
        <f t="shared" si="237"/>
        <v>0</v>
      </c>
      <c r="X3816">
        <f t="shared" si="238"/>
        <v>0</v>
      </c>
      <c r="Y3816" t="str">
        <f t="shared" si="239"/>
        <v>Non-Senior</v>
      </c>
    </row>
    <row r="3817" spans="1:25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236"/>
        <v>0-12 Months</v>
      </c>
      <c r="W3817">
        <f t="shared" si="237"/>
        <v>1</v>
      </c>
      <c r="X3817">
        <f t="shared" si="238"/>
        <v>74.25</v>
      </c>
      <c r="Y3817" t="str">
        <f t="shared" si="239"/>
        <v>Non-Senior</v>
      </c>
    </row>
    <row r="3818" spans="1:25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236"/>
        <v>49-60 Months</v>
      </c>
      <c r="W3818">
        <f t="shared" si="237"/>
        <v>0</v>
      </c>
      <c r="X3818">
        <f t="shared" si="238"/>
        <v>0</v>
      </c>
      <c r="Y3818" t="str">
        <f t="shared" si="239"/>
        <v>Senior Citizen</v>
      </c>
    </row>
    <row r="3819" spans="1:25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7082</v>
      </c>
      <c r="J3819" t="s">
        <v>7084</v>
      </c>
      <c r="K3819" t="s">
        <v>46</v>
      </c>
      <c r="L3819" t="s">
        <v>7084</v>
      </c>
      <c r="M3819" t="s">
        <v>7084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236"/>
        <v>49-60 Months</v>
      </c>
      <c r="W3819">
        <f t="shared" si="237"/>
        <v>0</v>
      </c>
      <c r="X3819">
        <f t="shared" si="238"/>
        <v>0</v>
      </c>
      <c r="Y3819" t="str">
        <f t="shared" si="239"/>
        <v>Non-Senior</v>
      </c>
    </row>
    <row r="3820" spans="1:25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236"/>
        <v>49-60 Months</v>
      </c>
      <c r="W3820">
        <f t="shared" si="237"/>
        <v>0</v>
      </c>
      <c r="X3820">
        <f t="shared" si="238"/>
        <v>0</v>
      </c>
      <c r="Y3820" t="str">
        <f t="shared" si="239"/>
        <v>Non-Senior</v>
      </c>
    </row>
    <row r="3821" spans="1:25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236"/>
        <v>37-48 Months</v>
      </c>
      <c r="W3821">
        <f t="shared" si="237"/>
        <v>0</v>
      </c>
      <c r="X3821">
        <f t="shared" si="238"/>
        <v>0</v>
      </c>
      <c r="Y3821" t="str">
        <f t="shared" si="239"/>
        <v>Non-Senior</v>
      </c>
    </row>
    <row r="3822" spans="1:25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236"/>
        <v>61-72 Months</v>
      </c>
      <c r="W3822">
        <f t="shared" si="237"/>
        <v>0</v>
      </c>
      <c r="X3822">
        <f t="shared" si="238"/>
        <v>0</v>
      </c>
      <c r="Y3822" t="str">
        <f t="shared" si="239"/>
        <v>Senior Citizen</v>
      </c>
    </row>
    <row r="3823" spans="1:25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236"/>
        <v>0-12 Months</v>
      </c>
      <c r="W3823">
        <f t="shared" si="237"/>
        <v>1</v>
      </c>
      <c r="X3823">
        <f t="shared" si="238"/>
        <v>74.2</v>
      </c>
      <c r="Y3823" t="str">
        <f t="shared" si="239"/>
        <v>Senior Citizen</v>
      </c>
    </row>
    <row r="3824" spans="1:25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236"/>
        <v>0-12 Months</v>
      </c>
      <c r="W3824">
        <f t="shared" si="237"/>
        <v>0</v>
      </c>
      <c r="X3824">
        <f t="shared" si="238"/>
        <v>0</v>
      </c>
      <c r="Y3824" t="str">
        <f t="shared" si="239"/>
        <v>Non-Senior</v>
      </c>
    </row>
    <row r="3825" spans="1:25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236"/>
        <v>61-72 Months</v>
      </c>
      <c r="W3825">
        <f t="shared" si="237"/>
        <v>0</v>
      </c>
      <c r="X3825">
        <f t="shared" si="238"/>
        <v>0</v>
      </c>
      <c r="Y3825" t="str">
        <f t="shared" si="239"/>
        <v>Non-Senior</v>
      </c>
    </row>
    <row r="3826" spans="1:25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236"/>
        <v>0-12 Months</v>
      </c>
      <c r="W3826">
        <f t="shared" si="237"/>
        <v>0</v>
      </c>
      <c r="X3826">
        <f t="shared" si="238"/>
        <v>0</v>
      </c>
      <c r="Y3826" t="str">
        <f t="shared" si="239"/>
        <v>Non-Senior</v>
      </c>
    </row>
    <row r="3827" spans="1:25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7082</v>
      </c>
      <c r="J3827" t="s">
        <v>7084</v>
      </c>
      <c r="K3827" t="s">
        <v>46</v>
      </c>
      <c r="L3827" t="s">
        <v>7084</v>
      </c>
      <c r="M3827" t="s">
        <v>7084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236"/>
        <v>49-60 Months</v>
      </c>
      <c r="W3827">
        <f t="shared" si="237"/>
        <v>0</v>
      </c>
      <c r="X3827">
        <f t="shared" si="238"/>
        <v>0</v>
      </c>
      <c r="Y3827" t="str">
        <f t="shared" si="239"/>
        <v>Non-Senior</v>
      </c>
    </row>
    <row r="3828" spans="1:25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7082</v>
      </c>
      <c r="J3828" t="s">
        <v>7084</v>
      </c>
      <c r="K3828" t="s">
        <v>46</v>
      </c>
      <c r="L3828" t="s">
        <v>7084</v>
      </c>
      <c r="M3828" t="s">
        <v>7084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 t="str">
        <f t="shared" si="236"/>
        <v>0-12 Months</v>
      </c>
      <c r="W3828">
        <f t="shared" si="237"/>
        <v>0</v>
      </c>
      <c r="X3828">
        <f t="shared" si="238"/>
        <v>0</v>
      </c>
      <c r="Y3828" t="str">
        <f t="shared" si="239"/>
        <v>Non-Senior</v>
      </c>
    </row>
    <row r="3829" spans="1:25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7082</v>
      </c>
      <c r="J3829" t="s">
        <v>7084</v>
      </c>
      <c r="K3829" t="s">
        <v>46</v>
      </c>
      <c r="L3829" t="s">
        <v>7084</v>
      </c>
      <c r="M3829" t="s">
        <v>7084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236"/>
        <v>0-12 Months</v>
      </c>
      <c r="W3829">
        <f t="shared" si="237"/>
        <v>0</v>
      </c>
      <c r="X3829">
        <f t="shared" si="238"/>
        <v>0</v>
      </c>
      <c r="Y3829" t="str">
        <f t="shared" si="239"/>
        <v>Non-Senior</v>
      </c>
    </row>
    <row r="3830" spans="1:25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7082</v>
      </c>
      <c r="J3830" t="s">
        <v>7084</v>
      </c>
      <c r="K3830" t="s">
        <v>46</v>
      </c>
      <c r="L3830" t="s">
        <v>7084</v>
      </c>
      <c r="M3830" t="s">
        <v>7084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236"/>
        <v>61-72 Months</v>
      </c>
      <c r="W3830">
        <f t="shared" si="237"/>
        <v>0</v>
      </c>
      <c r="X3830">
        <f t="shared" si="238"/>
        <v>0</v>
      </c>
      <c r="Y3830" t="str">
        <f t="shared" si="239"/>
        <v>Non-Senior</v>
      </c>
    </row>
    <row r="3831" spans="1:25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236"/>
        <v>37-48 Months</v>
      </c>
      <c r="W3831">
        <f t="shared" si="237"/>
        <v>1</v>
      </c>
      <c r="X3831">
        <f t="shared" si="238"/>
        <v>101</v>
      </c>
      <c r="Y3831" t="str">
        <f t="shared" si="239"/>
        <v>Senior Citizen</v>
      </c>
    </row>
    <row r="3832" spans="1:25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236"/>
        <v>0-12 Months</v>
      </c>
      <c r="W3832">
        <f t="shared" si="237"/>
        <v>1</v>
      </c>
      <c r="X3832">
        <f t="shared" si="238"/>
        <v>100.2</v>
      </c>
      <c r="Y3832" t="str">
        <f t="shared" si="239"/>
        <v>Non-Senior</v>
      </c>
    </row>
    <row r="3833" spans="1:25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236"/>
        <v>25-36 Months</v>
      </c>
      <c r="W3833">
        <f t="shared" si="237"/>
        <v>1</v>
      </c>
      <c r="X3833">
        <f t="shared" si="238"/>
        <v>89.05</v>
      </c>
      <c r="Y3833" t="str">
        <f t="shared" si="239"/>
        <v>Senior Citizen</v>
      </c>
    </row>
    <row r="3834" spans="1:25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236"/>
        <v>49-60 Months</v>
      </c>
      <c r="W3834">
        <f t="shared" si="237"/>
        <v>0</v>
      </c>
      <c r="X3834">
        <f t="shared" si="238"/>
        <v>0</v>
      </c>
      <c r="Y3834" t="str">
        <f t="shared" si="239"/>
        <v>Non-Senior</v>
      </c>
    </row>
    <row r="3835" spans="1:25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236"/>
        <v>0-12 Months</v>
      </c>
      <c r="W3835">
        <f t="shared" si="237"/>
        <v>0</v>
      </c>
      <c r="X3835">
        <f t="shared" si="238"/>
        <v>0</v>
      </c>
      <c r="Y3835" t="str">
        <f t="shared" si="239"/>
        <v>Non-Senior</v>
      </c>
    </row>
    <row r="3836" spans="1:25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236"/>
        <v>49-60 Months</v>
      </c>
      <c r="W3836">
        <f t="shared" si="237"/>
        <v>1</v>
      </c>
      <c r="X3836">
        <f t="shared" si="238"/>
        <v>70.099999999999994</v>
      </c>
      <c r="Y3836" t="str">
        <f t="shared" si="239"/>
        <v>Non-Senior</v>
      </c>
    </row>
    <row r="3837" spans="1:25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7082</v>
      </c>
      <c r="J3837" t="s">
        <v>7084</v>
      </c>
      <c r="K3837" t="s">
        <v>46</v>
      </c>
      <c r="L3837" t="s">
        <v>7084</v>
      </c>
      <c r="M3837" t="s">
        <v>7084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236"/>
        <v>13-24 Months</v>
      </c>
      <c r="W3837">
        <f t="shared" si="237"/>
        <v>0</v>
      </c>
      <c r="X3837">
        <f t="shared" si="238"/>
        <v>0</v>
      </c>
      <c r="Y3837" t="str">
        <f t="shared" si="239"/>
        <v>Non-Senior</v>
      </c>
    </row>
    <row r="3838" spans="1:25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236"/>
        <v>61-72 Months</v>
      </c>
      <c r="W3838">
        <f t="shared" si="237"/>
        <v>0</v>
      </c>
      <c r="X3838">
        <f t="shared" si="238"/>
        <v>0</v>
      </c>
      <c r="Y3838" t="str">
        <f t="shared" si="239"/>
        <v>Non-Senior</v>
      </c>
    </row>
    <row r="3839" spans="1:25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236"/>
        <v>0-12 Months</v>
      </c>
      <c r="W3839">
        <f t="shared" si="237"/>
        <v>1</v>
      </c>
      <c r="X3839">
        <f t="shared" si="238"/>
        <v>105.65</v>
      </c>
      <c r="Y3839" t="str">
        <f t="shared" si="239"/>
        <v>Non-Senior</v>
      </c>
    </row>
    <row r="3840" spans="1:25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236"/>
        <v>25-36 Months</v>
      </c>
      <c r="W3840">
        <f t="shared" si="237"/>
        <v>0</v>
      </c>
      <c r="X3840">
        <f t="shared" si="238"/>
        <v>0</v>
      </c>
      <c r="Y3840" t="str">
        <f t="shared" si="239"/>
        <v>Non-Senior</v>
      </c>
    </row>
    <row r="3841" spans="1:25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7082</v>
      </c>
      <c r="J3841" t="s">
        <v>7084</v>
      </c>
      <c r="K3841" t="s">
        <v>46</v>
      </c>
      <c r="L3841" t="s">
        <v>7084</v>
      </c>
      <c r="M3841" t="s">
        <v>7084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236"/>
        <v>13-24 Months</v>
      </c>
      <c r="W3841">
        <f t="shared" si="237"/>
        <v>0</v>
      </c>
      <c r="X3841">
        <f t="shared" si="238"/>
        <v>0</v>
      </c>
      <c r="Y3841" t="str">
        <f t="shared" si="239"/>
        <v>Non-Senior</v>
      </c>
    </row>
    <row r="3842" spans="1:25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7082</v>
      </c>
      <c r="J3842" t="s">
        <v>7084</v>
      </c>
      <c r="K3842" t="s">
        <v>46</v>
      </c>
      <c r="L3842" t="s">
        <v>7084</v>
      </c>
      <c r="M3842" t="s">
        <v>7084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si="236"/>
        <v>61-72 Months</v>
      </c>
      <c r="W3842">
        <f t="shared" si="237"/>
        <v>0</v>
      </c>
      <c r="X3842">
        <f t="shared" si="238"/>
        <v>0</v>
      </c>
      <c r="Y3842" t="str">
        <f t="shared" si="239"/>
        <v>Senior Citizen</v>
      </c>
    </row>
    <row r="3843" spans="1:25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ref="V3843:V3906" si="240">IF(F3843&lt;=12,"0-12 Months",IF(F3843&lt;=24,"13-24 Months",IF(F3843&lt;=36,"25-36 Months",IF(F3843&lt;=48,"37-48 Months",IF(F3843&lt;=60,"49-60 Months","61-72 Months")))))</f>
        <v>25-36 Months</v>
      </c>
      <c r="W3843">
        <f t="shared" ref="W3843:W3906" si="241">IF(U3843="Yes",1,0)</f>
        <v>1</v>
      </c>
      <c r="X3843">
        <f t="shared" ref="X3843:X3906" si="242">IF(U3843="Yes",S3843,0)</f>
        <v>96.5</v>
      </c>
      <c r="Y3843" t="str">
        <f t="shared" ref="Y3843:Y3906" si="243">IF(C3843=1,"Senior Citizen","Non-Senior")</f>
        <v>Senior Citizen</v>
      </c>
    </row>
    <row r="3844" spans="1:25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240"/>
        <v>25-36 Months</v>
      </c>
      <c r="W3844">
        <f t="shared" si="241"/>
        <v>0</v>
      </c>
      <c r="X3844">
        <f t="shared" si="242"/>
        <v>0</v>
      </c>
      <c r="Y3844" t="str">
        <f t="shared" si="243"/>
        <v>Non-Senior</v>
      </c>
    </row>
    <row r="3845" spans="1:25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240"/>
        <v>0-12 Months</v>
      </c>
      <c r="W3845">
        <f t="shared" si="241"/>
        <v>1</v>
      </c>
      <c r="X3845">
        <f t="shared" si="242"/>
        <v>70.849999999999994</v>
      </c>
      <c r="Y3845" t="str">
        <f t="shared" si="243"/>
        <v>Senior Citizen</v>
      </c>
    </row>
    <row r="3846" spans="1:25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240"/>
        <v>25-36 Months</v>
      </c>
      <c r="W3846">
        <f t="shared" si="241"/>
        <v>1</v>
      </c>
      <c r="X3846">
        <f t="shared" si="242"/>
        <v>85.95</v>
      </c>
      <c r="Y3846" t="str">
        <f t="shared" si="243"/>
        <v>Non-Senior</v>
      </c>
    </row>
    <row r="3847" spans="1:25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240"/>
        <v>0-12 Months</v>
      </c>
      <c r="W3847">
        <f t="shared" si="241"/>
        <v>1</v>
      </c>
      <c r="X3847">
        <f t="shared" si="242"/>
        <v>73.900000000000006</v>
      </c>
      <c r="Y3847" t="str">
        <f t="shared" si="243"/>
        <v>Non-Senior</v>
      </c>
    </row>
    <row r="3848" spans="1:25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240"/>
        <v>0-12 Months</v>
      </c>
      <c r="W3848">
        <f t="shared" si="241"/>
        <v>0</v>
      </c>
      <c r="X3848">
        <f t="shared" si="242"/>
        <v>0</v>
      </c>
      <c r="Y3848" t="str">
        <f t="shared" si="243"/>
        <v>Non-Senior</v>
      </c>
    </row>
    <row r="3849" spans="1:25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7082</v>
      </c>
      <c r="J3849" t="s">
        <v>7084</v>
      </c>
      <c r="K3849" t="s">
        <v>46</v>
      </c>
      <c r="L3849" t="s">
        <v>7084</v>
      </c>
      <c r="M3849" t="s">
        <v>7084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240"/>
        <v>0-12 Months</v>
      </c>
      <c r="W3849">
        <f t="shared" si="241"/>
        <v>0</v>
      </c>
      <c r="X3849">
        <f t="shared" si="242"/>
        <v>0</v>
      </c>
      <c r="Y3849" t="str">
        <f t="shared" si="243"/>
        <v>Non-Senior</v>
      </c>
    </row>
    <row r="3850" spans="1:25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240"/>
        <v>0-12 Months</v>
      </c>
      <c r="W3850">
        <f t="shared" si="241"/>
        <v>0</v>
      </c>
      <c r="X3850">
        <f t="shared" si="242"/>
        <v>0</v>
      </c>
      <c r="Y3850" t="str">
        <f t="shared" si="243"/>
        <v>Non-Senior</v>
      </c>
    </row>
    <row r="3851" spans="1:25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240"/>
        <v>49-60 Months</v>
      </c>
      <c r="W3851">
        <f t="shared" si="241"/>
        <v>1</v>
      </c>
      <c r="X3851">
        <f t="shared" si="242"/>
        <v>109.45</v>
      </c>
      <c r="Y3851" t="str">
        <f t="shared" si="243"/>
        <v>Non-Senior</v>
      </c>
    </row>
    <row r="3852" spans="1:25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240"/>
        <v>49-60 Months</v>
      </c>
      <c r="W3852">
        <f t="shared" si="241"/>
        <v>0</v>
      </c>
      <c r="X3852">
        <f t="shared" si="242"/>
        <v>0</v>
      </c>
      <c r="Y3852" t="str">
        <f t="shared" si="243"/>
        <v>Non-Senior</v>
      </c>
    </row>
    <row r="3853" spans="1:25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7082</v>
      </c>
      <c r="J3853" t="s">
        <v>7084</v>
      </c>
      <c r="K3853" t="s">
        <v>46</v>
      </c>
      <c r="L3853" t="s">
        <v>7084</v>
      </c>
      <c r="M3853" t="s">
        <v>7084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240"/>
        <v>37-48 Months</v>
      </c>
      <c r="W3853">
        <f t="shared" si="241"/>
        <v>0</v>
      </c>
      <c r="X3853">
        <f t="shared" si="242"/>
        <v>0</v>
      </c>
      <c r="Y3853" t="str">
        <f t="shared" si="243"/>
        <v>Non-Senior</v>
      </c>
    </row>
    <row r="3854" spans="1:25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7082</v>
      </c>
      <c r="J3854" t="s">
        <v>7084</v>
      </c>
      <c r="K3854" t="s">
        <v>46</v>
      </c>
      <c r="L3854" t="s">
        <v>7084</v>
      </c>
      <c r="M3854" t="s">
        <v>7084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240"/>
        <v>0-12 Months</v>
      </c>
      <c r="W3854">
        <f t="shared" si="241"/>
        <v>0</v>
      </c>
      <c r="X3854">
        <f t="shared" si="242"/>
        <v>0</v>
      </c>
      <c r="Y3854" t="str">
        <f t="shared" si="243"/>
        <v>Non-Senior</v>
      </c>
    </row>
    <row r="3855" spans="1:25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240"/>
        <v>37-48 Months</v>
      </c>
      <c r="W3855">
        <f t="shared" si="241"/>
        <v>0</v>
      </c>
      <c r="X3855">
        <f t="shared" si="242"/>
        <v>0</v>
      </c>
      <c r="Y3855" t="str">
        <f t="shared" si="243"/>
        <v>Non-Senior</v>
      </c>
    </row>
    <row r="3856" spans="1:25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240"/>
        <v>49-60 Months</v>
      </c>
      <c r="W3856">
        <f t="shared" si="241"/>
        <v>0</v>
      </c>
      <c r="X3856">
        <f t="shared" si="242"/>
        <v>0</v>
      </c>
      <c r="Y3856" t="str">
        <f t="shared" si="243"/>
        <v>Non-Senior</v>
      </c>
    </row>
    <row r="3857" spans="1:25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240"/>
        <v>49-60 Months</v>
      </c>
      <c r="W3857">
        <f t="shared" si="241"/>
        <v>0</v>
      </c>
      <c r="X3857">
        <f t="shared" si="242"/>
        <v>0</v>
      </c>
      <c r="Y3857" t="str">
        <f t="shared" si="243"/>
        <v>Non-Senior</v>
      </c>
    </row>
    <row r="3858" spans="1:25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240"/>
        <v>61-72 Months</v>
      </c>
      <c r="W3858">
        <f t="shared" si="241"/>
        <v>0</v>
      </c>
      <c r="X3858">
        <f t="shared" si="242"/>
        <v>0</v>
      </c>
      <c r="Y3858" t="str">
        <f t="shared" si="243"/>
        <v>Non-Senior</v>
      </c>
    </row>
    <row r="3859" spans="1:25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7082</v>
      </c>
      <c r="J3859" t="s">
        <v>7084</v>
      </c>
      <c r="K3859" t="s">
        <v>46</v>
      </c>
      <c r="L3859" t="s">
        <v>7084</v>
      </c>
      <c r="M3859" t="s">
        <v>7084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240"/>
        <v>0-12 Months</v>
      </c>
      <c r="W3859">
        <f t="shared" si="241"/>
        <v>0</v>
      </c>
      <c r="X3859">
        <f t="shared" si="242"/>
        <v>0</v>
      </c>
      <c r="Y3859" t="str">
        <f t="shared" si="243"/>
        <v>Non-Senior</v>
      </c>
    </row>
    <row r="3860" spans="1:25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240"/>
        <v>37-48 Months</v>
      </c>
      <c r="W3860">
        <f t="shared" si="241"/>
        <v>0</v>
      </c>
      <c r="X3860">
        <f t="shared" si="242"/>
        <v>0</v>
      </c>
      <c r="Y3860" t="str">
        <f t="shared" si="243"/>
        <v>Non-Senior</v>
      </c>
    </row>
    <row r="3861" spans="1:25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240"/>
        <v>49-60 Months</v>
      </c>
      <c r="W3861">
        <f t="shared" si="241"/>
        <v>0</v>
      </c>
      <c r="X3861">
        <f t="shared" si="242"/>
        <v>0</v>
      </c>
      <c r="Y3861" t="str">
        <f t="shared" si="243"/>
        <v>Non-Senior</v>
      </c>
    </row>
    <row r="3862" spans="1:25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240"/>
        <v>13-24 Months</v>
      </c>
      <c r="W3862">
        <f t="shared" si="241"/>
        <v>0</v>
      </c>
      <c r="X3862">
        <f t="shared" si="242"/>
        <v>0</v>
      </c>
      <c r="Y3862" t="str">
        <f t="shared" si="243"/>
        <v>Non-Senior</v>
      </c>
    </row>
    <row r="3863" spans="1:25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240"/>
        <v>25-36 Months</v>
      </c>
      <c r="W3863">
        <f t="shared" si="241"/>
        <v>0</v>
      </c>
      <c r="X3863">
        <f t="shared" si="242"/>
        <v>0</v>
      </c>
      <c r="Y3863" t="str">
        <f t="shared" si="243"/>
        <v>Non-Senior</v>
      </c>
    </row>
    <row r="3864" spans="1:25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7082</v>
      </c>
      <c r="J3864" t="s">
        <v>7084</v>
      </c>
      <c r="K3864" t="s">
        <v>46</v>
      </c>
      <c r="L3864" t="s">
        <v>7084</v>
      </c>
      <c r="M3864" t="s">
        <v>7084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240"/>
        <v>61-72 Months</v>
      </c>
      <c r="W3864">
        <f t="shared" si="241"/>
        <v>0</v>
      </c>
      <c r="X3864">
        <f t="shared" si="242"/>
        <v>0</v>
      </c>
      <c r="Y3864" t="str">
        <f t="shared" si="243"/>
        <v>Non-Senior</v>
      </c>
    </row>
    <row r="3865" spans="1:25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240"/>
        <v>13-24 Months</v>
      </c>
      <c r="W3865">
        <f t="shared" si="241"/>
        <v>0</v>
      </c>
      <c r="X3865">
        <f t="shared" si="242"/>
        <v>0</v>
      </c>
      <c r="Y3865" t="str">
        <f t="shared" si="243"/>
        <v>Non-Senior</v>
      </c>
    </row>
    <row r="3866" spans="1:25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240"/>
        <v>25-36 Months</v>
      </c>
      <c r="W3866">
        <f t="shared" si="241"/>
        <v>1</v>
      </c>
      <c r="X3866">
        <f t="shared" si="242"/>
        <v>100.2</v>
      </c>
      <c r="Y3866" t="str">
        <f t="shared" si="243"/>
        <v>Non-Senior</v>
      </c>
    </row>
    <row r="3867" spans="1:25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7082</v>
      </c>
      <c r="J3867" t="s">
        <v>7084</v>
      </c>
      <c r="K3867" t="s">
        <v>46</v>
      </c>
      <c r="L3867" t="s">
        <v>7084</v>
      </c>
      <c r="M3867" t="s">
        <v>7084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240"/>
        <v>0-12 Months</v>
      </c>
      <c r="W3867">
        <f t="shared" si="241"/>
        <v>0</v>
      </c>
      <c r="X3867">
        <f t="shared" si="242"/>
        <v>0</v>
      </c>
      <c r="Y3867" t="str">
        <f t="shared" si="243"/>
        <v>Non-Senior</v>
      </c>
    </row>
    <row r="3868" spans="1:25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7082</v>
      </c>
      <c r="J3868" t="s">
        <v>7084</v>
      </c>
      <c r="K3868" t="s">
        <v>46</v>
      </c>
      <c r="L3868" t="s">
        <v>7084</v>
      </c>
      <c r="M3868" t="s">
        <v>7084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240"/>
        <v>13-24 Months</v>
      </c>
      <c r="W3868">
        <f t="shared" si="241"/>
        <v>0</v>
      </c>
      <c r="X3868">
        <f t="shared" si="242"/>
        <v>0</v>
      </c>
      <c r="Y3868" t="str">
        <f t="shared" si="243"/>
        <v>Non-Senior</v>
      </c>
    </row>
    <row r="3869" spans="1:25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240"/>
        <v>25-36 Months</v>
      </c>
      <c r="W3869">
        <f t="shared" si="241"/>
        <v>0</v>
      </c>
      <c r="X3869">
        <f t="shared" si="242"/>
        <v>0</v>
      </c>
      <c r="Y3869" t="str">
        <f t="shared" si="243"/>
        <v>Non-Senior</v>
      </c>
    </row>
    <row r="3870" spans="1:25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240"/>
        <v>13-24 Months</v>
      </c>
      <c r="W3870">
        <f t="shared" si="241"/>
        <v>1</v>
      </c>
      <c r="X3870">
        <f t="shared" si="242"/>
        <v>74.05</v>
      </c>
      <c r="Y3870" t="str">
        <f t="shared" si="243"/>
        <v>Non-Senior</v>
      </c>
    </row>
    <row r="3871" spans="1:25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240"/>
        <v>49-60 Months</v>
      </c>
      <c r="W3871">
        <f t="shared" si="241"/>
        <v>0</v>
      </c>
      <c r="X3871">
        <f t="shared" si="242"/>
        <v>0</v>
      </c>
      <c r="Y3871" t="str">
        <f t="shared" si="243"/>
        <v>Non-Senior</v>
      </c>
    </row>
    <row r="3872" spans="1:25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240"/>
        <v>61-72 Months</v>
      </c>
      <c r="W3872">
        <f t="shared" si="241"/>
        <v>0</v>
      </c>
      <c r="X3872">
        <f t="shared" si="242"/>
        <v>0</v>
      </c>
      <c r="Y3872" t="str">
        <f t="shared" si="243"/>
        <v>Non-Senior</v>
      </c>
    </row>
    <row r="3873" spans="1:25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240"/>
        <v>0-12 Months</v>
      </c>
      <c r="W3873">
        <f t="shared" si="241"/>
        <v>1</v>
      </c>
      <c r="X3873">
        <f t="shared" si="242"/>
        <v>101.55</v>
      </c>
      <c r="Y3873" t="str">
        <f t="shared" si="243"/>
        <v>Non-Senior</v>
      </c>
    </row>
    <row r="3874" spans="1:25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240"/>
        <v>0-12 Months</v>
      </c>
      <c r="W3874">
        <f t="shared" si="241"/>
        <v>0</v>
      </c>
      <c r="X3874">
        <f t="shared" si="242"/>
        <v>0</v>
      </c>
      <c r="Y3874" t="str">
        <f t="shared" si="243"/>
        <v>Non-Senior</v>
      </c>
    </row>
    <row r="3875" spans="1:25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240"/>
        <v>49-60 Months</v>
      </c>
      <c r="W3875">
        <f t="shared" si="241"/>
        <v>0</v>
      </c>
      <c r="X3875">
        <f t="shared" si="242"/>
        <v>0</v>
      </c>
      <c r="Y3875" t="str">
        <f t="shared" si="243"/>
        <v>Non-Senior</v>
      </c>
    </row>
    <row r="3876" spans="1:25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240"/>
        <v>0-12 Months</v>
      </c>
      <c r="W3876">
        <f t="shared" si="241"/>
        <v>0</v>
      </c>
      <c r="X3876">
        <f t="shared" si="242"/>
        <v>0</v>
      </c>
      <c r="Y3876" t="str">
        <f t="shared" si="243"/>
        <v>Non-Senior</v>
      </c>
    </row>
    <row r="3877" spans="1:25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240"/>
        <v>37-48 Months</v>
      </c>
      <c r="W3877">
        <f t="shared" si="241"/>
        <v>1</v>
      </c>
      <c r="X3877">
        <f t="shared" si="242"/>
        <v>111.95</v>
      </c>
      <c r="Y3877" t="str">
        <f t="shared" si="243"/>
        <v>Senior Citizen</v>
      </c>
    </row>
    <row r="3878" spans="1:25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240"/>
        <v>13-24 Months</v>
      </c>
      <c r="W3878">
        <f t="shared" si="241"/>
        <v>0</v>
      </c>
      <c r="X3878">
        <f t="shared" si="242"/>
        <v>0</v>
      </c>
      <c r="Y3878" t="str">
        <f t="shared" si="243"/>
        <v>Non-Senior</v>
      </c>
    </row>
    <row r="3879" spans="1:25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240"/>
        <v>13-24 Months</v>
      </c>
      <c r="W3879">
        <f t="shared" si="241"/>
        <v>1</v>
      </c>
      <c r="X3879">
        <f t="shared" si="242"/>
        <v>55.95</v>
      </c>
      <c r="Y3879" t="str">
        <f t="shared" si="243"/>
        <v>Non-Senior</v>
      </c>
    </row>
    <row r="3880" spans="1:25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240"/>
        <v>61-72 Months</v>
      </c>
      <c r="W3880">
        <f t="shared" si="241"/>
        <v>0</v>
      </c>
      <c r="X3880">
        <f t="shared" si="242"/>
        <v>0</v>
      </c>
      <c r="Y3880" t="str">
        <f t="shared" si="243"/>
        <v>Non-Senior</v>
      </c>
    </row>
    <row r="3881" spans="1:25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240"/>
        <v>0-12 Months</v>
      </c>
      <c r="W3881">
        <f t="shared" si="241"/>
        <v>1</v>
      </c>
      <c r="X3881">
        <f t="shared" si="242"/>
        <v>45.75</v>
      </c>
      <c r="Y3881" t="str">
        <f t="shared" si="243"/>
        <v>Non-Senior</v>
      </c>
    </row>
    <row r="3882" spans="1:25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240"/>
        <v>25-36 Months</v>
      </c>
      <c r="W3882">
        <f t="shared" si="241"/>
        <v>0</v>
      </c>
      <c r="X3882">
        <f t="shared" si="242"/>
        <v>0</v>
      </c>
      <c r="Y3882" t="str">
        <f t="shared" si="243"/>
        <v>Non-Senior</v>
      </c>
    </row>
    <row r="3883" spans="1:25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240"/>
        <v>61-72 Months</v>
      </c>
      <c r="W3883">
        <f t="shared" si="241"/>
        <v>0</v>
      </c>
      <c r="X3883">
        <f t="shared" si="242"/>
        <v>0</v>
      </c>
      <c r="Y3883" t="str">
        <f t="shared" si="243"/>
        <v>Non-Senior</v>
      </c>
    </row>
    <row r="3884" spans="1:25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240"/>
        <v>0-12 Months</v>
      </c>
      <c r="W3884">
        <f t="shared" si="241"/>
        <v>0</v>
      </c>
      <c r="X3884">
        <f t="shared" si="242"/>
        <v>0</v>
      </c>
      <c r="Y3884" t="str">
        <f t="shared" si="243"/>
        <v>Non-Senior</v>
      </c>
    </row>
    <row r="3885" spans="1:25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240"/>
        <v>0-12 Months</v>
      </c>
      <c r="W3885">
        <f t="shared" si="241"/>
        <v>0</v>
      </c>
      <c r="X3885">
        <f t="shared" si="242"/>
        <v>0</v>
      </c>
      <c r="Y3885" t="str">
        <f t="shared" si="243"/>
        <v>Non-Senior</v>
      </c>
    </row>
    <row r="3886" spans="1:25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240"/>
        <v>13-24 Months</v>
      </c>
      <c r="W3886">
        <f t="shared" si="241"/>
        <v>0</v>
      </c>
      <c r="X3886">
        <f t="shared" si="242"/>
        <v>0</v>
      </c>
      <c r="Y3886" t="str">
        <f t="shared" si="243"/>
        <v>Non-Senior</v>
      </c>
    </row>
    <row r="3887" spans="1:25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240"/>
        <v>0-12 Months</v>
      </c>
      <c r="W3887">
        <f t="shared" si="241"/>
        <v>0</v>
      </c>
      <c r="X3887">
        <f t="shared" si="242"/>
        <v>0</v>
      </c>
      <c r="Y3887" t="str">
        <f t="shared" si="243"/>
        <v>Non-Senior</v>
      </c>
    </row>
    <row r="3888" spans="1:25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240"/>
        <v>61-72 Months</v>
      </c>
      <c r="W3888">
        <f t="shared" si="241"/>
        <v>0</v>
      </c>
      <c r="X3888">
        <f t="shared" si="242"/>
        <v>0</v>
      </c>
      <c r="Y3888" t="str">
        <f t="shared" si="243"/>
        <v>Senior Citizen</v>
      </c>
    </row>
    <row r="3889" spans="1:25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240"/>
        <v>0-12 Months</v>
      </c>
      <c r="W3889">
        <f t="shared" si="241"/>
        <v>1</v>
      </c>
      <c r="X3889">
        <f t="shared" si="242"/>
        <v>74.95</v>
      </c>
      <c r="Y3889" t="str">
        <f t="shared" si="243"/>
        <v>Non-Senior</v>
      </c>
    </row>
    <row r="3890" spans="1:25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240"/>
        <v>0-12 Months</v>
      </c>
      <c r="W3890">
        <f t="shared" si="241"/>
        <v>1</v>
      </c>
      <c r="X3890">
        <f t="shared" si="242"/>
        <v>80.150000000000006</v>
      </c>
      <c r="Y3890" t="str">
        <f t="shared" si="243"/>
        <v>Non-Senior</v>
      </c>
    </row>
    <row r="3891" spans="1:25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7082</v>
      </c>
      <c r="J3891" t="s">
        <v>7084</v>
      </c>
      <c r="K3891" t="s">
        <v>46</v>
      </c>
      <c r="L3891" t="s">
        <v>7084</v>
      </c>
      <c r="M3891" t="s">
        <v>7084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240"/>
        <v>13-24 Months</v>
      </c>
      <c r="W3891">
        <f t="shared" si="241"/>
        <v>0</v>
      </c>
      <c r="X3891">
        <f t="shared" si="242"/>
        <v>0</v>
      </c>
      <c r="Y3891" t="str">
        <f t="shared" si="243"/>
        <v>Non-Senior</v>
      </c>
    </row>
    <row r="3892" spans="1:25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240"/>
        <v>61-72 Months</v>
      </c>
      <c r="W3892">
        <f t="shared" si="241"/>
        <v>1</v>
      </c>
      <c r="X3892">
        <f t="shared" si="242"/>
        <v>109.25</v>
      </c>
      <c r="Y3892" t="str">
        <f t="shared" si="243"/>
        <v>Non-Senior</v>
      </c>
    </row>
    <row r="3893" spans="1:25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240"/>
        <v>37-48 Months</v>
      </c>
      <c r="W3893">
        <f t="shared" si="241"/>
        <v>0</v>
      </c>
      <c r="X3893">
        <f t="shared" si="242"/>
        <v>0</v>
      </c>
      <c r="Y3893" t="str">
        <f t="shared" si="243"/>
        <v>Non-Senior</v>
      </c>
    </row>
    <row r="3894" spans="1:25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7082</v>
      </c>
      <c r="J3894" t="s">
        <v>7084</v>
      </c>
      <c r="K3894" t="s">
        <v>46</v>
      </c>
      <c r="L3894" t="s">
        <v>7084</v>
      </c>
      <c r="M3894" t="s">
        <v>7084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240"/>
        <v>13-24 Months</v>
      </c>
      <c r="W3894">
        <f t="shared" si="241"/>
        <v>0</v>
      </c>
      <c r="X3894">
        <f t="shared" si="242"/>
        <v>0</v>
      </c>
      <c r="Y3894" t="str">
        <f t="shared" si="243"/>
        <v>Non-Senior</v>
      </c>
    </row>
    <row r="3895" spans="1:25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240"/>
        <v>0-12 Months</v>
      </c>
      <c r="W3895">
        <f t="shared" si="241"/>
        <v>0</v>
      </c>
      <c r="X3895">
        <f t="shared" si="242"/>
        <v>0</v>
      </c>
      <c r="Y3895" t="str">
        <f t="shared" si="243"/>
        <v>Senior Citizen</v>
      </c>
    </row>
    <row r="3896" spans="1:25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240"/>
        <v>61-72 Months</v>
      </c>
      <c r="W3896">
        <f t="shared" si="241"/>
        <v>0</v>
      </c>
      <c r="X3896">
        <f t="shared" si="242"/>
        <v>0</v>
      </c>
      <c r="Y3896" t="str">
        <f t="shared" si="243"/>
        <v>Non-Senior</v>
      </c>
    </row>
    <row r="3897" spans="1:25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7082</v>
      </c>
      <c r="J3897" t="s">
        <v>7084</v>
      </c>
      <c r="K3897" t="s">
        <v>46</v>
      </c>
      <c r="L3897" t="s">
        <v>7084</v>
      </c>
      <c r="M3897" t="s">
        <v>7084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240"/>
        <v>49-60 Months</v>
      </c>
      <c r="W3897">
        <f t="shared" si="241"/>
        <v>0</v>
      </c>
      <c r="X3897">
        <f t="shared" si="242"/>
        <v>0</v>
      </c>
      <c r="Y3897" t="str">
        <f t="shared" si="243"/>
        <v>Non-Senior</v>
      </c>
    </row>
    <row r="3898" spans="1:25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7082</v>
      </c>
      <c r="J3898" t="s">
        <v>7084</v>
      </c>
      <c r="K3898" t="s">
        <v>46</v>
      </c>
      <c r="L3898" t="s">
        <v>7084</v>
      </c>
      <c r="M3898" t="s">
        <v>7084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240"/>
        <v>37-48 Months</v>
      </c>
      <c r="W3898">
        <f t="shared" si="241"/>
        <v>0</v>
      </c>
      <c r="X3898">
        <f t="shared" si="242"/>
        <v>0</v>
      </c>
      <c r="Y3898" t="str">
        <f t="shared" si="243"/>
        <v>Non-Senior</v>
      </c>
    </row>
    <row r="3899" spans="1:25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240"/>
        <v>61-72 Months</v>
      </c>
      <c r="W3899">
        <f t="shared" si="241"/>
        <v>0</v>
      </c>
      <c r="X3899">
        <f t="shared" si="242"/>
        <v>0</v>
      </c>
      <c r="Y3899" t="str">
        <f t="shared" si="243"/>
        <v>Non-Senior</v>
      </c>
    </row>
    <row r="3900" spans="1:25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7082</v>
      </c>
      <c r="J3900" t="s">
        <v>7084</v>
      </c>
      <c r="K3900" t="s">
        <v>46</v>
      </c>
      <c r="L3900" t="s">
        <v>7084</v>
      </c>
      <c r="M3900" t="s">
        <v>7084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240"/>
        <v>37-48 Months</v>
      </c>
      <c r="W3900">
        <f t="shared" si="241"/>
        <v>0</v>
      </c>
      <c r="X3900">
        <f t="shared" si="242"/>
        <v>0</v>
      </c>
      <c r="Y3900" t="str">
        <f t="shared" si="243"/>
        <v>Non-Senior</v>
      </c>
    </row>
    <row r="3901" spans="1:25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240"/>
        <v>49-60 Months</v>
      </c>
      <c r="W3901">
        <f t="shared" si="241"/>
        <v>0</v>
      </c>
      <c r="X3901">
        <f t="shared" si="242"/>
        <v>0</v>
      </c>
      <c r="Y3901" t="str">
        <f t="shared" si="243"/>
        <v>Senior Citizen</v>
      </c>
    </row>
    <row r="3902" spans="1:25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7082</v>
      </c>
      <c r="J3902" t="s">
        <v>7084</v>
      </c>
      <c r="K3902" t="s">
        <v>46</v>
      </c>
      <c r="L3902" t="s">
        <v>7084</v>
      </c>
      <c r="M3902" t="s">
        <v>7084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240"/>
        <v>25-36 Months</v>
      </c>
      <c r="W3902">
        <f t="shared" si="241"/>
        <v>0</v>
      </c>
      <c r="X3902">
        <f t="shared" si="242"/>
        <v>0</v>
      </c>
      <c r="Y3902" t="str">
        <f t="shared" si="243"/>
        <v>Non-Senior</v>
      </c>
    </row>
    <row r="3903" spans="1:25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240"/>
        <v>61-72 Months</v>
      </c>
      <c r="W3903">
        <f t="shared" si="241"/>
        <v>0</v>
      </c>
      <c r="X3903">
        <f t="shared" si="242"/>
        <v>0</v>
      </c>
      <c r="Y3903" t="str">
        <f t="shared" si="243"/>
        <v>Non-Senior</v>
      </c>
    </row>
    <row r="3904" spans="1:25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240"/>
        <v>0-12 Months</v>
      </c>
      <c r="W3904">
        <f t="shared" si="241"/>
        <v>0</v>
      </c>
      <c r="X3904">
        <f t="shared" si="242"/>
        <v>0</v>
      </c>
      <c r="Y3904" t="str">
        <f t="shared" si="243"/>
        <v>Non-Senior</v>
      </c>
    </row>
    <row r="3905" spans="1:25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240"/>
        <v>49-60 Months</v>
      </c>
      <c r="W3905">
        <f t="shared" si="241"/>
        <v>0</v>
      </c>
      <c r="X3905">
        <f t="shared" si="242"/>
        <v>0</v>
      </c>
      <c r="Y3905" t="str">
        <f t="shared" si="243"/>
        <v>Non-Senior</v>
      </c>
    </row>
    <row r="3906" spans="1:25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7082</v>
      </c>
      <c r="J3906" t="s">
        <v>7084</v>
      </c>
      <c r="K3906" t="s">
        <v>46</v>
      </c>
      <c r="L3906" t="s">
        <v>7084</v>
      </c>
      <c r="M3906" t="s">
        <v>7084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si="240"/>
        <v>25-36 Months</v>
      </c>
      <c r="W3906">
        <f t="shared" si="241"/>
        <v>0</v>
      </c>
      <c r="X3906">
        <f t="shared" si="242"/>
        <v>0</v>
      </c>
      <c r="Y3906" t="str">
        <f t="shared" si="243"/>
        <v>Non-Senior</v>
      </c>
    </row>
    <row r="3907" spans="1:25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ref="V3907:V3970" si="244">IF(F3907&lt;=12,"0-12 Months",IF(F3907&lt;=24,"13-24 Months",IF(F3907&lt;=36,"25-36 Months",IF(F3907&lt;=48,"37-48 Months",IF(F3907&lt;=60,"49-60 Months","61-72 Months")))))</f>
        <v>0-12 Months</v>
      </c>
      <c r="W3907">
        <f t="shared" ref="W3907:W3970" si="245">IF(U3907="Yes",1,0)</f>
        <v>1</v>
      </c>
      <c r="X3907">
        <f t="shared" ref="X3907:X3970" si="246">IF(U3907="Yes",S3907,0)</f>
        <v>35.200000000000003</v>
      </c>
      <c r="Y3907" t="str">
        <f t="shared" ref="Y3907:Y3970" si="247">IF(C3907=1,"Senior Citizen","Non-Senior")</f>
        <v>Non-Senior</v>
      </c>
    </row>
    <row r="3908" spans="1:25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244"/>
        <v>0-12 Months</v>
      </c>
      <c r="W3908">
        <f t="shared" si="245"/>
        <v>1</v>
      </c>
      <c r="X3908">
        <f t="shared" si="246"/>
        <v>78.8</v>
      </c>
      <c r="Y3908" t="str">
        <f t="shared" si="247"/>
        <v>Non-Senior</v>
      </c>
    </row>
    <row r="3909" spans="1:25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244"/>
        <v>13-24 Months</v>
      </c>
      <c r="W3909">
        <f t="shared" si="245"/>
        <v>0</v>
      </c>
      <c r="X3909">
        <f t="shared" si="246"/>
        <v>0</v>
      </c>
      <c r="Y3909" t="str">
        <f t="shared" si="247"/>
        <v>Non-Senior</v>
      </c>
    </row>
    <row r="3910" spans="1:25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244"/>
        <v>49-60 Months</v>
      </c>
      <c r="W3910">
        <f t="shared" si="245"/>
        <v>0</v>
      </c>
      <c r="X3910">
        <f t="shared" si="246"/>
        <v>0</v>
      </c>
      <c r="Y3910" t="str">
        <f t="shared" si="247"/>
        <v>Senior Citizen</v>
      </c>
    </row>
    <row r="3911" spans="1:25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7082</v>
      </c>
      <c r="J3911" t="s">
        <v>7084</v>
      </c>
      <c r="K3911" t="s">
        <v>46</v>
      </c>
      <c r="L3911" t="s">
        <v>7084</v>
      </c>
      <c r="M3911" t="s">
        <v>7084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244"/>
        <v>0-12 Months</v>
      </c>
      <c r="W3911">
        <f t="shared" si="245"/>
        <v>0</v>
      </c>
      <c r="X3911">
        <f t="shared" si="246"/>
        <v>0</v>
      </c>
      <c r="Y3911" t="str">
        <f t="shared" si="247"/>
        <v>Non-Senior</v>
      </c>
    </row>
    <row r="3912" spans="1:25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244"/>
        <v>37-48 Months</v>
      </c>
      <c r="W3912">
        <f t="shared" si="245"/>
        <v>1</v>
      </c>
      <c r="X3912">
        <f t="shared" si="246"/>
        <v>106.4</v>
      </c>
      <c r="Y3912" t="str">
        <f t="shared" si="247"/>
        <v>Non-Senior</v>
      </c>
    </row>
    <row r="3913" spans="1:25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244"/>
        <v>13-24 Months</v>
      </c>
      <c r="W3913">
        <f t="shared" si="245"/>
        <v>1</v>
      </c>
      <c r="X3913">
        <f t="shared" si="246"/>
        <v>49.4</v>
      </c>
      <c r="Y3913" t="str">
        <f t="shared" si="247"/>
        <v>Non-Senior</v>
      </c>
    </row>
    <row r="3914" spans="1:25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244"/>
        <v>49-60 Months</v>
      </c>
      <c r="W3914">
        <f t="shared" si="245"/>
        <v>0</v>
      </c>
      <c r="X3914">
        <f t="shared" si="246"/>
        <v>0</v>
      </c>
      <c r="Y3914" t="str">
        <f t="shared" si="247"/>
        <v>Non-Senior</v>
      </c>
    </row>
    <row r="3915" spans="1:25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7082</v>
      </c>
      <c r="J3915" t="s">
        <v>7084</v>
      </c>
      <c r="K3915" t="s">
        <v>46</v>
      </c>
      <c r="L3915" t="s">
        <v>7084</v>
      </c>
      <c r="M3915" t="s">
        <v>7084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244"/>
        <v>61-72 Months</v>
      </c>
      <c r="W3915">
        <f t="shared" si="245"/>
        <v>0</v>
      </c>
      <c r="X3915">
        <f t="shared" si="246"/>
        <v>0</v>
      </c>
      <c r="Y3915" t="str">
        <f t="shared" si="247"/>
        <v>Non-Senior</v>
      </c>
    </row>
    <row r="3916" spans="1:25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7082</v>
      </c>
      <c r="J3916" t="s">
        <v>7084</v>
      </c>
      <c r="K3916" t="s">
        <v>46</v>
      </c>
      <c r="L3916" t="s">
        <v>7084</v>
      </c>
      <c r="M3916" t="s">
        <v>7084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244"/>
        <v>37-48 Months</v>
      </c>
      <c r="W3916">
        <f t="shared" si="245"/>
        <v>0</v>
      </c>
      <c r="X3916">
        <f t="shared" si="246"/>
        <v>0</v>
      </c>
      <c r="Y3916" t="str">
        <f t="shared" si="247"/>
        <v>Non-Senior</v>
      </c>
    </row>
    <row r="3917" spans="1:25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244"/>
        <v>49-60 Months</v>
      </c>
      <c r="W3917">
        <f t="shared" si="245"/>
        <v>0</v>
      </c>
      <c r="X3917">
        <f t="shared" si="246"/>
        <v>0</v>
      </c>
      <c r="Y3917" t="str">
        <f t="shared" si="247"/>
        <v>Non-Senior</v>
      </c>
    </row>
    <row r="3918" spans="1:25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244"/>
        <v>0-12 Months</v>
      </c>
      <c r="W3918">
        <f t="shared" si="245"/>
        <v>0</v>
      </c>
      <c r="X3918">
        <f t="shared" si="246"/>
        <v>0</v>
      </c>
      <c r="Y3918" t="str">
        <f t="shared" si="247"/>
        <v>Non-Senior</v>
      </c>
    </row>
    <row r="3919" spans="1:25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244"/>
        <v>0-12 Months</v>
      </c>
      <c r="W3919">
        <f t="shared" si="245"/>
        <v>1</v>
      </c>
      <c r="X3919">
        <f t="shared" si="246"/>
        <v>69.099999999999994</v>
      </c>
      <c r="Y3919" t="str">
        <f t="shared" si="247"/>
        <v>Senior Citizen</v>
      </c>
    </row>
    <row r="3920" spans="1:25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244"/>
        <v>13-24 Months</v>
      </c>
      <c r="W3920">
        <f t="shared" si="245"/>
        <v>1</v>
      </c>
      <c r="X3920">
        <f t="shared" si="246"/>
        <v>90.2</v>
      </c>
      <c r="Y3920" t="str">
        <f t="shared" si="247"/>
        <v>Non-Senior</v>
      </c>
    </row>
    <row r="3921" spans="1:25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244"/>
        <v>0-12 Months</v>
      </c>
      <c r="W3921">
        <f t="shared" si="245"/>
        <v>1</v>
      </c>
      <c r="X3921">
        <f t="shared" si="246"/>
        <v>93.55</v>
      </c>
      <c r="Y3921" t="str">
        <f t="shared" si="247"/>
        <v>Non-Senior</v>
      </c>
    </row>
    <row r="3922" spans="1:25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244"/>
        <v>61-72 Months</v>
      </c>
      <c r="W3922">
        <f t="shared" si="245"/>
        <v>0</v>
      </c>
      <c r="X3922">
        <f t="shared" si="246"/>
        <v>0</v>
      </c>
      <c r="Y3922" t="str">
        <f t="shared" si="247"/>
        <v>Non-Senior</v>
      </c>
    </row>
    <row r="3923" spans="1:25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244"/>
        <v>13-24 Months</v>
      </c>
      <c r="W3923">
        <f t="shared" si="245"/>
        <v>0</v>
      </c>
      <c r="X3923">
        <f t="shared" si="246"/>
        <v>0</v>
      </c>
      <c r="Y3923" t="str">
        <f t="shared" si="247"/>
        <v>Non-Senior</v>
      </c>
    </row>
    <row r="3924" spans="1:25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244"/>
        <v>61-72 Months</v>
      </c>
      <c r="W3924">
        <f t="shared" si="245"/>
        <v>0</v>
      </c>
      <c r="X3924">
        <f t="shared" si="246"/>
        <v>0</v>
      </c>
      <c r="Y3924" t="str">
        <f t="shared" si="247"/>
        <v>Senior Citizen</v>
      </c>
    </row>
    <row r="3925" spans="1:25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244"/>
        <v>0-12 Months</v>
      </c>
      <c r="W3925">
        <f t="shared" si="245"/>
        <v>1</v>
      </c>
      <c r="X3925">
        <f t="shared" si="246"/>
        <v>80.849999999999994</v>
      </c>
      <c r="Y3925" t="str">
        <f t="shared" si="247"/>
        <v>Non-Senior</v>
      </c>
    </row>
    <row r="3926" spans="1:25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244"/>
        <v>37-48 Months</v>
      </c>
      <c r="W3926">
        <f t="shared" si="245"/>
        <v>1</v>
      </c>
      <c r="X3926">
        <f t="shared" si="246"/>
        <v>82.05</v>
      </c>
      <c r="Y3926" t="str">
        <f t="shared" si="247"/>
        <v>Non-Senior</v>
      </c>
    </row>
    <row r="3927" spans="1:25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244"/>
        <v>37-48 Months</v>
      </c>
      <c r="W3927">
        <f t="shared" si="245"/>
        <v>0</v>
      </c>
      <c r="X3927">
        <f t="shared" si="246"/>
        <v>0</v>
      </c>
      <c r="Y3927" t="str">
        <f t="shared" si="247"/>
        <v>Non-Senior</v>
      </c>
    </row>
    <row r="3928" spans="1:25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244"/>
        <v>0-12 Months</v>
      </c>
      <c r="W3928">
        <f t="shared" si="245"/>
        <v>0</v>
      </c>
      <c r="X3928">
        <f t="shared" si="246"/>
        <v>0</v>
      </c>
      <c r="Y3928" t="str">
        <f t="shared" si="247"/>
        <v>Non-Senior</v>
      </c>
    </row>
    <row r="3929" spans="1:25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7082</v>
      </c>
      <c r="J3929" t="s">
        <v>7084</v>
      </c>
      <c r="K3929" t="s">
        <v>46</v>
      </c>
      <c r="L3929" t="s">
        <v>7084</v>
      </c>
      <c r="M3929" t="s">
        <v>7084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244"/>
        <v>0-12 Months</v>
      </c>
      <c r="W3929">
        <f t="shared" si="245"/>
        <v>1</v>
      </c>
      <c r="X3929">
        <f t="shared" si="246"/>
        <v>20.55</v>
      </c>
      <c r="Y3929" t="str">
        <f t="shared" si="247"/>
        <v>Non-Senior</v>
      </c>
    </row>
    <row r="3930" spans="1:25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244"/>
        <v>13-24 Months</v>
      </c>
      <c r="W3930">
        <f t="shared" si="245"/>
        <v>0</v>
      </c>
      <c r="X3930">
        <f t="shared" si="246"/>
        <v>0</v>
      </c>
      <c r="Y3930" t="str">
        <f t="shared" si="247"/>
        <v>Non-Senior</v>
      </c>
    </row>
    <row r="3931" spans="1:25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244"/>
        <v>49-60 Months</v>
      </c>
      <c r="W3931">
        <f t="shared" si="245"/>
        <v>0</v>
      </c>
      <c r="X3931">
        <f t="shared" si="246"/>
        <v>0</v>
      </c>
      <c r="Y3931" t="str">
        <f t="shared" si="247"/>
        <v>Non-Senior</v>
      </c>
    </row>
    <row r="3932" spans="1:25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244"/>
        <v>61-72 Months</v>
      </c>
      <c r="W3932">
        <f t="shared" si="245"/>
        <v>0</v>
      </c>
      <c r="X3932">
        <f t="shared" si="246"/>
        <v>0</v>
      </c>
      <c r="Y3932" t="str">
        <f t="shared" si="247"/>
        <v>Non-Senior</v>
      </c>
    </row>
    <row r="3933" spans="1:25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244"/>
        <v>25-36 Months</v>
      </c>
      <c r="W3933">
        <f t="shared" si="245"/>
        <v>0</v>
      </c>
      <c r="X3933">
        <f t="shared" si="246"/>
        <v>0</v>
      </c>
      <c r="Y3933" t="str">
        <f t="shared" si="247"/>
        <v>Non-Senior</v>
      </c>
    </row>
    <row r="3934" spans="1:25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244"/>
        <v>0-12 Months</v>
      </c>
      <c r="W3934">
        <f t="shared" si="245"/>
        <v>1</v>
      </c>
      <c r="X3934">
        <f t="shared" si="246"/>
        <v>78.55</v>
      </c>
      <c r="Y3934" t="str">
        <f t="shared" si="247"/>
        <v>Senior Citizen</v>
      </c>
    </row>
    <row r="3935" spans="1:25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7082</v>
      </c>
      <c r="J3935" t="s">
        <v>7084</v>
      </c>
      <c r="K3935" t="s">
        <v>46</v>
      </c>
      <c r="L3935" t="s">
        <v>7084</v>
      </c>
      <c r="M3935" t="s">
        <v>7084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244"/>
        <v>0-12 Months</v>
      </c>
      <c r="W3935">
        <f t="shared" si="245"/>
        <v>0</v>
      </c>
      <c r="X3935">
        <f t="shared" si="246"/>
        <v>0</v>
      </c>
      <c r="Y3935" t="str">
        <f t="shared" si="247"/>
        <v>Non-Senior</v>
      </c>
    </row>
    <row r="3936" spans="1:25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244"/>
        <v>0-12 Months</v>
      </c>
      <c r="W3936">
        <f t="shared" si="245"/>
        <v>0</v>
      </c>
      <c r="X3936">
        <f t="shared" si="246"/>
        <v>0</v>
      </c>
      <c r="Y3936" t="str">
        <f t="shared" si="247"/>
        <v>Non-Senior</v>
      </c>
    </row>
    <row r="3937" spans="1:25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7082</v>
      </c>
      <c r="J3937" t="s">
        <v>7084</v>
      </c>
      <c r="K3937" t="s">
        <v>46</v>
      </c>
      <c r="L3937" t="s">
        <v>7084</v>
      </c>
      <c r="M3937" t="s">
        <v>7084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244"/>
        <v>61-72 Months</v>
      </c>
      <c r="W3937">
        <f t="shared" si="245"/>
        <v>0</v>
      </c>
      <c r="X3937">
        <f t="shared" si="246"/>
        <v>0</v>
      </c>
      <c r="Y3937" t="str">
        <f t="shared" si="247"/>
        <v>Non-Senior</v>
      </c>
    </row>
    <row r="3938" spans="1:25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244"/>
        <v>0-12 Months</v>
      </c>
      <c r="W3938">
        <f t="shared" si="245"/>
        <v>0</v>
      </c>
      <c r="X3938">
        <f t="shared" si="246"/>
        <v>0</v>
      </c>
      <c r="Y3938" t="str">
        <f t="shared" si="247"/>
        <v>Non-Senior</v>
      </c>
    </row>
    <row r="3939" spans="1:25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7082</v>
      </c>
      <c r="J3939" t="s">
        <v>7084</v>
      </c>
      <c r="K3939" t="s">
        <v>46</v>
      </c>
      <c r="L3939" t="s">
        <v>7084</v>
      </c>
      <c r="M3939" t="s">
        <v>7084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244"/>
        <v>0-12 Months</v>
      </c>
      <c r="W3939">
        <f t="shared" si="245"/>
        <v>0</v>
      </c>
      <c r="X3939">
        <f t="shared" si="246"/>
        <v>0</v>
      </c>
      <c r="Y3939" t="str">
        <f t="shared" si="247"/>
        <v>Non-Senior</v>
      </c>
    </row>
    <row r="3940" spans="1:25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244"/>
        <v>0-12 Months</v>
      </c>
      <c r="W3940">
        <f t="shared" si="245"/>
        <v>0</v>
      </c>
      <c r="X3940">
        <f t="shared" si="246"/>
        <v>0</v>
      </c>
      <c r="Y3940" t="str">
        <f t="shared" si="247"/>
        <v>Non-Senior</v>
      </c>
    </row>
    <row r="3941" spans="1:25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244"/>
        <v>0-12 Months</v>
      </c>
      <c r="W3941">
        <f t="shared" si="245"/>
        <v>1</v>
      </c>
      <c r="X3941">
        <f t="shared" si="246"/>
        <v>78.650000000000006</v>
      </c>
      <c r="Y3941" t="str">
        <f t="shared" si="247"/>
        <v>Non-Senior</v>
      </c>
    </row>
    <row r="3942" spans="1:25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244"/>
        <v>13-24 Months</v>
      </c>
      <c r="W3942">
        <f t="shared" si="245"/>
        <v>0</v>
      </c>
      <c r="X3942">
        <f t="shared" si="246"/>
        <v>0</v>
      </c>
      <c r="Y3942" t="str">
        <f t="shared" si="247"/>
        <v>Non-Senior</v>
      </c>
    </row>
    <row r="3943" spans="1:25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7082</v>
      </c>
      <c r="J3943" t="s">
        <v>7084</v>
      </c>
      <c r="K3943" t="s">
        <v>46</v>
      </c>
      <c r="L3943" t="s">
        <v>7084</v>
      </c>
      <c r="M3943" t="s">
        <v>7084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244"/>
        <v>0-12 Months</v>
      </c>
      <c r="W3943">
        <f t="shared" si="245"/>
        <v>0</v>
      </c>
      <c r="X3943">
        <f t="shared" si="246"/>
        <v>0</v>
      </c>
      <c r="Y3943" t="str">
        <f t="shared" si="247"/>
        <v>Non-Senior</v>
      </c>
    </row>
    <row r="3944" spans="1:25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244"/>
        <v>0-12 Months</v>
      </c>
      <c r="W3944">
        <f t="shared" si="245"/>
        <v>1</v>
      </c>
      <c r="X3944">
        <f t="shared" si="246"/>
        <v>42.9</v>
      </c>
      <c r="Y3944" t="str">
        <f t="shared" si="247"/>
        <v>Non-Senior</v>
      </c>
    </row>
    <row r="3945" spans="1:25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244"/>
        <v>0-12 Months</v>
      </c>
      <c r="W3945">
        <f t="shared" si="245"/>
        <v>0</v>
      </c>
      <c r="X3945">
        <f t="shared" si="246"/>
        <v>0</v>
      </c>
      <c r="Y3945" t="str">
        <f t="shared" si="247"/>
        <v>Senior Citizen</v>
      </c>
    </row>
    <row r="3946" spans="1:25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7082</v>
      </c>
      <c r="J3946" t="s">
        <v>7084</v>
      </c>
      <c r="K3946" t="s">
        <v>46</v>
      </c>
      <c r="L3946" t="s">
        <v>7084</v>
      </c>
      <c r="M3946" t="s">
        <v>7084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244"/>
        <v>0-12 Months</v>
      </c>
      <c r="W3946">
        <f t="shared" si="245"/>
        <v>0</v>
      </c>
      <c r="X3946">
        <f t="shared" si="246"/>
        <v>0</v>
      </c>
      <c r="Y3946" t="str">
        <f t="shared" si="247"/>
        <v>Non-Senior</v>
      </c>
    </row>
    <row r="3947" spans="1:25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244"/>
        <v>0-12 Months</v>
      </c>
      <c r="W3947">
        <f t="shared" si="245"/>
        <v>1</v>
      </c>
      <c r="X3947">
        <f t="shared" si="246"/>
        <v>34.25</v>
      </c>
      <c r="Y3947" t="str">
        <f t="shared" si="247"/>
        <v>Non-Senior</v>
      </c>
    </row>
    <row r="3948" spans="1:25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244"/>
        <v>0-12 Months</v>
      </c>
      <c r="W3948">
        <f t="shared" si="245"/>
        <v>1</v>
      </c>
      <c r="X3948">
        <f t="shared" si="246"/>
        <v>58.5</v>
      </c>
      <c r="Y3948" t="str">
        <f t="shared" si="247"/>
        <v>Non-Senior</v>
      </c>
    </row>
    <row r="3949" spans="1:25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244"/>
        <v>0-12 Months</v>
      </c>
      <c r="W3949">
        <f t="shared" si="245"/>
        <v>0</v>
      </c>
      <c r="X3949">
        <f t="shared" si="246"/>
        <v>0</v>
      </c>
      <c r="Y3949" t="str">
        <f t="shared" si="247"/>
        <v>Non-Senior</v>
      </c>
    </row>
    <row r="3950" spans="1:25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244"/>
        <v>49-60 Months</v>
      </c>
      <c r="W3950">
        <f t="shared" si="245"/>
        <v>0</v>
      </c>
      <c r="X3950">
        <f t="shared" si="246"/>
        <v>0</v>
      </c>
      <c r="Y3950" t="str">
        <f t="shared" si="247"/>
        <v>Non-Senior</v>
      </c>
    </row>
    <row r="3951" spans="1:25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244"/>
        <v>13-24 Months</v>
      </c>
      <c r="W3951">
        <f t="shared" si="245"/>
        <v>0</v>
      </c>
      <c r="X3951">
        <f t="shared" si="246"/>
        <v>0</v>
      </c>
      <c r="Y3951" t="str">
        <f t="shared" si="247"/>
        <v>Non-Senior</v>
      </c>
    </row>
    <row r="3952" spans="1:25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244"/>
        <v>49-60 Months</v>
      </c>
      <c r="W3952">
        <f t="shared" si="245"/>
        <v>1</v>
      </c>
      <c r="X3952">
        <f t="shared" si="246"/>
        <v>96.2</v>
      </c>
      <c r="Y3952" t="str">
        <f t="shared" si="247"/>
        <v>Senior Citizen</v>
      </c>
    </row>
    <row r="3953" spans="1:25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244"/>
        <v>61-72 Months</v>
      </c>
      <c r="W3953">
        <f t="shared" si="245"/>
        <v>0</v>
      </c>
      <c r="X3953">
        <f t="shared" si="246"/>
        <v>0</v>
      </c>
      <c r="Y3953" t="str">
        <f t="shared" si="247"/>
        <v>Non-Senior</v>
      </c>
    </row>
    <row r="3954" spans="1:25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244"/>
        <v>61-72 Months</v>
      </c>
      <c r="W3954">
        <f t="shared" si="245"/>
        <v>0</v>
      </c>
      <c r="X3954">
        <f t="shared" si="246"/>
        <v>0</v>
      </c>
      <c r="Y3954" t="str">
        <f t="shared" si="247"/>
        <v>Non-Senior</v>
      </c>
    </row>
    <row r="3955" spans="1:25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244"/>
        <v>0-12 Months</v>
      </c>
      <c r="W3955">
        <f t="shared" si="245"/>
        <v>1</v>
      </c>
      <c r="X3955">
        <f t="shared" si="246"/>
        <v>74.400000000000006</v>
      </c>
      <c r="Y3955" t="str">
        <f t="shared" si="247"/>
        <v>Senior Citizen</v>
      </c>
    </row>
    <row r="3956" spans="1:25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244"/>
        <v>13-24 Months</v>
      </c>
      <c r="W3956">
        <f t="shared" si="245"/>
        <v>0</v>
      </c>
      <c r="X3956">
        <f t="shared" si="246"/>
        <v>0</v>
      </c>
      <c r="Y3956" t="str">
        <f t="shared" si="247"/>
        <v>Senior Citizen</v>
      </c>
    </row>
    <row r="3957" spans="1:25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244"/>
        <v>25-36 Months</v>
      </c>
      <c r="W3957">
        <f t="shared" si="245"/>
        <v>0</v>
      </c>
      <c r="X3957">
        <f t="shared" si="246"/>
        <v>0</v>
      </c>
      <c r="Y3957" t="str">
        <f t="shared" si="247"/>
        <v>Non-Senior</v>
      </c>
    </row>
    <row r="3958" spans="1:25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244"/>
        <v>0-12 Months</v>
      </c>
      <c r="W3958">
        <f t="shared" si="245"/>
        <v>1</v>
      </c>
      <c r="X3958">
        <f t="shared" si="246"/>
        <v>105.3</v>
      </c>
      <c r="Y3958" t="str">
        <f t="shared" si="247"/>
        <v>Non-Senior</v>
      </c>
    </row>
    <row r="3959" spans="1:25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244"/>
        <v>61-72 Months</v>
      </c>
      <c r="W3959">
        <f t="shared" si="245"/>
        <v>0</v>
      </c>
      <c r="X3959">
        <f t="shared" si="246"/>
        <v>0</v>
      </c>
      <c r="Y3959" t="str">
        <f t="shared" si="247"/>
        <v>Non-Senior</v>
      </c>
    </row>
    <row r="3960" spans="1:25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244"/>
        <v>13-24 Months</v>
      </c>
      <c r="W3960">
        <f t="shared" si="245"/>
        <v>1</v>
      </c>
      <c r="X3960">
        <f t="shared" si="246"/>
        <v>73.849999999999994</v>
      </c>
      <c r="Y3960" t="str">
        <f t="shared" si="247"/>
        <v>Non-Senior</v>
      </c>
    </row>
    <row r="3961" spans="1:25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244"/>
        <v>49-60 Months</v>
      </c>
      <c r="W3961">
        <f t="shared" si="245"/>
        <v>0</v>
      </c>
      <c r="X3961">
        <f t="shared" si="246"/>
        <v>0</v>
      </c>
      <c r="Y3961" t="str">
        <f t="shared" si="247"/>
        <v>Non-Senior</v>
      </c>
    </row>
    <row r="3962" spans="1:25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244"/>
        <v>0-12 Months</v>
      </c>
      <c r="W3962">
        <f t="shared" si="245"/>
        <v>0</v>
      </c>
      <c r="X3962">
        <f t="shared" si="246"/>
        <v>0</v>
      </c>
      <c r="Y3962" t="str">
        <f t="shared" si="247"/>
        <v>Non-Senior</v>
      </c>
    </row>
    <row r="3963" spans="1:25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244"/>
        <v>0-12 Months</v>
      </c>
      <c r="W3963">
        <f t="shared" si="245"/>
        <v>0</v>
      </c>
      <c r="X3963">
        <f t="shared" si="246"/>
        <v>0</v>
      </c>
      <c r="Y3963" t="str">
        <f t="shared" si="247"/>
        <v>Non-Senior</v>
      </c>
    </row>
    <row r="3964" spans="1:25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244"/>
        <v>0-12 Months</v>
      </c>
      <c r="W3964">
        <f t="shared" si="245"/>
        <v>1</v>
      </c>
      <c r="X3964">
        <f t="shared" si="246"/>
        <v>84.55</v>
      </c>
      <c r="Y3964" t="str">
        <f t="shared" si="247"/>
        <v>Senior Citizen</v>
      </c>
    </row>
    <row r="3965" spans="1:25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7082</v>
      </c>
      <c r="J3965" t="s">
        <v>7084</v>
      </c>
      <c r="K3965" t="s">
        <v>46</v>
      </c>
      <c r="L3965" t="s">
        <v>7084</v>
      </c>
      <c r="M3965" t="s">
        <v>7084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244"/>
        <v>61-72 Months</v>
      </c>
      <c r="W3965">
        <f t="shared" si="245"/>
        <v>0</v>
      </c>
      <c r="X3965">
        <f t="shared" si="246"/>
        <v>0</v>
      </c>
      <c r="Y3965" t="str">
        <f t="shared" si="247"/>
        <v>Non-Senior</v>
      </c>
    </row>
    <row r="3966" spans="1:25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244"/>
        <v>61-72 Months</v>
      </c>
      <c r="W3966">
        <f t="shared" si="245"/>
        <v>0</v>
      </c>
      <c r="X3966">
        <f t="shared" si="246"/>
        <v>0</v>
      </c>
      <c r="Y3966" t="str">
        <f t="shared" si="247"/>
        <v>Non-Senior</v>
      </c>
    </row>
    <row r="3967" spans="1:25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244"/>
        <v>49-60 Months</v>
      </c>
      <c r="W3967">
        <f t="shared" si="245"/>
        <v>0</v>
      </c>
      <c r="X3967">
        <f t="shared" si="246"/>
        <v>0</v>
      </c>
      <c r="Y3967" t="str">
        <f t="shared" si="247"/>
        <v>Senior Citizen</v>
      </c>
    </row>
    <row r="3968" spans="1:25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244"/>
        <v>61-72 Months</v>
      </c>
      <c r="W3968">
        <f t="shared" si="245"/>
        <v>0</v>
      </c>
      <c r="X3968">
        <f t="shared" si="246"/>
        <v>0</v>
      </c>
      <c r="Y3968" t="str">
        <f t="shared" si="247"/>
        <v>Non-Senior</v>
      </c>
    </row>
    <row r="3969" spans="1:25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7082</v>
      </c>
      <c r="J3969" t="s">
        <v>7084</v>
      </c>
      <c r="K3969" t="s">
        <v>46</v>
      </c>
      <c r="L3969" t="s">
        <v>7084</v>
      </c>
      <c r="M3969" t="s">
        <v>7084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244"/>
        <v>25-36 Months</v>
      </c>
      <c r="W3969">
        <f t="shared" si="245"/>
        <v>0</v>
      </c>
      <c r="X3969">
        <f t="shared" si="246"/>
        <v>0</v>
      </c>
      <c r="Y3969" t="str">
        <f t="shared" si="247"/>
        <v>Non-Senior</v>
      </c>
    </row>
    <row r="3970" spans="1:25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7082</v>
      </c>
      <c r="J3970" t="s">
        <v>7084</v>
      </c>
      <c r="K3970" t="s">
        <v>46</v>
      </c>
      <c r="L3970" t="s">
        <v>7084</v>
      </c>
      <c r="M3970" t="s">
        <v>7084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si="244"/>
        <v>61-72 Months</v>
      </c>
      <c r="W3970">
        <f t="shared" si="245"/>
        <v>0</v>
      </c>
      <c r="X3970">
        <f t="shared" si="246"/>
        <v>0</v>
      </c>
      <c r="Y3970" t="str">
        <f t="shared" si="247"/>
        <v>Non-Senior</v>
      </c>
    </row>
    <row r="3971" spans="1:25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ref="V3971:V4034" si="248">IF(F3971&lt;=12,"0-12 Months",IF(F3971&lt;=24,"13-24 Months",IF(F3971&lt;=36,"25-36 Months",IF(F3971&lt;=48,"37-48 Months",IF(F3971&lt;=60,"49-60 Months","61-72 Months")))))</f>
        <v>0-12 Months</v>
      </c>
      <c r="W3971">
        <f t="shared" ref="W3971:W4034" si="249">IF(U3971="Yes",1,0)</f>
        <v>0</v>
      </c>
      <c r="X3971">
        <f t="shared" ref="X3971:X4034" si="250">IF(U3971="Yes",S3971,0)</f>
        <v>0</v>
      </c>
      <c r="Y3971" t="str">
        <f t="shared" ref="Y3971:Y4034" si="251">IF(C3971=1,"Senior Citizen","Non-Senior")</f>
        <v>Non-Senior</v>
      </c>
    </row>
    <row r="3972" spans="1:25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248"/>
        <v>37-48 Months</v>
      </c>
      <c r="W3972">
        <f t="shared" si="249"/>
        <v>0</v>
      </c>
      <c r="X3972">
        <f t="shared" si="250"/>
        <v>0</v>
      </c>
      <c r="Y3972" t="str">
        <f t="shared" si="251"/>
        <v>Non-Senior</v>
      </c>
    </row>
    <row r="3973" spans="1:25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7082</v>
      </c>
      <c r="J3973" t="s">
        <v>7084</v>
      </c>
      <c r="K3973" t="s">
        <v>46</v>
      </c>
      <c r="L3973" t="s">
        <v>7084</v>
      </c>
      <c r="M3973" t="s">
        <v>7084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248"/>
        <v>25-36 Months</v>
      </c>
      <c r="W3973">
        <f t="shared" si="249"/>
        <v>1</v>
      </c>
      <c r="X3973">
        <f t="shared" si="250"/>
        <v>24.75</v>
      </c>
      <c r="Y3973" t="str">
        <f t="shared" si="251"/>
        <v>Non-Senior</v>
      </c>
    </row>
    <row r="3974" spans="1:25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248"/>
        <v>37-48 Months</v>
      </c>
      <c r="W3974">
        <f t="shared" si="249"/>
        <v>0</v>
      </c>
      <c r="X3974">
        <f t="shared" si="250"/>
        <v>0</v>
      </c>
      <c r="Y3974" t="str">
        <f t="shared" si="251"/>
        <v>Non-Senior</v>
      </c>
    </row>
    <row r="3975" spans="1:25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248"/>
        <v>37-48 Months</v>
      </c>
      <c r="W3975">
        <f t="shared" si="249"/>
        <v>0</v>
      </c>
      <c r="X3975">
        <f t="shared" si="250"/>
        <v>0</v>
      </c>
      <c r="Y3975" t="str">
        <f t="shared" si="251"/>
        <v>Non-Senior</v>
      </c>
    </row>
    <row r="3976" spans="1:25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248"/>
        <v>37-48 Months</v>
      </c>
      <c r="W3976">
        <f t="shared" si="249"/>
        <v>0</v>
      </c>
      <c r="X3976">
        <f t="shared" si="250"/>
        <v>0</v>
      </c>
      <c r="Y3976" t="str">
        <f t="shared" si="251"/>
        <v>Non-Senior</v>
      </c>
    </row>
    <row r="3977" spans="1:25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248"/>
        <v>13-24 Months</v>
      </c>
      <c r="W3977">
        <f t="shared" si="249"/>
        <v>1</v>
      </c>
      <c r="X3977">
        <f t="shared" si="250"/>
        <v>85.8</v>
      </c>
      <c r="Y3977" t="str">
        <f t="shared" si="251"/>
        <v>Senior Citizen</v>
      </c>
    </row>
    <row r="3978" spans="1:25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248"/>
        <v>0-12 Months</v>
      </c>
      <c r="W3978">
        <f t="shared" si="249"/>
        <v>1</v>
      </c>
      <c r="X3978">
        <f t="shared" si="250"/>
        <v>24.45</v>
      </c>
      <c r="Y3978" t="str">
        <f t="shared" si="251"/>
        <v>Non-Senior</v>
      </c>
    </row>
    <row r="3979" spans="1:25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248"/>
        <v>61-72 Months</v>
      </c>
      <c r="W3979">
        <f t="shared" si="249"/>
        <v>0</v>
      </c>
      <c r="X3979">
        <f t="shared" si="250"/>
        <v>0</v>
      </c>
      <c r="Y3979" t="str">
        <f t="shared" si="251"/>
        <v>Non-Senior</v>
      </c>
    </row>
    <row r="3980" spans="1:25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248"/>
        <v>0-12 Months</v>
      </c>
      <c r="W3980">
        <f t="shared" si="249"/>
        <v>0</v>
      </c>
      <c r="X3980">
        <f t="shared" si="250"/>
        <v>0</v>
      </c>
      <c r="Y3980" t="str">
        <f t="shared" si="251"/>
        <v>Non-Senior</v>
      </c>
    </row>
    <row r="3981" spans="1:25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7082</v>
      </c>
      <c r="J3981" t="s">
        <v>7084</v>
      </c>
      <c r="K3981" t="s">
        <v>46</v>
      </c>
      <c r="L3981" t="s">
        <v>7084</v>
      </c>
      <c r="M3981" t="s">
        <v>7084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248"/>
        <v>61-72 Months</v>
      </c>
      <c r="W3981">
        <f t="shared" si="249"/>
        <v>0</v>
      </c>
      <c r="X3981">
        <f t="shared" si="250"/>
        <v>0</v>
      </c>
      <c r="Y3981" t="str">
        <f t="shared" si="251"/>
        <v>Non-Senior</v>
      </c>
    </row>
    <row r="3982" spans="1:25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248"/>
        <v>25-36 Months</v>
      </c>
      <c r="W3982">
        <f t="shared" si="249"/>
        <v>1</v>
      </c>
      <c r="X3982">
        <f t="shared" si="250"/>
        <v>105.7</v>
      </c>
      <c r="Y3982" t="str">
        <f t="shared" si="251"/>
        <v>Non-Senior</v>
      </c>
    </row>
    <row r="3983" spans="1:25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248"/>
        <v>0-12 Months</v>
      </c>
      <c r="W3983">
        <f t="shared" si="249"/>
        <v>0</v>
      </c>
      <c r="X3983">
        <f t="shared" si="250"/>
        <v>0</v>
      </c>
      <c r="Y3983" t="str">
        <f t="shared" si="251"/>
        <v>Senior Citizen</v>
      </c>
    </row>
    <row r="3984" spans="1:25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7082</v>
      </c>
      <c r="J3984" t="s">
        <v>7084</v>
      </c>
      <c r="K3984" t="s">
        <v>46</v>
      </c>
      <c r="L3984" t="s">
        <v>7084</v>
      </c>
      <c r="M3984" t="s">
        <v>7084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248"/>
        <v>61-72 Months</v>
      </c>
      <c r="W3984">
        <f t="shared" si="249"/>
        <v>0</v>
      </c>
      <c r="X3984">
        <f t="shared" si="250"/>
        <v>0</v>
      </c>
      <c r="Y3984" t="str">
        <f t="shared" si="251"/>
        <v>Non-Senior</v>
      </c>
    </row>
    <row r="3985" spans="1:25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248"/>
        <v>0-12 Months</v>
      </c>
      <c r="W3985">
        <f t="shared" si="249"/>
        <v>1</v>
      </c>
      <c r="X3985">
        <f t="shared" si="250"/>
        <v>24.25</v>
      </c>
      <c r="Y3985" t="str">
        <f t="shared" si="251"/>
        <v>Non-Senior</v>
      </c>
    </row>
    <row r="3986" spans="1:25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7082</v>
      </c>
      <c r="J3986" t="s">
        <v>7084</v>
      </c>
      <c r="K3986" t="s">
        <v>46</v>
      </c>
      <c r="L3986" t="s">
        <v>7084</v>
      </c>
      <c r="M3986" t="s">
        <v>7084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248"/>
        <v>61-72 Months</v>
      </c>
      <c r="W3986">
        <f t="shared" si="249"/>
        <v>0</v>
      </c>
      <c r="X3986">
        <f t="shared" si="250"/>
        <v>0</v>
      </c>
      <c r="Y3986" t="str">
        <f t="shared" si="251"/>
        <v>Non-Senior</v>
      </c>
    </row>
    <row r="3987" spans="1:25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248"/>
        <v>13-24 Months</v>
      </c>
      <c r="W3987">
        <f t="shared" si="249"/>
        <v>0</v>
      </c>
      <c r="X3987">
        <f t="shared" si="250"/>
        <v>0</v>
      </c>
      <c r="Y3987" t="str">
        <f t="shared" si="251"/>
        <v>Senior Citizen</v>
      </c>
    </row>
    <row r="3988" spans="1:25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248"/>
        <v>61-72 Months</v>
      </c>
      <c r="W3988">
        <f t="shared" si="249"/>
        <v>0</v>
      </c>
      <c r="X3988">
        <f t="shared" si="250"/>
        <v>0</v>
      </c>
      <c r="Y3988" t="str">
        <f t="shared" si="251"/>
        <v>Non-Senior</v>
      </c>
    </row>
    <row r="3989" spans="1:25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248"/>
        <v>0-12 Months</v>
      </c>
      <c r="W3989">
        <f t="shared" si="249"/>
        <v>1</v>
      </c>
      <c r="X3989">
        <f t="shared" si="250"/>
        <v>76.5</v>
      </c>
      <c r="Y3989" t="str">
        <f t="shared" si="251"/>
        <v>Non-Senior</v>
      </c>
    </row>
    <row r="3990" spans="1:25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248"/>
        <v>49-60 Months</v>
      </c>
      <c r="W3990">
        <f t="shared" si="249"/>
        <v>0</v>
      </c>
      <c r="X3990">
        <f t="shared" si="250"/>
        <v>0</v>
      </c>
      <c r="Y3990" t="str">
        <f t="shared" si="251"/>
        <v>Non-Senior</v>
      </c>
    </row>
    <row r="3991" spans="1:25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248"/>
        <v>0-12 Months</v>
      </c>
      <c r="W3991">
        <f t="shared" si="249"/>
        <v>0</v>
      </c>
      <c r="X3991">
        <f t="shared" si="250"/>
        <v>0</v>
      </c>
      <c r="Y3991" t="str">
        <f t="shared" si="251"/>
        <v>Non-Senior</v>
      </c>
    </row>
    <row r="3992" spans="1:25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248"/>
        <v>13-24 Months</v>
      </c>
      <c r="W3992">
        <f t="shared" si="249"/>
        <v>0</v>
      </c>
      <c r="X3992">
        <f t="shared" si="250"/>
        <v>0</v>
      </c>
      <c r="Y3992" t="str">
        <f t="shared" si="251"/>
        <v>Non-Senior</v>
      </c>
    </row>
    <row r="3993" spans="1:25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248"/>
        <v>0-12 Months</v>
      </c>
      <c r="W3993">
        <f t="shared" si="249"/>
        <v>1</v>
      </c>
      <c r="X3993">
        <f t="shared" si="250"/>
        <v>93.5</v>
      </c>
      <c r="Y3993" t="str">
        <f t="shared" si="251"/>
        <v>Non-Senior</v>
      </c>
    </row>
    <row r="3994" spans="1:25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248"/>
        <v>61-72 Months</v>
      </c>
      <c r="W3994">
        <f t="shared" si="249"/>
        <v>0</v>
      </c>
      <c r="X3994">
        <f t="shared" si="250"/>
        <v>0</v>
      </c>
      <c r="Y3994" t="str">
        <f t="shared" si="251"/>
        <v>Non-Senior</v>
      </c>
    </row>
    <row r="3995" spans="1:25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248"/>
        <v>61-72 Months</v>
      </c>
      <c r="W3995">
        <f t="shared" si="249"/>
        <v>0</v>
      </c>
      <c r="X3995">
        <f t="shared" si="250"/>
        <v>0</v>
      </c>
      <c r="Y3995" t="str">
        <f t="shared" si="251"/>
        <v>Non-Senior</v>
      </c>
    </row>
    <row r="3996" spans="1:25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248"/>
        <v>49-60 Months</v>
      </c>
      <c r="W3996">
        <f t="shared" si="249"/>
        <v>1</v>
      </c>
      <c r="X3996">
        <f t="shared" si="250"/>
        <v>101.5</v>
      </c>
      <c r="Y3996" t="str">
        <f t="shared" si="251"/>
        <v>Senior Citizen</v>
      </c>
    </row>
    <row r="3997" spans="1:25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248"/>
        <v>25-36 Months</v>
      </c>
      <c r="W3997">
        <f t="shared" si="249"/>
        <v>1</v>
      </c>
      <c r="X3997">
        <f t="shared" si="250"/>
        <v>74.900000000000006</v>
      </c>
      <c r="Y3997" t="str">
        <f t="shared" si="251"/>
        <v>Non-Senior</v>
      </c>
    </row>
    <row r="3998" spans="1:25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7082</v>
      </c>
      <c r="J3998" t="s">
        <v>7084</v>
      </c>
      <c r="K3998" t="s">
        <v>46</v>
      </c>
      <c r="L3998" t="s">
        <v>7084</v>
      </c>
      <c r="M3998" t="s">
        <v>7084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248"/>
        <v>13-24 Months</v>
      </c>
      <c r="W3998">
        <f t="shared" si="249"/>
        <v>0</v>
      </c>
      <c r="X3998">
        <f t="shared" si="250"/>
        <v>0</v>
      </c>
      <c r="Y3998" t="str">
        <f t="shared" si="251"/>
        <v>Non-Senior</v>
      </c>
    </row>
    <row r="3999" spans="1:25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248"/>
        <v>61-72 Months</v>
      </c>
      <c r="W3999">
        <f t="shared" si="249"/>
        <v>0</v>
      </c>
      <c r="X3999">
        <f t="shared" si="250"/>
        <v>0</v>
      </c>
      <c r="Y3999" t="str">
        <f t="shared" si="251"/>
        <v>Non-Senior</v>
      </c>
    </row>
    <row r="4000" spans="1:25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248"/>
        <v>37-48 Months</v>
      </c>
      <c r="W4000">
        <f t="shared" si="249"/>
        <v>0</v>
      </c>
      <c r="X4000">
        <f t="shared" si="250"/>
        <v>0</v>
      </c>
      <c r="Y4000" t="str">
        <f t="shared" si="251"/>
        <v>Non-Senior</v>
      </c>
    </row>
    <row r="4001" spans="1:25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248"/>
        <v>0-12 Months</v>
      </c>
      <c r="W4001">
        <f t="shared" si="249"/>
        <v>1</v>
      </c>
      <c r="X4001">
        <f t="shared" si="250"/>
        <v>69.599999999999994</v>
      </c>
      <c r="Y4001" t="str">
        <f t="shared" si="251"/>
        <v>Senior Citizen</v>
      </c>
    </row>
    <row r="4002" spans="1:25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248"/>
        <v>37-48 Months</v>
      </c>
      <c r="W4002">
        <f t="shared" si="249"/>
        <v>0</v>
      </c>
      <c r="X4002">
        <f t="shared" si="250"/>
        <v>0</v>
      </c>
      <c r="Y4002" t="str">
        <f t="shared" si="251"/>
        <v>Senior Citizen</v>
      </c>
    </row>
    <row r="4003" spans="1:25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248"/>
        <v>37-48 Months</v>
      </c>
      <c r="W4003">
        <f t="shared" si="249"/>
        <v>0</v>
      </c>
      <c r="X4003">
        <f t="shared" si="250"/>
        <v>0</v>
      </c>
      <c r="Y4003" t="str">
        <f t="shared" si="251"/>
        <v>Non-Senior</v>
      </c>
    </row>
    <row r="4004" spans="1:25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248"/>
        <v>61-72 Months</v>
      </c>
      <c r="W4004">
        <f t="shared" si="249"/>
        <v>0</v>
      </c>
      <c r="X4004">
        <f t="shared" si="250"/>
        <v>0</v>
      </c>
      <c r="Y4004" t="str">
        <f t="shared" si="251"/>
        <v>Non-Senior</v>
      </c>
    </row>
    <row r="4005" spans="1:25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7082</v>
      </c>
      <c r="J4005" t="s">
        <v>7084</v>
      </c>
      <c r="K4005" t="s">
        <v>46</v>
      </c>
      <c r="L4005" t="s">
        <v>7084</v>
      </c>
      <c r="M4005" t="s">
        <v>7084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248"/>
        <v>37-48 Months</v>
      </c>
      <c r="W4005">
        <f t="shared" si="249"/>
        <v>0</v>
      </c>
      <c r="X4005">
        <f t="shared" si="250"/>
        <v>0</v>
      </c>
      <c r="Y4005" t="str">
        <f t="shared" si="251"/>
        <v>Non-Senior</v>
      </c>
    </row>
    <row r="4006" spans="1:25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248"/>
        <v>61-72 Months</v>
      </c>
      <c r="W4006">
        <f t="shared" si="249"/>
        <v>0</v>
      </c>
      <c r="X4006">
        <f t="shared" si="250"/>
        <v>0</v>
      </c>
      <c r="Y4006" t="str">
        <f t="shared" si="251"/>
        <v>Non-Senior</v>
      </c>
    </row>
    <row r="4007" spans="1:25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7082</v>
      </c>
      <c r="J4007" t="s">
        <v>7084</v>
      </c>
      <c r="K4007" t="s">
        <v>46</v>
      </c>
      <c r="L4007" t="s">
        <v>7084</v>
      </c>
      <c r="M4007" t="s">
        <v>7084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248"/>
        <v>0-12 Months</v>
      </c>
      <c r="W4007">
        <f t="shared" si="249"/>
        <v>1</v>
      </c>
      <c r="X4007">
        <f t="shared" si="250"/>
        <v>24.05</v>
      </c>
      <c r="Y4007" t="str">
        <f t="shared" si="251"/>
        <v>Non-Senior</v>
      </c>
    </row>
    <row r="4008" spans="1:25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7082</v>
      </c>
      <c r="J4008" t="s">
        <v>7084</v>
      </c>
      <c r="K4008" t="s">
        <v>46</v>
      </c>
      <c r="L4008" t="s">
        <v>7084</v>
      </c>
      <c r="M4008" t="s">
        <v>7084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248"/>
        <v>61-72 Months</v>
      </c>
      <c r="W4008">
        <f t="shared" si="249"/>
        <v>0</v>
      </c>
      <c r="X4008">
        <f t="shared" si="250"/>
        <v>0</v>
      </c>
      <c r="Y4008" t="str">
        <f t="shared" si="251"/>
        <v>Non-Senior</v>
      </c>
    </row>
    <row r="4009" spans="1:25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7082</v>
      </c>
      <c r="J4009" t="s">
        <v>7084</v>
      </c>
      <c r="K4009" t="s">
        <v>46</v>
      </c>
      <c r="L4009" t="s">
        <v>7084</v>
      </c>
      <c r="M4009" t="s">
        <v>7084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248"/>
        <v>49-60 Months</v>
      </c>
      <c r="W4009">
        <f t="shared" si="249"/>
        <v>0</v>
      </c>
      <c r="X4009">
        <f t="shared" si="250"/>
        <v>0</v>
      </c>
      <c r="Y4009" t="str">
        <f t="shared" si="251"/>
        <v>Non-Senior</v>
      </c>
    </row>
    <row r="4010" spans="1:25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248"/>
        <v>49-60 Months</v>
      </c>
      <c r="W4010">
        <f t="shared" si="249"/>
        <v>0</v>
      </c>
      <c r="X4010">
        <f t="shared" si="250"/>
        <v>0</v>
      </c>
      <c r="Y4010" t="str">
        <f t="shared" si="251"/>
        <v>Non-Senior</v>
      </c>
    </row>
    <row r="4011" spans="1:25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248"/>
        <v>61-72 Months</v>
      </c>
      <c r="W4011">
        <f t="shared" si="249"/>
        <v>0</v>
      </c>
      <c r="X4011">
        <f t="shared" si="250"/>
        <v>0</v>
      </c>
      <c r="Y4011" t="str">
        <f t="shared" si="251"/>
        <v>Non-Senior</v>
      </c>
    </row>
    <row r="4012" spans="1:25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7082</v>
      </c>
      <c r="J4012" t="s">
        <v>7084</v>
      </c>
      <c r="K4012" t="s">
        <v>46</v>
      </c>
      <c r="L4012" t="s">
        <v>7084</v>
      </c>
      <c r="M4012" t="s">
        <v>7084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248"/>
        <v>0-12 Months</v>
      </c>
      <c r="W4012">
        <f t="shared" si="249"/>
        <v>0</v>
      </c>
      <c r="X4012">
        <f t="shared" si="250"/>
        <v>0</v>
      </c>
      <c r="Y4012" t="str">
        <f t="shared" si="251"/>
        <v>Non-Senior</v>
      </c>
    </row>
    <row r="4013" spans="1:25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7082</v>
      </c>
      <c r="J4013" t="s">
        <v>7084</v>
      </c>
      <c r="K4013" t="s">
        <v>46</v>
      </c>
      <c r="L4013" t="s">
        <v>7084</v>
      </c>
      <c r="M4013" t="s">
        <v>7084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248"/>
        <v>13-24 Months</v>
      </c>
      <c r="W4013">
        <f t="shared" si="249"/>
        <v>0</v>
      </c>
      <c r="X4013">
        <f t="shared" si="250"/>
        <v>0</v>
      </c>
      <c r="Y4013" t="str">
        <f t="shared" si="251"/>
        <v>Non-Senior</v>
      </c>
    </row>
    <row r="4014" spans="1:25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248"/>
        <v>0-12 Months</v>
      </c>
      <c r="W4014">
        <f t="shared" si="249"/>
        <v>1</v>
      </c>
      <c r="X4014">
        <f t="shared" si="250"/>
        <v>50.55</v>
      </c>
      <c r="Y4014" t="str">
        <f t="shared" si="251"/>
        <v>Non-Senior</v>
      </c>
    </row>
    <row r="4015" spans="1:25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248"/>
        <v>0-12 Months</v>
      </c>
      <c r="W4015">
        <f t="shared" si="249"/>
        <v>0</v>
      </c>
      <c r="X4015">
        <f t="shared" si="250"/>
        <v>0</v>
      </c>
      <c r="Y4015" t="str">
        <f t="shared" si="251"/>
        <v>Non-Senior</v>
      </c>
    </row>
    <row r="4016" spans="1:25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248"/>
        <v>49-60 Months</v>
      </c>
      <c r="W4016">
        <f t="shared" si="249"/>
        <v>0</v>
      </c>
      <c r="X4016">
        <f t="shared" si="250"/>
        <v>0</v>
      </c>
      <c r="Y4016" t="str">
        <f t="shared" si="251"/>
        <v>Senior Citizen</v>
      </c>
    </row>
    <row r="4017" spans="1:25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248"/>
        <v>25-36 Months</v>
      </c>
      <c r="W4017">
        <f t="shared" si="249"/>
        <v>0</v>
      </c>
      <c r="X4017">
        <f t="shared" si="250"/>
        <v>0</v>
      </c>
      <c r="Y4017" t="str">
        <f t="shared" si="251"/>
        <v>Non-Senior</v>
      </c>
    </row>
    <row r="4018" spans="1:25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248"/>
        <v>0-12 Months</v>
      </c>
      <c r="W4018">
        <f t="shared" si="249"/>
        <v>0</v>
      </c>
      <c r="X4018">
        <f t="shared" si="250"/>
        <v>0</v>
      </c>
      <c r="Y4018" t="str">
        <f t="shared" si="251"/>
        <v>Non-Senior</v>
      </c>
    </row>
    <row r="4019" spans="1:25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248"/>
        <v>25-36 Months</v>
      </c>
      <c r="W4019">
        <f t="shared" si="249"/>
        <v>0</v>
      </c>
      <c r="X4019">
        <f t="shared" si="250"/>
        <v>0</v>
      </c>
      <c r="Y4019" t="str">
        <f t="shared" si="251"/>
        <v>Non-Senior</v>
      </c>
    </row>
    <row r="4020" spans="1:25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248"/>
        <v>0-12 Months</v>
      </c>
      <c r="W4020">
        <f t="shared" si="249"/>
        <v>0</v>
      </c>
      <c r="X4020">
        <f t="shared" si="250"/>
        <v>0</v>
      </c>
      <c r="Y4020" t="str">
        <f t="shared" si="251"/>
        <v>Non-Senior</v>
      </c>
    </row>
    <row r="4021" spans="1:25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248"/>
        <v>13-24 Months</v>
      </c>
      <c r="W4021">
        <f t="shared" si="249"/>
        <v>1</v>
      </c>
      <c r="X4021">
        <f t="shared" si="250"/>
        <v>100.55</v>
      </c>
      <c r="Y4021" t="str">
        <f t="shared" si="251"/>
        <v>Non-Senior</v>
      </c>
    </row>
    <row r="4022" spans="1:25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248"/>
        <v>61-72 Months</v>
      </c>
      <c r="W4022">
        <f t="shared" si="249"/>
        <v>0</v>
      </c>
      <c r="X4022">
        <f t="shared" si="250"/>
        <v>0</v>
      </c>
      <c r="Y4022" t="str">
        <f t="shared" si="251"/>
        <v>Senior Citizen</v>
      </c>
    </row>
    <row r="4023" spans="1:25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7082</v>
      </c>
      <c r="J4023" t="s">
        <v>7084</v>
      </c>
      <c r="K4023" t="s">
        <v>46</v>
      </c>
      <c r="L4023" t="s">
        <v>7084</v>
      </c>
      <c r="M4023" t="s">
        <v>7084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248"/>
        <v>0-12 Months</v>
      </c>
      <c r="W4023">
        <f t="shared" si="249"/>
        <v>1</v>
      </c>
      <c r="X4023">
        <f t="shared" si="250"/>
        <v>20.5</v>
      </c>
      <c r="Y4023" t="str">
        <f t="shared" si="251"/>
        <v>Non-Senior</v>
      </c>
    </row>
    <row r="4024" spans="1:25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7082</v>
      </c>
      <c r="J4024" t="s">
        <v>7084</v>
      </c>
      <c r="K4024" t="s">
        <v>46</v>
      </c>
      <c r="L4024" t="s">
        <v>7084</v>
      </c>
      <c r="M4024" t="s">
        <v>7084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248"/>
        <v>0-12 Months</v>
      </c>
      <c r="W4024">
        <f t="shared" si="249"/>
        <v>0</v>
      </c>
      <c r="X4024">
        <f t="shared" si="250"/>
        <v>0</v>
      </c>
      <c r="Y4024" t="str">
        <f t="shared" si="251"/>
        <v>Non-Senior</v>
      </c>
    </row>
    <row r="4025" spans="1:25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7082</v>
      </c>
      <c r="J4025" t="s">
        <v>7084</v>
      </c>
      <c r="K4025" t="s">
        <v>46</v>
      </c>
      <c r="L4025" t="s">
        <v>7084</v>
      </c>
      <c r="M4025" t="s">
        <v>7084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248"/>
        <v>37-48 Months</v>
      </c>
      <c r="W4025">
        <f t="shared" si="249"/>
        <v>0</v>
      </c>
      <c r="X4025">
        <f t="shared" si="250"/>
        <v>0</v>
      </c>
      <c r="Y4025" t="str">
        <f t="shared" si="251"/>
        <v>Non-Senior</v>
      </c>
    </row>
    <row r="4026" spans="1:25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248"/>
        <v>0-12 Months</v>
      </c>
      <c r="W4026">
        <f t="shared" si="249"/>
        <v>0</v>
      </c>
      <c r="X4026">
        <f t="shared" si="250"/>
        <v>0</v>
      </c>
      <c r="Y4026" t="str">
        <f t="shared" si="251"/>
        <v>Non-Senior</v>
      </c>
    </row>
    <row r="4027" spans="1:25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248"/>
        <v>0-12 Months</v>
      </c>
      <c r="W4027">
        <f t="shared" si="249"/>
        <v>1</v>
      </c>
      <c r="X4027">
        <f t="shared" si="250"/>
        <v>74.8</v>
      </c>
      <c r="Y4027" t="str">
        <f t="shared" si="251"/>
        <v>Non-Senior</v>
      </c>
    </row>
    <row r="4028" spans="1:25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248"/>
        <v>61-72 Months</v>
      </c>
      <c r="W4028">
        <f t="shared" si="249"/>
        <v>0</v>
      </c>
      <c r="X4028">
        <f t="shared" si="250"/>
        <v>0</v>
      </c>
      <c r="Y4028" t="str">
        <f t="shared" si="251"/>
        <v>Non-Senior</v>
      </c>
    </row>
    <row r="4029" spans="1:25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248"/>
        <v>13-24 Months</v>
      </c>
      <c r="W4029">
        <f t="shared" si="249"/>
        <v>1</v>
      </c>
      <c r="X4029">
        <f t="shared" si="250"/>
        <v>24.45</v>
      </c>
      <c r="Y4029" t="str">
        <f t="shared" si="251"/>
        <v>Non-Senior</v>
      </c>
    </row>
    <row r="4030" spans="1:25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248"/>
        <v>61-72 Months</v>
      </c>
      <c r="W4030">
        <f t="shared" si="249"/>
        <v>0</v>
      </c>
      <c r="X4030">
        <f t="shared" si="250"/>
        <v>0</v>
      </c>
      <c r="Y4030" t="str">
        <f t="shared" si="251"/>
        <v>Non-Senior</v>
      </c>
    </row>
    <row r="4031" spans="1:25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248"/>
        <v>49-60 Months</v>
      </c>
      <c r="W4031">
        <f t="shared" si="249"/>
        <v>0</v>
      </c>
      <c r="X4031">
        <f t="shared" si="250"/>
        <v>0</v>
      </c>
      <c r="Y4031" t="str">
        <f t="shared" si="251"/>
        <v>Non-Senior</v>
      </c>
    </row>
    <row r="4032" spans="1:25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248"/>
        <v>0-12 Months</v>
      </c>
      <c r="W4032">
        <f t="shared" si="249"/>
        <v>0</v>
      </c>
      <c r="X4032">
        <f t="shared" si="250"/>
        <v>0</v>
      </c>
      <c r="Y4032" t="str">
        <f t="shared" si="251"/>
        <v>Non-Senior</v>
      </c>
    </row>
    <row r="4033" spans="1:25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248"/>
        <v>61-72 Months</v>
      </c>
      <c r="W4033">
        <f t="shared" si="249"/>
        <v>0</v>
      </c>
      <c r="X4033">
        <f t="shared" si="250"/>
        <v>0</v>
      </c>
      <c r="Y4033" t="str">
        <f t="shared" si="251"/>
        <v>Non-Senior</v>
      </c>
    </row>
    <row r="4034" spans="1:25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si="248"/>
        <v>61-72 Months</v>
      </c>
      <c r="W4034">
        <f t="shared" si="249"/>
        <v>0</v>
      </c>
      <c r="X4034">
        <f t="shared" si="250"/>
        <v>0</v>
      </c>
      <c r="Y4034" t="str">
        <f t="shared" si="251"/>
        <v>Senior Citizen</v>
      </c>
    </row>
    <row r="4035" spans="1:25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ref="V4035:V4098" si="252">IF(F4035&lt;=12,"0-12 Months",IF(F4035&lt;=24,"13-24 Months",IF(F4035&lt;=36,"25-36 Months",IF(F4035&lt;=48,"37-48 Months",IF(F4035&lt;=60,"49-60 Months","61-72 Months")))))</f>
        <v>61-72 Months</v>
      </c>
      <c r="W4035">
        <f t="shared" ref="W4035:W4098" si="253">IF(U4035="Yes",1,0)</f>
        <v>0</v>
      </c>
      <c r="X4035">
        <f t="shared" ref="X4035:X4098" si="254">IF(U4035="Yes",S4035,0)</f>
        <v>0</v>
      </c>
      <c r="Y4035" t="str">
        <f t="shared" ref="Y4035:Y4098" si="255">IF(C4035=1,"Senior Citizen","Non-Senior")</f>
        <v>Non-Senior</v>
      </c>
    </row>
    <row r="4036" spans="1:25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252"/>
        <v>0-12 Months</v>
      </c>
      <c r="W4036">
        <f t="shared" si="253"/>
        <v>0</v>
      </c>
      <c r="X4036">
        <f t="shared" si="254"/>
        <v>0</v>
      </c>
      <c r="Y4036" t="str">
        <f t="shared" si="255"/>
        <v>Non-Senior</v>
      </c>
    </row>
    <row r="4037" spans="1:25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252"/>
        <v>49-60 Months</v>
      </c>
      <c r="W4037">
        <f t="shared" si="253"/>
        <v>0</v>
      </c>
      <c r="X4037">
        <f t="shared" si="254"/>
        <v>0</v>
      </c>
      <c r="Y4037" t="str">
        <f t="shared" si="255"/>
        <v>Non-Senior</v>
      </c>
    </row>
    <row r="4038" spans="1:25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7082</v>
      </c>
      <c r="J4038" t="s">
        <v>7084</v>
      </c>
      <c r="K4038" t="s">
        <v>46</v>
      </c>
      <c r="L4038" t="s">
        <v>7084</v>
      </c>
      <c r="M4038" t="s">
        <v>7084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252"/>
        <v>13-24 Months</v>
      </c>
      <c r="W4038">
        <f t="shared" si="253"/>
        <v>0</v>
      </c>
      <c r="X4038">
        <f t="shared" si="254"/>
        <v>0</v>
      </c>
      <c r="Y4038" t="str">
        <f t="shared" si="255"/>
        <v>Non-Senior</v>
      </c>
    </row>
    <row r="4039" spans="1:25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7082</v>
      </c>
      <c r="J4039" t="s">
        <v>7084</v>
      </c>
      <c r="K4039" t="s">
        <v>46</v>
      </c>
      <c r="L4039" t="s">
        <v>7084</v>
      </c>
      <c r="M4039" t="s">
        <v>7084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252"/>
        <v>49-60 Months</v>
      </c>
      <c r="W4039">
        <f t="shared" si="253"/>
        <v>0</v>
      </c>
      <c r="X4039">
        <f t="shared" si="254"/>
        <v>0</v>
      </c>
      <c r="Y4039" t="str">
        <f t="shared" si="255"/>
        <v>Non-Senior</v>
      </c>
    </row>
    <row r="4040" spans="1:25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7082</v>
      </c>
      <c r="J4040" t="s">
        <v>7084</v>
      </c>
      <c r="K4040" t="s">
        <v>46</v>
      </c>
      <c r="L4040" t="s">
        <v>7084</v>
      </c>
      <c r="M4040" t="s">
        <v>7084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252"/>
        <v>49-60 Months</v>
      </c>
      <c r="W4040">
        <f t="shared" si="253"/>
        <v>0</v>
      </c>
      <c r="X4040">
        <f t="shared" si="254"/>
        <v>0</v>
      </c>
      <c r="Y4040" t="str">
        <f t="shared" si="255"/>
        <v>Non-Senior</v>
      </c>
    </row>
    <row r="4041" spans="1:25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252"/>
        <v>0-12 Months</v>
      </c>
      <c r="W4041">
        <f t="shared" si="253"/>
        <v>0</v>
      </c>
      <c r="X4041">
        <f t="shared" si="254"/>
        <v>0</v>
      </c>
      <c r="Y4041" t="str">
        <f t="shared" si="255"/>
        <v>Non-Senior</v>
      </c>
    </row>
    <row r="4042" spans="1:25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252"/>
        <v>49-60 Months</v>
      </c>
      <c r="W4042">
        <f t="shared" si="253"/>
        <v>0</v>
      </c>
      <c r="X4042">
        <f t="shared" si="254"/>
        <v>0</v>
      </c>
      <c r="Y4042" t="str">
        <f t="shared" si="255"/>
        <v>Non-Senior</v>
      </c>
    </row>
    <row r="4043" spans="1:25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252"/>
        <v>37-48 Months</v>
      </c>
      <c r="W4043">
        <f t="shared" si="253"/>
        <v>0</v>
      </c>
      <c r="X4043">
        <f t="shared" si="254"/>
        <v>0</v>
      </c>
      <c r="Y4043" t="str">
        <f t="shared" si="255"/>
        <v>Non-Senior</v>
      </c>
    </row>
    <row r="4044" spans="1:25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252"/>
        <v>0-12 Months</v>
      </c>
      <c r="W4044">
        <f t="shared" si="253"/>
        <v>0</v>
      </c>
      <c r="X4044">
        <f t="shared" si="254"/>
        <v>0</v>
      </c>
      <c r="Y4044" t="str">
        <f t="shared" si="255"/>
        <v>Non-Senior</v>
      </c>
    </row>
    <row r="4045" spans="1:25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252"/>
        <v>49-60 Months</v>
      </c>
      <c r="W4045">
        <f t="shared" si="253"/>
        <v>0</v>
      </c>
      <c r="X4045">
        <f t="shared" si="254"/>
        <v>0</v>
      </c>
      <c r="Y4045" t="str">
        <f t="shared" si="255"/>
        <v>Senior Citizen</v>
      </c>
    </row>
    <row r="4046" spans="1:25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252"/>
        <v>61-72 Months</v>
      </c>
      <c r="W4046">
        <f t="shared" si="253"/>
        <v>0</v>
      </c>
      <c r="X4046">
        <f t="shared" si="254"/>
        <v>0</v>
      </c>
      <c r="Y4046" t="str">
        <f t="shared" si="255"/>
        <v>Non-Senior</v>
      </c>
    </row>
    <row r="4047" spans="1:25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252"/>
        <v>13-24 Months</v>
      </c>
      <c r="W4047">
        <f t="shared" si="253"/>
        <v>1</v>
      </c>
      <c r="X4047">
        <f t="shared" si="254"/>
        <v>71</v>
      </c>
      <c r="Y4047" t="str">
        <f t="shared" si="255"/>
        <v>Non-Senior</v>
      </c>
    </row>
    <row r="4048" spans="1:25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252"/>
        <v>37-48 Months</v>
      </c>
      <c r="W4048">
        <f t="shared" si="253"/>
        <v>0</v>
      </c>
      <c r="X4048">
        <f t="shared" si="254"/>
        <v>0</v>
      </c>
      <c r="Y4048" t="str">
        <f t="shared" si="255"/>
        <v>Non-Senior</v>
      </c>
    </row>
    <row r="4049" spans="1:25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252"/>
        <v>61-72 Months</v>
      </c>
      <c r="W4049">
        <f t="shared" si="253"/>
        <v>0</v>
      </c>
      <c r="X4049">
        <f t="shared" si="254"/>
        <v>0</v>
      </c>
      <c r="Y4049" t="str">
        <f t="shared" si="255"/>
        <v>Non-Senior</v>
      </c>
    </row>
    <row r="4050" spans="1:25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252"/>
        <v>49-60 Months</v>
      </c>
      <c r="W4050">
        <f t="shared" si="253"/>
        <v>0</v>
      </c>
      <c r="X4050">
        <f t="shared" si="254"/>
        <v>0</v>
      </c>
      <c r="Y4050" t="str">
        <f t="shared" si="255"/>
        <v>Non-Senior</v>
      </c>
    </row>
    <row r="4051" spans="1:25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252"/>
        <v>37-48 Months</v>
      </c>
      <c r="W4051">
        <f t="shared" si="253"/>
        <v>0</v>
      </c>
      <c r="X4051">
        <f t="shared" si="254"/>
        <v>0</v>
      </c>
      <c r="Y4051" t="str">
        <f t="shared" si="255"/>
        <v>Senior Citizen</v>
      </c>
    </row>
    <row r="4052" spans="1:25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252"/>
        <v>49-60 Months</v>
      </c>
      <c r="W4052">
        <f t="shared" si="253"/>
        <v>0</v>
      </c>
      <c r="X4052">
        <f t="shared" si="254"/>
        <v>0</v>
      </c>
      <c r="Y4052" t="str">
        <f t="shared" si="255"/>
        <v>Senior Citizen</v>
      </c>
    </row>
    <row r="4053" spans="1:25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252"/>
        <v>61-72 Months</v>
      </c>
      <c r="W4053">
        <f t="shared" si="253"/>
        <v>0</v>
      </c>
      <c r="X4053">
        <f t="shared" si="254"/>
        <v>0</v>
      </c>
      <c r="Y4053" t="str">
        <f t="shared" si="255"/>
        <v>Non-Senior</v>
      </c>
    </row>
    <row r="4054" spans="1:25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252"/>
        <v>25-36 Months</v>
      </c>
      <c r="W4054">
        <f t="shared" si="253"/>
        <v>1</v>
      </c>
      <c r="X4054">
        <f t="shared" si="254"/>
        <v>40.299999999999997</v>
      </c>
      <c r="Y4054" t="str">
        <f t="shared" si="255"/>
        <v>Senior Citizen</v>
      </c>
    </row>
    <row r="4055" spans="1:25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252"/>
        <v>0-12 Months</v>
      </c>
      <c r="W4055">
        <f t="shared" si="253"/>
        <v>0</v>
      </c>
      <c r="X4055">
        <f t="shared" si="254"/>
        <v>0</v>
      </c>
      <c r="Y4055" t="str">
        <f t="shared" si="255"/>
        <v>Senior Citizen</v>
      </c>
    </row>
    <row r="4056" spans="1:25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252"/>
        <v>25-36 Months</v>
      </c>
      <c r="W4056">
        <f t="shared" si="253"/>
        <v>0</v>
      </c>
      <c r="X4056">
        <f t="shared" si="254"/>
        <v>0</v>
      </c>
      <c r="Y4056" t="str">
        <f t="shared" si="255"/>
        <v>Senior Citizen</v>
      </c>
    </row>
    <row r="4057" spans="1:25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252"/>
        <v>49-60 Months</v>
      </c>
      <c r="W4057">
        <f t="shared" si="253"/>
        <v>0</v>
      </c>
      <c r="X4057">
        <f t="shared" si="254"/>
        <v>0</v>
      </c>
      <c r="Y4057" t="str">
        <f t="shared" si="255"/>
        <v>Non-Senior</v>
      </c>
    </row>
    <row r="4058" spans="1:25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252"/>
        <v>0-12 Months</v>
      </c>
      <c r="W4058">
        <f t="shared" si="253"/>
        <v>1</v>
      </c>
      <c r="X4058">
        <f t="shared" si="254"/>
        <v>50.6</v>
      </c>
      <c r="Y4058" t="str">
        <f t="shared" si="255"/>
        <v>Non-Senior</v>
      </c>
    </row>
    <row r="4059" spans="1:25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7082</v>
      </c>
      <c r="J4059" t="s">
        <v>7084</v>
      </c>
      <c r="K4059" t="s">
        <v>46</v>
      </c>
      <c r="L4059" t="s">
        <v>7084</v>
      </c>
      <c r="M4059" t="s">
        <v>7084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252"/>
        <v>61-72 Months</v>
      </c>
      <c r="W4059">
        <f t="shared" si="253"/>
        <v>0</v>
      </c>
      <c r="X4059">
        <f t="shared" si="254"/>
        <v>0</v>
      </c>
      <c r="Y4059" t="str">
        <f t="shared" si="255"/>
        <v>Non-Senior</v>
      </c>
    </row>
    <row r="4060" spans="1:25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252"/>
        <v>37-48 Months</v>
      </c>
      <c r="W4060">
        <f t="shared" si="253"/>
        <v>1</v>
      </c>
      <c r="X4060">
        <f t="shared" si="254"/>
        <v>84.85</v>
      </c>
      <c r="Y4060" t="str">
        <f t="shared" si="255"/>
        <v>Non-Senior</v>
      </c>
    </row>
    <row r="4061" spans="1:25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252"/>
        <v>0-12 Months</v>
      </c>
      <c r="W4061">
        <f t="shared" si="253"/>
        <v>1</v>
      </c>
      <c r="X4061">
        <f t="shared" si="254"/>
        <v>65.7</v>
      </c>
      <c r="Y4061" t="str">
        <f t="shared" si="255"/>
        <v>Non-Senior</v>
      </c>
    </row>
    <row r="4062" spans="1:25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252"/>
        <v>49-60 Months</v>
      </c>
      <c r="W4062">
        <f t="shared" si="253"/>
        <v>0</v>
      </c>
      <c r="X4062">
        <f t="shared" si="254"/>
        <v>0</v>
      </c>
      <c r="Y4062" t="str">
        <f t="shared" si="255"/>
        <v>Non-Senior</v>
      </c>
    </row>
    <row r="4063" spans="1:25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252"/>
        <v>13-24 Months</v>
      </c>
      <c r="W4063">
        <f t="shared" si="253"/>
        <v>0</v>
      </c>
      <c r="X4063">
        <f t="shared" si="254"/>
        <v>0</v>
      </c>
      <c r="Y4063" t="str">
        <f t="shared" si="255"/>
        <v>Non-Senior</v>
      </c>
    </row>
    <row r="4064" spans="1:25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252"/>
        <v>0-12 Months</v>
      </c>
      <c r="W4064">
        <f t="shared" si="253"/>
        <v>1</v>
      </c>
      <c r="X4064">
        <f t="shared" si="254"/>
        <v>70.5</v>
      </c>
      <c r="Y4064" t="str">
        <f t="shared" si="255"/>
        <v>Non-Senior</v>
      </c>
    </row>
    <row r="4065" spans="1:25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252"/>
        <v>0-12 Months</v>
      </c>
      <c r="W4065">
        <f t="shared" si="253"/>
        <v>1</v>
      </c>
      <c r="X4065">
        <f t="shared" si="254"/>
        <v>94.85</v>
      </c>
      <c r="Y4065" t="str">
        <f t="shared" si="255"/>
        <v>Non-Senior</v>
      </c>
    </row>
    <row r="4066" spans="1:25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252"/>
        <v>0-12 Months</v>
      </c>
      <c r="W4066">
        <f t="shared" si="253"/>
        <v>0</v>
      </c>
      <c r="X4066">
        <f t="shared" si="254"/>
        <v>0</v>
      </c>
      <c r="Y4066" t="str">
        <f t="shared" si="255"/>
        <v>Non-Senior</v>
      </c>
    </row>
    <row r="4067" spans="1:25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7082</v>
      </c>
      <c r="J4067" t="s">
        <v>7084</v>
      </c>
      <c r="K4067" t="s">
        <v>46</v>
      </c>
      <c r="L4067" t="s">
        <v>7084</v>
      </c>
      <c r="M4067" t="s">
        <v>7084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252"/>
        <v>0-12 Months</v>
      </c>
      <c r="W4067">
        <f t="shared" si="253"/>
        <v>1</v>
      </c>
      <c r="X4067">
        <f t="shared" si="254"/>
        <v>19.75</v>
      </c>
      <c r="Y4067" t="str">
        <f t="shared" si="255"/>
        <v>Non-Senior</v>
      </c>
    </row>
    <row r="4068" spans="1:25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252"/>
        <v>49-60 Months</v>
      </c>
      <c r="W4068">
        <f t="shared" si="253"/>
        <v>0</v>
      </c>
      <c r="X4068">
        <f t="shared" si="254"/>
        <v>0</v>
      </c>
      <c r="Y4068" t="str">
        <f t="shared" si="255"/>
        <v>Non-Senior</v>
      </c>
    </row>
    <row r="4069" spans="1:25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252"/>
        <v>61-72 Months</v>
      </c>
      <c r="W4069">
        <f t="shared" si="253"/>
        <v>0</v>
      </c>
      <c r="X4069">
        <f t="shared" si="254"/>
        <v>0</v>
      </c>
      <c r="Y4069" t="str">
        <f t="shared" si="255"/>
        <v>Non-Senior</v>
      </c>
    </row>
    <row r="4070" spans="1:25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7082</v>
      </c>
      <c r="J4070" t="s">
        <v>7084</v>
      </c>
      <c r="K4070" t="s">
        <v>46</v>
      </c>
      <c r="L4070" t="s">
        <v>7084</v>
      </c>
      <c r="M4070" t="s">
        <v>7084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252"/>
        <v>13-24 Months</v>
      </c>
      <c r="W4070">
        <f t="shared" si="253"/>
        <v>0</v>
      </c>
      <c r="X4070">
        <f t="shared" si="254"/>
        <v>0</v>
      </c>
      <c r="Y4070" t="str">
        <f t="shared" si="255"/>
        <v>Non-Senior</v>
      </c>
    </row>
    <row r="4071" spans="1:25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252"/>
        <v>61-72 Months</v>
      </c>
      <c r="W4071">
        <f t="shared" si="253"/>
        <v>0</v>
      </c>
      <c r="X4071">
        <f t="shared" si="254"/>
        <v>0</v>
      </c>
      <c r="Y4071" t="str">
        <f t="shared" si="255"/>
        <v>Non-Senior</v>
      </c>
    </row>
    <row r="4072" spans="1:25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252"/>
        <v>49-60 Months</v>
      </c>
      <c r="W4072">
        <f t="shared" si="253"/>
        <v>0</v>
      </c>
      <c r="X4072">
        <f t="shared" si="254"/>
        <v>0</v>
      </c>
      <c r="Y4072" t="str">
        <f t="shared" si="255"/>
        <v>Senior Citizen</v>
      </c>
    </row>
    <row r="4073" spans="1:25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252"/>
        <v>13-24 Months</v>
      </c>
      <c r="W4073">
        <f t="shared" si="253"/>
        <v>0</v>
      </c>
      <c r="X4073">
        <f t="shared" si="254"/>
        <v>0</v>
      </c>
      <c r="Y4073" t="str">
        <f t="shared" si="255"/>
        <v>Non-Senior</v>
      </c>
    </row>
    <row r="4074" spans="1:25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252"/>
        <v>0-12 Months</v>
      </c>
      <c r="W4074">
        <f t="shared" si="253"/>
        <v>0</v>
      </c>
      <c r="X4074">
        <f t="shared" si="254"/>
        <v>0</v>
      </c>
      <c r="Y4074" t="str">
        <f t="shared" si="255"/>
        <v>Senior Citizen</v>
      </c>
    </row>
    <row r="4075" spans="1:25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252"/>
        <v>13-24 Months</v>
      </c>
      <c r="W4075">
        <f t="shared" si="253"/>
        <v>1</v>
      </c>
      <c r="X4075">
        <f t="shared" si="254"/>
        <v>65.45</v>
      </c>
      <c r="Y4075" t="str">
        <f t="shared" si="255"/>
        <v>Non-Senior</v>
      </c>
    </row>
    <row r="4076" spans="1:25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252"/>
        <v>49-60 Months</v>
      </c>
      <c r="W4076">
        <f t="shared" si="253"/>
        <v>1</v>
      </c>
      <c r="X4076">
        <f t="shared" si="254"/>
        <v>98.7</v>
      </c>
      <c r="Y4076" t="str">
        <f t="shared" si="255"/>
        <v>Senior Citizen</v>
      </c>
    </row>
    <row r="4077" spans="1:25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252"/>
        <v>49-60 Months</v>
      </c>
      <c r="W4077">
        <f t="shared" si="253"/>
        <v>0</v>
      </c>
      <c r="X4077">
        <f t="shared" si="254"/>
        <v>0</v>
      </c>
      <c r="Y4077" t="str">
        <f t="shared" si="255"/>
        <v>Non-Senior</v>
      </c>
    </row>
    <row r="4078" spans="1:25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252"/>
        <v>61-72 Months</v>
      </c>
      <c r="W4078">
        <f t="shared" si="253"/>
        <v>0</v>
      </c>
      <c r="X4078">
        <f t="shared" si="254"/>
        <v>0</v>
      </c>
      <c r="Y4078" t="str">
        <f t="shared" si="255"/>
        <v>Non-Senior</v>
      </c>
    </row>
    <row r="4079" spans="1:25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252"/>
        <v>13-24 Months</v>
      </c>
      <c r="W4079">
        <f t="shared" si="253"/>
        <v>0</v>
      </c>
      <c r="X4079">
        <f t="shared" si="254"/>
        <v>0</v>
      </c>
      <c r="Y4079" t="str">
        <f t="shared" si="255"/>
        <v>Senior Citizen</v>
      </c>
    </row>
    <row r="4080" spans="1:25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252"/>
        <v>13-24 Months</v>
      </c>
      <c r="W4080">
        <f t="shared" si="253"/>
        <v>1</v>
      </c>
      <c r="X4080">
        <f t="shared" si="254"/>
        <v>67.5</v>
      </c>
      <c r="Y4080" t="str">
        <f t="shared" si="255"/>
        <v>Non-Senior</v>
      </c>
    </row>
    <row r="4081" spans="1:25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252"/>
        <v>0-12 Months</v>
      </c>
      <c r="W4081">
        <f t="shared" si="253"/>
        <v>0</v>
      </c>
      <c r="X4081">
        <f t="shared" si="254"/>
        <v>0</v>
      </c>
      <c r="Y4081" t="str">
        <f t="shared" si="255"/>
        <v>Non-Senior</v>
      </c>
    </row>
    <row r="4082" spans="1:25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7082</v>
      </c>
      <c r="J4082" t="s">
        <v>7084</v>
      </c>
      <c r="K4082" t="s">
        <v>46</v>
      </c>
      <c r="L4082" t="s">
        <v>7084</v>
      </c>
      <c r="M4082" t="s">
        <v>7084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252"/>
        <v>25-36 Months</v>
      </c>
      <c r="W4082">
        <f t="shared" si="253"/>
        <v>0</v>
      </c>
      <c r="X4082">
        <f t="shared" si="254"/>
        <v>0</v>
      </c>
      <c r="Y4082" t="str">
        <f t="shared" si="255"/>
        <v>Non-Senior</v>
      </c>
    </row>
    <row r="4083" spans="1:25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252"/>
        <v>0-12 Months</v>
      </c>
      <c r="W4083">
        <f t="shared" si="253"/>
        <v>1</v>
      </c>
      <c r="X4083">
        <f t="shared" si="254"/>
        <v>69.599999999999994</v>
      </c>
      <c r="Y4083" t="str">
        <f t="shared" si="255"/>
        <v>Non-Senior</v>
      </c>
    </row>
    <row r="4084" spans="1:25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252"/>
        <v>49-60 Months</v>
      </c>
      <c r="W4084">
        <f t="shared" si="253"/>
        <v>1</v>
      </c>
      <c r="X4084">
        <f t="shared" si="254"/>
        <v>84.35</v>
      </c>
      <c r="Y4084" t="str">
        <f t="shared" si="255"/>
        <v>Non-Senior</v>
      </c>
    </row>
    <row r="4085" spans="1:25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252"/>
        <v>61-72 Months</v>
      </c>
      <c r="W4085">
        <f t="shared" si="253"/>
        <v>1</v>
      </c>
      <c r="X4085">
        <f t="shared" si="254"/>
        <v>100.2</v>
      </c>
      <c r="Y4085" t="str">
        <f t="shared" si="255"/>
        <v>Senior Citizen</v>
      </c>
    </row>
    <row r="4086" spans="1:25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252"/>
        <v>0-12 Months</v>
      </c>
      <c r="W4086">
        <f t="shared" si="253"/>
        <v>1</v>
      </c>
      <c r="X4086">
        <f t="shared" si="254"/>
        <v>78.05</v>
      </c>
      <c r="Y4086" t="str">
        <f t="shared" si="255"/>
        <v>Non-Senior</v>
      </c>
    </row>
    <row r="4087" spans="1:25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252"/>
        <v>25-36 Months</v>
      </c>
      <c r="W4087">
        <f t="shared" si="253"/>
        <v>0</v>
      </c>
      <c r="X4087">
        <f t="shared" si="254"/>
        <v>0</v>
      </c>
      <c r="Y4087" t="str">
        <f t="shared" si="255"/>
        <v>Non-Senior</v>
      </c>
    </row>
    <row r="4088" spans="1:25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252"/>
        <v>61-72 Months</v>
      </c>
      <c r="W4088">
        <f t="shared" si="253"/>
        <v>0</v>
      </c>
      <c r="X4088">
        <f t="shared" si="254"/>
        <v>0</v>
      </c>
      <c r="Y4088" t="str">
        <f t="shared" si="255"/>
        <v>Non-Senior</v>
      </c>
    </row>
    <row r="4089" spans="1:25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7082</v>
      </c>
      <c r="J4089" t="s">
        <v>7084</v>
      </c>
      <c r="K4089" t="s">
        <v>46</v>
      </c>
      <c r="L4089" t="s">
        <v>7084</v>
      </c>
      <c r="M4089" t="s">
        <v>7084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252"/>
        <v>0-12 Months</v>
      </c>
      <c r="W4089">
        <f t="shared" si="253"/>
        <v>0</v>
      </c>
      <c r="X4089">
        <f t="shared" si="254"/>
        <v>0</v>
      </c>
      <c r="Y4089" t="str">
        <f t="shared" si="255"/>
        <v>Non-Senior</v>
      </c>
    </row>
    <row r="4090" spans="1:25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252"/>
        <v>0-12 Months</v>
      </c>
      <c r="W4090">
        <f t="shared" si="253"/>
        <v>1</v>
      </c>
      <c r="X4090">
        <f t="shared" si="254"/>
        <v>73.599999999999994</v>
      </c>
      <c r="Y4090" t="str">
        <f t="shared" si="255"/>
        <v>Non-Senior</v>
      </c>
    </row>
    <row r="4091" spans="1:25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252"/>
        <v>0-12 Months</v>
      </c>
      <c r="W4091">
        <f t="shared" si="253"/>
        <v>1</v>
      </c>
      <c r="X4091">
        <f t="shared" si="254"/>
        <v>74.75</v>
      </c>
      <c r="Y4091" t="str">
        <f t="shared" si="255"/>
        <v>Non-Senior</v>
      </c>
    </row>
    <row r="4092" spans="1:25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252"/>
        <v>0-12 Months</v>
      </c>
      <c r="W4092">
        <f t="shared" si="253"/>
        <v>0</v>
      </c>
      <c r="X4092">
        <f t="shared" si="254"/>
        <v>0</v>
      </c>
      <c r="Y4092" t="str">
        <f t="shared" si="255"/>
        <v>Non-Senior</v>
      </c>
    </row>
    <row r="4093" spans="1:25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252"/>
        <v>13-24 Months</v>
      </c>
      <c r="W4093">
        <f t="shared" si="253"/>
        <v>0</v>
      </c>
      <c r="X4093">
        <f t="shared" si="254"/>
        <v>0</v>
      </c>
      <c r="Y4093" t="str">
        <f t="shared" si="255"/>
        <v>Non-Senior</v>
      </c>
    </row>
    <row r="4094" spans="1:25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7082</v>
      </c>
      <c r="J4094" t="s">
        <v>7084</v>
      </c>
      <c r="K4094" t="s">
        <v>46</v>
      </c>
      <c r="L4094" t="s">
        <v>7084</v>
      </c>
      <c r="M4094" t="s">
        <v>7084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252"/>
        <v>0-12 Months</v>
      </c>
      <c r="W4094">
        <f t="shared" si="253"/>
        <v>0</v>
      </c>
      <c r="X4094">
        <f t="shared" si="254"/>
        <v>0</v>
      </c>
      <c r="Y4094" t="str">
        <f t="shared" si="255"/>
        <v>Non-Senior</v>
      </c>
    </row>
    <row r="4095" spans="1:25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252"/>
        <v>25-36 Months</v>
      </c>
      <c r="W4095">
        <f t="shared" si="253"/>
        <v>0</v>
      </c>
      <c r="X4095">
        <f t="shared" si="254"/>
        <v>0</v>
      </c>
      <c r="Y4095" t="str">
        <f t="shared" si="255"/>
        <v>Non-Senior</v>
      </c>
    </row>
    <row r="4096" spans="1:25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252"/>
        <v>0-12 Months</v>
      </c>
      <c r="W4096">
        <f t="shared" si="253"/>
        <v>0</v>
      </c>
      <c r="X4096">
        <f t="shared" si="254"/>
        <v>0</v>
      </c>
      <c r="Y4096" t="str">
        <f t="shared" si="255"/>
        <v>Non-Senior</v>
      </c>
    </row>
    <row r="4097" spans="1:25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252"/>
        <v>0-12 Months</v>
      </c>
      <c r="W4097">
        <f t="shared" si="253"/>
        <v>0</v>
      </c>
      <c r="X4097">
        <f t="shared" si="254"/>
        <v>0</v>
      </c>
      <c r="Y4097" t="str">
        <f t="shared" si="255"/>
        <v>Non-Senior</v>
      </c>
    </row>
    <row r="4098" spans="1:25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si="252"/>
        <v>13-24 Months</v>
      </c>
      <c r="W4098">
        <f t="shared" si="253"/>
        <v>0</v>
      </c>
      <c r="X4098">
        <f t="shared" si="254"/>
        <v>0</v>
      </c>
      <c r="Y4098" t="str">
        <f t="shared" si="255"/>
        <v>Non-Senior</v>
      </c>
    </row>
    <row r="4099" spans="1:25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ref="V4099:V4162" si="256">IF(F4099&lt;=12,"0-12 Months",IF(F4099&lt;=24,"13-24 Months",IF(F4099&lt;=36,"25-36 Months",IF(F4099&lt;=48,"37-48 Months",IF(F4099&lt;=60,"49-60 Months","61-72 Months")))))</f>
        <v>61-72 Months</v>
      </c>
      <c r="W4099">
        <f t="shared" ref="W4099:W4162" si="257">IF(U4099="Yes",1,0)</f>
        <v>0</v>
      </c>
      <c r="X4099">
        <f t="shared" ref="X4099:X4162" si="258">IF(U4099="Yes",S4099,0)</f>
        <v>0</v>
      </c>
      <c r="Y4099" t="str">
        <f t="shared" ref="Y4099:Y4162" si="259">IF(C4099=1,"Senior Citizen","Non-Senior")</f>
        <v>Non-Senior</v>
      </c>
    </row>
    <row r="4100" spans="1:25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7082</v>
      </c>
      <c r="J4100" t="s">
        <v>7084</v>
      </c>
      <c r="K4100" t="s">
        <v>46</v>
      </c>
      <c r="L4100" t="s">
        <v>7084</v>
      </c>
      <c r="M4100" t="s">
        <v>7084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256"/>
        <v>0-12 Months</v>
      </c>
      <c r="W4100">
        <f t="shared" si="257"/>
        <v>1</v>
      </c>
      <c r="X4100">
        <f t="shared" si="258"/>
        <v>20.2</v>
      </c>
      <c r="Y4100" t="str">
        <f t="shared" si="259"/>
        <v>Non-Senior</v>
      </c>
    </row>
    <row r="4101" spans="1:25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256"/>
        <v>0-12 Months</v>
      </c>
      <c r="W4101">
        <f t="shared" si="257"/>
        <v>0</v>
      </c>
      <c r="X4101">
        <f t="shared" si="258"/>
        <v>0</v>
      </c>
      <c r="Y4101" t="str">
        <f t="shared" si="259"/>
        <v>Non-Senior</v>
      </c>
    </row>
    <row r="4102" spans="1:25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7082</v>
      </c>
      <c r="J4102" t="s">
        <v>7084</v>
      </c>
      <c r="K4102" t="s">
        <v>46</v>
      </c>
      <c r="L4102" t="s">
        <v>7084</v>
      </c>
      <c r="M4102" t="s">
        <v>7084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256"/>
        <v>49-60 Months</v>
      </c>
      <c r="W4102">
        <f t="shared" si="257"/>
        <v>0</v>
      </c>
      <c r="X4102">
        <f t="shared" si="258"/>
        <v>0</v>
      </c>
      <c r="Y4102" t="str">
        <f t="shared" si="259"/>
        <v>Non-Senior</v>
      </c>
    </row>
    <row r="4103" spans="1:25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256"/>
        <v>0-12 Months</v>
      </c>
      <c r="W4103">
        <f t="shared" si="257"/>
        <v>0</v>
      </c>
      <c r="X4103">
        <f t="shared" si="258"/>
        <v>0</v>
      </c>
      <c r="Y4103" t="str">
        <f t="shared" si="259"/>
        <v>Non-Senior</v>
      </c>
    </row>
    <row r="4104" spans="1:25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256"/>
        <v>0-12 Months</v>
      </c>
      <c r="W4104">
        <f t="shared" si="257"/>
        <v>0</v>
      </c>
      <c r="X4104">
        <f t="shared" si="258"/>
        <v>0</v>
      </c>
      <c r="Y4104" t="str">
        <f t="shared" si="259"/>
        <v>Non-Senior</v>
      </c>
    </row>
    <row r="4105" spans="1:25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256"/>
        <v>61-72 Months</v>
      </c>
      <c r="W4105">
        <f t="shared" si="257"/>
        <v>0</v>
      </c>
      <c r="X4105">
        <f t="shared" si="258"/>
        <v>0</v>
      </c>
      <c r="Y4105" t="str">
        <f t="shared" si="259"/>
        <v>Non-Senior</v>
      </c>
    </row>
    <row r="4106" spans="1:25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256"/>
        <v>0-12 Months</v>
      </c>
      <c r="W4106">
        <f t="shared" si="257"/>
        <v>0</v>
      </c>
      <c r="X4106">
        <f t="shared" si="258"/>
        <v>0</v>
      </c>
      <c r="Y4106" t="str">
        <f t="shared" si="259"/>
        <v>Non-Senior</v>
      </c>
    </row>
    <row r="4107" spans="1:25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256"/>
        <v>61-72 Months</v>
      </c>
      <c r="W4107">
        <f t="shared" si="257"/>
        <v>0</v>
      </c>
      <c r="X4107">
        <f t="shared" si="258"/>
        <v>0</v>
      </c>
      <c r="Y4107" t="str">
        <f t="shared" si="259"/>
        <v>Non-Senior</v>
      </c>
    </row>
    <row r="4108" spans="1:25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256"/>
        <v>13-24 Months</v>
      </c>
      <c r="W4108">
        <f t="shared" si="257"/>
        <v>1</v>
      </c>
      <c r="X4108">
        <f t="shared" si="258"/>
        <v>93.55</v>
      </c>
      <c r="Y4108" t="str">
        <f t="shared" si="259"/>
        <v>Senior Citizen</v>
      </c>
    </row>
    <row r="4109" spans="1:25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256"/>
        <v>61-72 Months</v>
      </c>
      <c r="W4109">
        <f t="shared" si="257"/>
        <v>0</v>
      </c>
      <c r="X4109">
        <f t="shared" si="258"/>
        <v>0</v>
      </c>
      <c r="Y4109" t="str">
        <f t="shared" si="259"/>
        <v>Non-Senior</v>
      </c>
    </row>
    <row r="4110" spans="1:25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7082</v>
      </c>
      <c r="J4110" t="s">
        <v>7084</v>
      </c>
      <c r="K4110" t="s">
        <v>46</v>
      </c>
      <c r="L4110" t="s">
        <v>7084</v>
      </c>
      <c r="M4110" t="s">
        <v>7084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256"/>
        <v>25-36 Months</v>
      </c>
      <c r="W4110">
        <f t="shared" si="257"/>
        <v>0</v>
      </c>
      <c r="X4110">
        <f t="shared" si="258"/>
        <v>0</v>
      </c>
      <c r="Y4110" t="str">
        <f t="shared" si="259"/>
        <v>Non-Senior</v>
      </c>
    </row>
    <row r="4111" spans="1:25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256"/>
        <v>0-12 Months</v>
      </c>
      <c r="W4111">
        <f t="shared" si="257"/>
        <v>1</v>
      </c>
      <c r="X4111">
        <f t="shared" si="258"/>
        <v>25.05</v>
      </c>
      <c r="Y4111" t="str">
        <f t="shared" si="259"/>
        <v>Non-Senior</v>
      </c>
    </row>
    <row r="4112" spans="1:25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256"/>
        <v>61-72 Months</v>
      </c>
      <c r="W4112">
        <f t="shared" si="257"/>
        <v>0</v>
      </c>
      <c r="X4112">
        <f t="shared" si="258"/>
        <v>0</v>
      </c>
      <c r="Y4112" t="str">
        <f t="shared" si="259"/>
        <v>Non-Senior</v>
      </c>
    </row>
    <row r="4113" spans="1:25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256"/>
        <v>13-24 Months</v>
      </c>
      <c r="W4113">
        <f t="shared" si="257"/>
        <v>0</v>
      </c>
      <c r="X4113">
        <f t="shared" si="258"/>
        <v>0</v>
      </c>
      <c r="Y4113" t="str">
        <f t="shared" si="259"/>
        <v>Non-Senior</v>
      </c>
    </row>
    <row r="4114" spans="1:25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256"/>
        <v>49-60 Months</v>
      </c>
      <c r="W4114">
        <f t="shared" si="257"/>
        <v>0</v>
      </c>
      <c r="X4114">
        <f t="shared" si="258"/>
        <v>0</v>
      </c>
      <c r="Y4114" t="str">
        <f t="shared" si="259"/>
        <v>Non-Senior</v>
      </c>
    </row>
    <row r="4115" spans="1:25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7082</v>
      </c>
      <c r="J4115" t="s">
        <v>7084</v>
      </c>
      <c r="K4115" t="s">
        <v>46</v>
      </c>
      <c r="L4115" t="s">
        <v>7084</v>
      </c>
      <c r="M4115" t="s">
        <v>7084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256"/>
        <v>25-36 Months</v>
      </c>
      <c r="W4115">
        <f t="shared" si="257"/>
        <v>0</v>
      </c>
      <c r="X4115">
        <f t="shared" si="258"/>
        <v>0</v>
      </c>
      <c r="Y4115" t="str">
        <f t="shared" si="259"/>
        <v>Non-Senior</v>
      </c>
    </row>
    <row r="4116" spans="1:25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7082</v>
      </c>
      <c r="J4116" t="s">
        <v>7084</v>
      </c>
      <c r="K4116" t="s">
        <v>46</v>
      </c>
      <c r="L4116" t="s">
        <v>7084</v>
      </c>
      <c r="M4116" t="s">
        <v>7084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256"/>
        <v>49-60 Months</v>
      </c>
      <c r="W4116">
        <f t="shared" si="257"/>
        <v>0</v>
      </c>
      <c r="X4116">
        <f t="shared" si="258"/>
        <v>0</v>
      </c>
      <c r="Y4116" t="str">
        <f t="shared" si="259"/>
        <v>Non-Senior</v>
      </c>
    </row>
    <row r="4117" spans="1:25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256"/>
        <v>49-60 Months</v>
      </c>
      <c r="W4117">
        <f t="shared" si="257"/>
        <v>0</v>
      </c>
      <c r="X4117">
        <f t="shared" si="258"/>
        <v>0</v>
      </c>
      <c r="Y4117" t="str">
        <f t="shared" si="259"/>
        <v>Non-Senior</v>
      </c>
    </row>
    <row r="4118" spans="1:25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7082</v>
      </c>
      <c r="J4118" t="s">
        <v>7084</v>
      </c>
      <c r="K4118" t="s">
        <v>46</v>
      </c>
      <c r="L4118" t="s">
        <v>7084</v>
      </c>
      <c r="M4118" t="s">
        <v>7084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256"/>
        <v>13-24 Months</v>
      </c>
      <c r="W4118">
        <f t="shared" si="257"/>
        <v>0</v>
      </c>
      <c r="X4118">
        <f t="shared" si="258"/>
        <v>0</v>
      </c>
      <c r="Y4118" t="str">
        <f t="shared" si="259"/>
        <v>Non-Senior</v>
      </c>
    </row>
    <row r="4119" spans="1:25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256"/>
        <v>61-72 Months</v>
      </c>
      <c r="W4119">
        <f t="shared" si="257"/>
        <v>0</v>
      </c>
      <c r="X4119">
        <f t="shared" si="258"/>
        <v>0</v>
      </c>
      <c r="Y4119" t="str">
        <f t="shared" si="259"/>
        <v>Non-Senior</v>
      </c>
    </row>
    <row r="4120" spans="1:25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256"/>
        <v>37-48 Months</v>
      </c>
      <c r="W4120">
        <f t="shared" si="257"/>
        <v>0</v>
      </c>
      <c r="X4120">
        <f t="shared" si="258"/>
        <v>0</v>
      </c>
      <c r="Y4120" t="str">
        <f t="shared" si="259"/>
        <v>Non-Senior</v>
      </c>
    </row>
    <row r="4121" spans="1:25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7082</v>
      </c>
      <c r="J4121" t="s">
        <v>7084</v>
      </c>
      <c r="K4121" t="s">
        <v>46</v>
      </c>
      <c r="L4121" t="s">
        <v>7084</v>
      </c>
      <c r="M4121" t="s">
        <v>7084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256"/>
        <v>25-36 Months</v>
      </c>
      <c r="W4121">
        <f t="shared" si="257"/>
        <v>0</v>
      </c>
      <c r="X4121">
        <f t="shared" si="258"/>
        <v>0</v>
      </c>
      <c r="Y4121" t="str">
        <f t="shared" si="259"/>
        <v>Non-Senior</v>
      </c>
    </row>
    <row r="4122" spans="1:25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256"/>
        <v>25-36 Months</v>
      </c>
      <c r="W4122">
        <f t="shared" si="257"/>
        <v>0</v>
      </c>
      <c r="X4122">
        <f t="shared" si="258"/>
        <v>0</v>
      </c>
      <c r="Y4122" t="str">
        <f t="shared" si="259"/>
        <v>Non-Senior</v>
      </c>
    </row>
    <row r="4123" spans="1:25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256"/>
        <v>25-36 Months</v>
      </c>
      <c r="W4123">
        <f t="shared" si="257"/>
        <v>1</v>
      </c>
      <c r="X4123">
        <f t="shared" si="258"/>
        <v>95.55</v>
      </c>
      <c r="Y4123" t="str">
        <f t="shared" si="259"/>
        <v>Senior Citizen</v>
      </c>
    </row>
    <row r="4124" spans="1:25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256"/>
        <v>49-60 Months</v>
      </c>
      <c r="W4124">
        <f t="shared" si="257"/>
        <v>0</v>
      </c>
      <c r="X4124">
        <f t="shared" si="258"/>
        <v>0</v>
      </c>
      <c r="Y4124" t="str">
        <f t="shared" si="259"/>
        <v>Non-Senior</v>
      </c>
    </row>
    <row r="4125" spans="1:25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256"/>
        <v>25-36 Months</v>
      </c>
      <c r="W4125">
        <f t="shared" si="257"/>
        <v>0</v>
      </c>
      <c r="X4125">
        <f t="shared" si="258"/>
        <v>0</v>
      </c>
      <c r="Y4125" t="str">
        <f t="shared" si="259"/>
        <v>Senior Citizen</v>
      </c>
    </row>
    <row r="4126" spans="1:25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256"/>
        <v>13-24 Months</v>
      </c>
      <c r="W4126">
        <f t="shared" si="257"/>
        <v>0</v>
      </c>
      <c r="X4126">
        <f t="shared" si="258"/>
        <v>0</v>
      </c>
      <c r="Y4126" t="str">
        <f t="shared" si="259"/>
        <v>Senior Citizen</v>
      </c>
    </row>
    <row r="4127" spans="1:25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256"/>
        <v>37-48 Months</v>
      </c>
      <c r="W4127">
        <f t="shared" si="257"/>
        <v>0</v>
      </c>
      <c r="X4127">
        <f t="shared" si="258"/>
        <v>0</v>
      </c>
      <c r="Y4127" t="str">
        <f t="shared" si="259"/>
        <v>Non-Senior</v>
      </c>
    </row>
    <row r="4128" spans="1:25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7082</v>
      </c>
      <c r="J4128" t="s">
        <v>7084</v>
      </c>
      <c r="K4128" t="s">
        <v>46</v>
      </c>
      <c r="L4128" t="s">
        <v>7084</v>
      </c>
      <c r="M4128" t="s">
        <v>7084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256"/>
        <v>0-12 Months</v>
      </c>
      <c r="W4128">
        <f t="shared" si="257"/>
        <v>0</v>
      </c>
      <c r="X4128">
        <f t="shared" si="258"/>
        <v>0</v>
      </c>
      <c r="Y4128" t="str">
        <f t="shared" si="259"/>
        <v>Non-Senior</v>
      </c>
    </row>
    <row r="4129" spans="1:25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7082</v>
      </c>
      <c r="J4129" t="s">
        <v>7084</v>
      </c>
      <c r="K4129" t="s">
        <v>46</v>
      </c>
      <c r="L4129" t="s">
        <v>7084</v>
      </c>
      <c r="M4129" t="s">
        <v>7084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256"/>
        <v>49-60 Months</v>
      </c>
      <c r="W4129">
        <f t="shared" si="257"/>
        <v>0</v>
      </c>
      <c r="X4129">
        <f t="shared" si="258"/>
        <v>0</v>
      </c>
      <c r="Y4129" t="str">
        <f t="shared" si="259"/>
        <v>Non-Senior</v>
      </c>
    </row>
    <row r="4130" spans="1:25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256"/>
        <v>49-60 Months</v>
      </c>
      <c r="W4130">
        <f t="shared" si="257"/>
        <v>1</v>
      </c>
      <c r="X4130">
        <f t="shared" si="258"/>
        <v>39.299999999999997</v>
      </c>
      <c r="Y4130" t="str">
        <f t="shared" si="259"/>
        <v>Non-Senior</v>
      </c>
    </row>
    <row r="4131" spans="1:25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256"/>
        <v>25-36 Months</v>
      </c>
      <c r="W4131">
        <f t="shared" si="257"/>
        <v>0</v>
      </c>
      <c r="X4131">
        <f t="shared" si="258"/>
        <v>0</v>
      </c>
      <c r="Y4131" t="str">
        <f t="shared" si="259"/>
        <v>Non-Senior</v>
      </c>
    </row>
    <row r="4132" spans="1:25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256"/>
        <v>0-12 Months</v>
      </c>
      <c r="W4132">
        <f t="shared" si="257"/>
        <v>0</v>
      </c>
      <c r="X4132">
        <f t="shared" si="258"/>
        <v>0</v>
      </c>
      <c r="Y4132" t="str">
        <f t="shared" si="259"/>
        <v>Non-Senior</v>
      </c>
    </row>
    <row r="4133" spans="1:25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7082</v>
      </c>
      <c r="J4133" t="s">
        <v>7084</v>
      </c>
      <c r="K4133" t="s">
        <v>46</v>
      </c>
      <c r="L4133" t="s">
        <v>7084</v>
      </c>
      <c r="M4133" t="s">
        <v>7084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256"/>
        <v>0-12 Months</v>
      </c>
      <c r="W4133">
        <f t="shared" si="257"/>
        <v>1</v>
      </c>
      <c r="X4133">
        <f t="shared" si="258"/>
        <v>20.25</v>
      </c>
      <c r="Y4133" t="str">
        <f t="shared" si="259"/>
        <v>Non-Senior</v>
      </c>
    </row>
    <row r="4134" spans="1:25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256"/>
        <v>13-24 Months</v>
      </c>
      <c r="W4134">
        <f t="shared" si="257"/>
        <v>1</v>
      </c>
      <c r="X4134">
        <f t="shared" si="258"/>
        <v>23.9</v>
      </c>
      <c r="Y4134" t="str">
        <f t="shared" si="259"/>
        <v>Non-Senior</v>
      </c>
    </row>
    <row r="4135" spans="1:25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256"/>
        <v>49-60 Months</v>
      </c>
      <c r="W4135">
        <f t="shared" si="257"/>
        <v>0</v>
      </c>
      <c r="X4135">
        <f t="shared" si="258"/>
        <v>0</v>
      </c>
      <c r="Y4135" t="str">
        <f t="shared" si="259"/>
        <v>Non-Senior</v>
      </c>
    </row>
    <row r="4136" spans="1:25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256"/>
        <v>49-60 Months</v>
      </c>
      <c r="W4136">
        <f t="shared" si="257"/>
        <v>0</v>
      </c>
      <c r="X4136">
        <f t="shared" si="258"/>
        <v>0</v>
      </c>
      <c r="Y4136" t="str">
        <f t="shared" si="259"/>
        <v>Non-Senior</v>
      </c>
    </row>
    <row r="4137" spans="1:25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256"/>
        <v>25-36 Months</v>
      </c>
      <c r="W4137">
        <f t="shared" si="257"/>
        <v>0</v>
      </c>
      <c r="X4137">
        <f t="shared" si="258"/>
        <v>0</v>
      </c>
      <c r="Y4137" t="str">
        <f t="shared" si="259"/>
        <v>Non-Senior</v>
      </c>
    </row>
    <row r="4138" spans="1:25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7082</v>
      </c>
      <c r="J4138" t="s">
        <v>7084</v>
      </c>
      <c r="K4138" t="s">
        <v>46</v>
      </c>
      <c r="L4138" t="s">
        <v>7084</v>
      </c>
      <c r="M4138" t="s">
        <v>7084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256"/>
        <v>37-48 Months</v>
      </c>
      <c r="W4138">
        <f t="shared" si="257"/>
        <v>0</v>
      </c>
      <c r="X4138">
        <f t="shared" si="258"/>
        <v>0</v>
      </c>
      <c r="Y4138" t="str">
        <f t="shared" si="259"/>
        <v>Non-Senior</v>
      </c>
    </row>
    <row r="4139" spans="1:25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7082</v>
      </c>
      <c r="J4139" t="s">
        <v>7084</v>
      </c>
      <c r="K4139" t="s">
        <v>46</v>
      </c>
      <c r="L4139" t="s">
        <v>7084</v>
      </c>
      <c r="M4139" t="s">
        <v>7084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256"/>
        <v>0-12 Months</v>
      </c>
      <c r="W4139">
        <f t="shared" si="257"/>
        <v>0</v>
      </c>
      <c r="X4139">
        <f t="shared" si="258"/>
        <v>0</v>
      </c>
      <c r="Y4139" t="str">
        <f t="shared" si="259"/>
        <v>Non-Senior</v>
      </c>
    </row>
    <row r="4140" spans="1:25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256"/>
        <v>0-12 Months</v>
      </c>
      <c r="W4140">
        <f t="shared" si="257"/>
        <v>1</v>
      </c>
      <c r="X4140">
        <f t="shared" si="258"/>
        <v>85.45</v>
      </c>
      <c r="Y4140" t="str">
        <f t="shared" si="259"/>
        <v>Non-Senior</v>
      </c>
    </row>
    <row r="4141" spans="1:25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256"/>
        <v>13-24 Months</v>
      </c>
      <c r="W4141">
        <f t="shared" si="257"/>
        <v>0</v>
      </c>
      <c r="X4141">
        <f t="shared" si="258"/>
        <v>0</v>
      </c>
      <c r="Y4141" t="str">
        <f t="shared" si="259"/>
        <v>Senior Citizen</v>
      </c>
    </row>
    <row r="4142" spans="1:25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256"/>
        <v>61-72 Months</v>
      </c>
      <c r="W4142">
        <f t="shared" si="257"/>
        <v>1</v>
      </c>
      <c r="X4142">
        <f t="shared" si="258"/>
        <v>99.9</v>
      </c>
      <c r="Y4142" t="str">
        <f t="shared" si="259"/>
        <v>Non-Senior</v>
      </c>
    </row>
    <row r="4143" spans="1:25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256"/>
        <v>25-36 Months</v>
      </c>
      <c r="W4143">
        <f t="shared" si="257"/>
        <v>0</v>
      </c>
      <c r="X4143">
        <f t="shared" si="258"/>
        <v>0</v>
      </c>
      <c r="Y4143" t="str">
        <f t="shared" si="259"/>
        <v>Senior Citizen</v>
      </c>
    </row>
    <row r="4144" spans="1:25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256"/>
        <v>61-72 Months</v>
      </c>
      <c r="W4144">
        <f t="shared" si="257"/>
        <v>0</v>
      </c>
      <c r="X4144">
        <f t="shared" si="258"/>
        <v>0</v>
      </c>
      <c r="Y4144" t="str">
        <f t="shared" si="259"/>
        <v>Non-Senior</v>
      </c>
    </row>
    <row r="4145" spans="1:25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256"/>
        <v>25-36 Months</v>
      </c>
      <c r="W4145">
        <f t="shared" si="257"/>
        <v>1</v>
      </c>
      <c r="X4145">
        <f t="shared" si="258"/>
        <v>84.8</v>
      </c>
      <c r="Y4145" t="str">
        <f t="shared" si="259"/>
        <v>Non-Senior</v>
      </c>
    </row>
    <row r="4146" spans="1:25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256"/>
        <v>13-24 Months</v>
      </c>
      <c r="W4146">
        <f t="shared" si="257"/>
        <v>0</v>
      </c>
      <c r="X4146">
        <f t="shared" si="258"/>
        <v>0</v>
      </c>
      <c r="Y4146" t="str">
        <f t="shared" si="259"/>
        <v>Non-Senior</v>
      </c>
    </row>
    <row r="4147" spans="1:25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256"/>
        <v>13-24 Months</v>
      </c>
      <c r="W4147">
        <f t="shared" si="257"/>
        <v>0</v>
      </c>
      <c r="X4147">
        <f t="shared" si="258"/>
        <v>0</v>
      </c>
      <c r="Y4147" t="str">
        <f t="shared" si="259"/>
        <v>Non-Senior</v>
      </c>
    </row>
    <row r="4148" spans="1:25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256"/>
        <v>25-36 Months</v>
      </c>
      <c r="W4148">
        <f t="shared" si="257"/>
        <v>1</v>
      </c>
      <c r="X4148">
        <f t="shared" si="258"/>
        <v>75.2</v>
      </c>
      <c r="Y4148" t="str">
        <f t="shared" si="259"/>
        <v>Non-Senior</v>
      </c>
    </row>
    <row r="4149" spans="1:25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7082</v>
      </c>
      <c r="J4149" t="s">
        <v>7084</v>
      </c>
      <c r="K4149" t="s">
        <v>46</v>
      </c>
      <c r="L4149" t="s">
        <v>7084</v>
      </c>
      <c r="M4149" t="s">
        <v>7084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256"/>
        <v>61-72 Months</v>
      </c>
      <c r="W4149">
        <f t="shared" si="257"/>
        <v>0</v>
      </c>
      <c r="X4149">
        <f t="shared" si="258"/>
        <v>0</v>
      </c>
      <c r="Y4149" t="str">
        <f t="shared" si="259"/>
        <v>Senior Citizen</v>
      </c>
    </row>
    <row r="4150" spans="1:25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7082</v>
      </c>
      <c r="J4150" t="s">
        <v>7084</v>
      </c>
      <c r="K4150" t="s">
        <v>46</v>
      </c>
      <c r="L4150" t="s">
        <v>7084</v>
      </c>
      <c r="M4150" t="s">
        <v>7084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256"/>
        <v>25-36 Months</v>
      </c>
      <c r="W4150">
        <f t="shared" si="257"/>
        <v>0</v>
      </c>
      <c r="X4150">
        <f t="shared" si="258"/>
        <v>0</v>
      </c>
      <c r="Y4150" t="str">
        <f t="shared" si="259"/>
        <v>Non-Senior</v>
      </c>
    </row>
    <row r="4151" spans="1:25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256"/>
        <v>61-72 Months</v>
      </c>
      <c r="W4151">
        <f t="shared" si="257"/>
        <v>1</v>
      </c>
      <c r="X4151">
        <f t="shared" si="258"/>
        <v>49.35</v>
      </c>
      <c r="Y4151" t="str">
        <f t="shared" si="259"/>
        <v>Non-Senior</v>
      </c>
    </row>
    <row r="4152" spans="1:25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256"/>
        <v>0-12 Months</v>
      </c>
      <c r="W4152">
        <f t="shared" si="257"/>
        <v>0</v>
      </c>
      <c r="X4152">
        <f t="shared" si="258"/>
        <v>0</v>
      </c>
      <c r="Y4152" t="str">
        <f t="shared" si="259"/>
        <v>Senior Citizen</v>
      </c>
    </row>
    <row r="4153" spans="1:25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256"/>
        <v>49-60 Months</v>
      </c>
      <c r="W4153">
        <f t="shared" si="257"/>
        <v>0</v>
      </c>
      <c r="X4153">
        <f t="shared" si="258"/>
        <v>0</v>
      </c>
      <c r="Y4153" t="str">
        <f t="shared" si="259"/>
        <v>Senior Citizen</v>
      </c>
    </row>
    <row r="4154" spans="1:25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256"/>
        <v>61-72 Months</v>
      </c>
      <c r="W4154">
        <f t="shared" si="257"/>
        <v>0</v>
      </c>
      <c r="X4154">
        <f t="shared" si="258"/>
        <v>0</v>
      </c>
      <c r="Y4154" t="str">
        <f t="shared" si="259"/>
        <v>Non-Senior</v>
      </c>
    </row>
    <row r="4155" spans="1:25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7082</v>
      </c>
      <c r="J4155" t="s">
        <v>7084</v>
      </c>
      <c r="K4155" t="s">
        <v>46</v>
      </c>
      <c r="L4155" t="s">
        <v>7084</v>
      </c>
      <c r="M4155" t="s">
        <v>7084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256"/>
        <v>25-36 Months</v>
      </c>
      <c r="W4155">
        <f t="shared" si="257"/>
        <v>0</v>
      </c>
      <c r="X4155">
        <f t="shared" si="258"/>
        <v>0</v>
      </c>
      <c r="Y4155" t="str">
        <f t="shared" si="259"/>
        <v>Non-Senior</v>
      </c>
    </row>
    <row r="4156" spans="1:25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256"/>
        <v>0-12 Months</v>
      </c>
      <c r="W4156">
        <f t="shared" si="257"/>
        <v>1</v>
      </c>
      <c r="X4156">
        <f t="shared" si="258"/>
        <v>74.900000000000006</v>
      </c>
      <c r="Y4156" t="str">
        <f t="shared" si="259"/>
        <v>Non-Senior</v>
      </c>
    </row>
    <row r="4157" spans="1:25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256"/>
        <v>61-72 Months</v>
      </c>
      <c r="W4157">
        <f t="shared" si="257"/>
        <v>0</v>
      </c>
      <c r="X4157">
        <f t="shared" si="258"/>
        <v>0</v>
      </c>
      <c r="Y4157" t="str">
        <f t="shared" si="259"/>
        <v>Senior Citizen</v>
      </c>
    </row>
    <row r="4158" spans="1:25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7082</v>
      </c>
      <c r="J4158" t="s">
        <v>7084</v>
      </c>
      <c r="K4158" t="s">
        <v>46</v>
      </c>
      <c r="L4158" t="s">
        <v>7084</v>
      </c>
      <c r="M4158" t="s">
        <v>7084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256"/>
        <v>0-12 Months</v>
      </c>
      <c r="W4158">
        <f t="shared" si="257"/>
        <v>0</v>
      </c>
      <c r="X4158">
        <f t="shared" si="258"/>
        <v>0</v>
      </c>
      <c r="Y4158" t="str">
        <f t="shared" si="259"/>
        <v>Non-Senior</v>
      </c>
    </row>
    <row r="4159" spans="1:25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256"/>
        <v>0-12 Months</v>
      </c>
      <c r="W4159">
        <f t="shared" si="257"/>
        <v>0</v>
      </c>
      <c r="X4159">
        <f t="shared" si="258"/>
        <v>0</v>
      </c>
      <c r="Y4159" t="str">
        <f t="shared" si="259"/>
        <v>Non-Senior</v>
      </c>
    </row>
    <row r="4160" spans="1:25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7082</v>
      </c>
      <c r="J4160" t="s">
        <v>7084</v>
      </c>
      <c r="K4160" t="s">
        <v>46</v>
      </c>
      <c r="L4160" t="s">
        <v>7084</v>
      </c>
      <c r="M4160" t="s">
        <v>7084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256"/>
        <v>37-48 Months</v>
      </c>
      <c r="W4160">
        <f t="shared" si="257"/>
        <v>0</v>
      </c>
      <c r="X4160">
        <f t="shared" si="258"/>
        <v>0</v>
      </c>
      <c r="Y4160" t="str">
        <f t="shared" si="259"/>
        <v>Non-Senior</v>
      </c>
    </row>
    <row r="4161" spans="1:25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256"/>
        <v>49-60 Months</v>
      </c>
      <c r="W4161">
        <f t="shared" si="257"/>
        <v>0</v>
      </c>
      <c r="X4161">
        <f t="shared" si="258"/>
        <v>0</v>
      </c>
      <c r="Y4161" t="str">
        <f t="shared" si="259"/>
        <v>Senior Citizen</v>
      </c>
    </row>
    <row r="4162" spans="1:25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si="256"/>
        <v>25-36 Months</v>
      </c>
      <c r="W4162">
        <f t="shared" si="257"/>
        <v>0</v>
      </c>
      <c r="X4162">
        <f t="shared" si="258"/>
        <v>0</v>
      </c>
      <c r="Y4162" t="str">
        <f t="shared" si="259"/>
        <v>Non-Senior</v>
      </c>
    </row>
    <row r="4163" spans="1:25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ref="V4163:V4226" si="260">IF(F4163&lt;=12,"0-12 Months",IF(F4163&lt;=24,"13-24 Months",IF(F4163&lt;=36,"25-36 Months",IF(F4163&lt;=48,"37-48 Months",IF(F4163&lt;=60,"49-60 Months","61-72 Months")))))</f>
        <v>0-12 Months</v>
      </c>
      <c r="W4163">
        <f t="shared" ref="W4163:W4226" si="261">IF(U4163="Yes",1,0)</f>
        <v>0</v>
      </c>
      <c r="X4163">
        <f t="shared" ref="X4163:X4226" si="262">IF(U4163="Yes",S4163,0)</f>
        <v>0</v>
      </c>
      <c r="Y4163" t="str">
        <f t="shared" ref="Y4163:Y4226" si="263">IF(C4163=1,"Senior Citizen","Non-Senior")</f>
        <v>Senior Citizen</v>
      </c>
    </row>
    <row r="4164" spans="1:25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260"/>
        <v>61-72 Months</v>
      </c>
      <c r="W4164">
        <f t="shared" si="261"/>
        <v>0</v>
      </c>
      <c r="X4164">
        <f t="shared" si="262"/>
        <v>0</v>
      </c>
      <c r="Y4164" t="str">
        <f t="shared" si="263"/>
        <v>Non-Senior</v>
      </c>
    </row>
    <row r="4165" spans="1:25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260"/>
        <v>61-72 Months</v>
      </c>
      <c r="W4165">
        <f t="shared" si="261"/>
        <v>0</v>
      </c>
      <c r="X4165">
        <f t="shared" si="262"/>
        <v>0</v>
      </c>
      <c r="Y4165" t="str">
        <f t="shared" si="263"/>
        <v>Non-Senior</v>
      </c>
    </row>
    <row r="4166" spans="1:25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260"/>
        <v>61-72 Months</v>
      </c>
      <c r="W4166">
        <f t="shared" si="261"/>
        <v>0</v>
      </c>
      <c r="X4166">
        <f t="shared" si="262"/>
        <v>0</v>
      </c>
      <c r="Y4166" t="str">
        <f t="shared" si="263"/>
        <v>Non-Senior</v>
      </c>
    </row>
    <row r="4167" spans="1:25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260"/>
        <v>0-12 Months</v>
      </c>
      <c r="W4167">
        <f t="shared" si="261"/>
        <v>0</v>
      </c>
      <c r="X4167">
        <f t="shared" si="262"/>
        <v>0</v>
      </c>
      <c r="Y4167" t="str">
        <f t="shared" si="263"/>
        <v>Non-Senior</v>
      </c>
    </row>
    <row r="4168" spans="1:25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7082</v>
      </c>
      <c r="J4168" t="s">
        <v>7084</v>
      </c>
      <c r="K4168" t="s">
        <v>46</v>
      </c>
      <c r="L4168" t="s">
        <v>7084</v>
      </c>
      <c r="M4168" t="s">
        <v>7084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260"/>
        <v>25-36 Months</v>
      </c>
      <c r="W4168">
        <f t="shared" si="261"/>
        <v>0</v>
      </c>
      <c r="X4168">
        <f t="shared" si="262"/>
        <v>0</v>
      </c>
      <c r="Y4168" t="str">
        <f t="shared" si="263"/>
        <v>Senior Citizen</v>
      </c>
    </row>
    <row r="4169" spans="1:25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260"/>
        <v>49-60 Months</v>
      </c>
      <c r="W4169">
        <f t="shared" si="261"/>
        <v>0</v>
      </c>
      <c r="X4169">
        <f t="shared" si="262"/>
        <v>0</v>
      </c>
      <c r="Y4169" t="str">
        <f t="shared" si="263"/>
        <v>Non-Senior</v>
      </c>
    </row>
    <row r="4170" spans="1:25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260"/>
        <v>61-72 Months</v>
      </c>
      <c r="W4170">
        <f t="shared" si="261"/>
        <v>0</v>
      </c>
      <c r="X4170">
        <f t="shared" si="262"/>
        <v>0</v>
      </c>
      <c r="Y4170" t="str">
        <f t="shared" si="263"/>
        <v>Non-Senior</v>
      </c>
    </row>
    <row r="4171" spans="1:25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260"/>
        <v>13-24 Months</v>
      </c>
      <c r="W4171">
        <f t="shared" si="261"/>
        <v>1</v>
      </c>
      <c r="X4171">
        <f t="shared" si="262"/>
        <v>101.25</v>
      </c>
      <c r="Y4171" t="str">
        <f t="shared" si="263"/>
        <v>Non-Senior</v>
      </c>
    </row>
    <row r="4172" spans="1:25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260"/>
        <v>61-72 Months</v>
      </c>
      <c r="W4172">
        <f t="shared" si="261"/>
        <v>0</v>
      </c>
      <c r="X4172">
        <f t="shared" si="262"/>
        <v>0</v>
      </c>
      <c r="Y4172" t="str">
        <f t="shared" si="263"/>
        <v>Non-Senior</v>
      </c>
    </row>
    <row r="4173" spans="1:25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7082</v>
      </c>
      <c r="J4173" t="s">
        <v>7084</v>
      </c>
      <c r="K4173" t="s">
        <v>46</v>
      </c>
      <c r="L4173" t="s">
        <v>7084</v>
      </c>
      <c r="M4173" t="s">
        <v>7084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260"/>
        <v>0-12 Months</v>
      </c>
      <c r="W4173">
        <f t="shared" si="261"/>
        <v>1</v>
      </c>
      <c r="X4173">
        <f t="shared" si="262"/>
        <v>18.95</v>
      </c>
      <c r="Y4173" t="str">
        <f t="shared" si="263"/>
        <v>Non-Senior</v>
      </c>
    </row>
    <row r="4174" spans="1:25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7082</v>
      </c>
      <c r="J4174" t="s">
        <v>7084</v>
      </c>
      <c r="K4174" t="s">
        <v>46</v>
      </c>
      <c r="L4174" t="s">
        <v>7084</v>
      </c>
      <c r="M4174" t="s">
        <v>7084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260"/>
        <v>0-12 Months</v>
      </c>
      <c r="W4174">
        <f t="shared" si="261"/>
        <v>0</v>
      </c>
      <c r="X4174">
        <f t="shared" si="262"/>
        <v>0</v>
      </c>
      <c r="Y4174" t="str">
        <f t="shared" si="263"/>
        <v>Non-Senior</v>
      </c>
    </row>
    <row r="4175" spans="1:25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260"/>
        <v>0-12 Months</v>
      </c>
      <c r="W4175">
        <f t="shared" si="261"/>
        <v>0</v>
      </c>
      <c r="X4175">
        <f t="shared" si="262"/>
        <v>0</v>
      </c>
      <c r="Y4175" t="str">
        <f t="shared" si="263"/>
        <v>Non-Senior</v>
      </c>
    </row>
    <row r="4176" spans="1:25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260"/>
        <v>37-48 Months</v>
      </c>
      <c r="W4176">
        <f t="shared" si="261"/>
        <v>1</v>
      </c>
      <c r="X4176">
        <f t="shared" si="262"/>
        <v>28.6</v>
      </c>
      <c r="Y4176" t="str">
        <f t="shared" si="263"/>
        <v>Non-Senior</v>
      </c>
    </row>
    <row r="4177" spans="1:25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7082</v>
      </c>
      <c r="J4177" t="s">
        <v>7084</v>
      </c>
      <c r="K4177" t="s">
        <v>46</v>
      </c>
      <c r="L4177" t="s">
        <v>7084</v>
      </c>
      <c r="M4177" t="s">
        <v>7084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260"/>
        <v>61-72 Months</v>
      </c>
      <c r="W4177">
        <f t="shared" si="261"/>
        <v>0</v>
      </c>
      <c r="X4177">
        <f t="shared" si="262"/>
        <v>0</v>
      </c>
      <c r="Y4177" t="str">
        <f t="shared" si="263"/>
        <v>Non-Senior</v>
      </c>
    </row>
    <row r="4178" spans="1:25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7082</v>
      </c>
      <c r="J4178" t="s">
        <v>7084</v>
      </c>
      <c r="K4178" t="s">
        <v>46</v>
      </c>
      <c r="L4178" t="s">
        <v>7084</v>
      </c>
      <c r="M4178" t="s">
        <v>7084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260"/>
        <v>13-24 Months</v>
      </c>
      <c r="W4178">
        <f t="shared" si="261"/>
        <v>0</v>
      </c>
      <c r="X4178">
        <f t="shared" si="262"/>
        <v>0</v>
      </c>
      <c r="Y4178" t="str">
        <f t="shared" si="263"/>
        <v>Non-Senior</v>
      </c>
    </row>
    <row r="4179" spans="1:25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260"/>
        <v>13-24 Months</v>
      </c>
      <c r="W4179">
        <f t="shared" si="261"/>
        <v>0</v>
      </c>
      <c r="X4179">
        <f t="shared" si="262"/>
        <v>0</v>
      </c>
      <c r="Y4179" t="str">
        <f t="shared" si="263"/>
        <v>Non-Senior</v>
      </c>
    </row>
    <row r="4180" spans="1:25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260"/>
        <v>61-72 Months</v>
      </c>
      <c r="W4180">
        <f t="shared" si="261"/>
        <v>0</v>
      </c>
      <c r="X4180">
        <f t="shared" si="262"/>
        <v>0</v>
      </c>
      <c r="Y4180" t="str">
        <f t="shared" si="263"/>
        <v>Non-Senior</v>
      </c>
    </row>
    <row r="4181" spans="1:25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260"/>
        <v>0-12 Months</v>
      </c>
      <c r="W4181">
        <f t="shared" si="261"/>
        <v>0</v>
      </c>
      <c r="X4181">
        <f t="shared" si="262"/>
        <v>0</v>
      </c>
      <c r="Y4181" t="str">
        <f t="shared" si="263"/>
        <v>Senior Citizen</v>
      </c>
    </row>
    <row r="4182" spans="1:25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260"/>
        <v>0-12 Months</v>
      </c>
      <c r="W4182">
        <f t="shared" si="261"/>
        <v>1</v>
      </c>
      <c r="X4182">
        <f t="shared" si="262"/>
        <v>24.35</v>
      </c>
      <c r="Y4182" t="str">
        <f t="shared" si="263"/>
        <v>Senior Citizen</v>
      </c>
    </row>
    <row r="4183" spans="1:25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260"/>
        <v>61-72 Months</v>
      </c>
      <c r="W4183">
        <f t="shared" si="261"/>
        <v>0</v>
      </c>
      <c r="X4183">
        <f t="shared" si="262"/>
        <v>0</v>
      </c>
      <c r="Y4183" t="str">
        <f t="shared" si="263"/>
        <v>Non-Senior</v>
      </c>
    </row>
    <row r="4184" spans="1:25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260"/>
        <v>25-36 Months</v>
      </c>
      <c r="W4184">
        <f t="shared" si="261"/>
        <v>1</v>
      </c>
      <c r="X4184">
        <f t="shared" si="262"/>
        <v>98.65</v>
      </c>
      <c r="Y4184" t="str">
        <f t="shared" si="263"/>
        <v>Senior Citizen</v>
      </c>
    </row>
    <row r="4185" spans="1:25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260"/>
        <v>0-12 Months</v>
      </c>
      <c r="W4185">
        <f t="shared" si="261"/>
        <v>0</v>
      </c>
      <c r="X4185">
        <f t="shared" si="262"/>
        <v>0</v>
      </c>
      <c r="Y4185" t="str">
        <f t="shared" si="263"/>
        <v>Non-Senior</v>
      </c>
    </row>
    <row r="4186" spans="1:25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260"/>
        <v>0-12 Months</v>
      </c>
      <c r="W4186">
        <f t="shared" si="261"/>
        <v>1</v>
      </c>
      <c r="X4186">
        <f t="shared" si="262"/>
        <v>79.900000000000006</v>
      </c>
      <c r="Y4186" t="str">
        <f t="shared" si="263"/>
        <v>Senior Citizen</v>
      </c>
    </row>
    <row r="4187" spans="1:25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7082</v>
      </c>
      <c r="J4187" t="s">
        <v>7084</v>
      </c>
      <c r="K4187" t="s">
        <v>46</v>
      </c>
      <c r="L4187" t="s">
        <v>7084</v>
      </c>
      <c r="M4187" t="s">
        <v>7084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260"/>
        <v>0-12 Months</v>
      </c>
      <c r="W4187">
        <f t="shared" si="261"/>
        <v>0</v>
      </c>
      <c r="X4187">
        <f t="shared" si="262"/>
        <v>0</v>
      </c>
      <c r="Y4187" t="str">
        <f t="shared" si="263"/>
        <v>Non-Senior</v>
      </c>
    </row>
    <row r="4188" spans="1:25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260"/>
        <v>61-72 Months</v>
      </c>
      <c r="W4188">
        <f t="shared" si="261"/>
        <v>0</v>
      </c>
      <c r="X4188">
        <f t="shared" si="262"/>
        <v>0</v>
      </c>
      <c r="Y4188" t="str">
        <f t="shared" si="263"/>
        <v>Non-Senior</v>
      </c>
    </row>
    <row r="4189" spans="1:25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7082</v>
      </c>
      <c r="J4189" t="s">
        <v>7084</v>
      </c>
      <c r="K4189" t="s">
        <v>46</v>
      </c>
      <c r="L4189" t="s">
        <v>7084</v>
      </c>
      <c r="M4189" t="s">
        <v>7084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260"/>
        <v>25-36 Months</v>
      </c>
      <c r="W4189">
        <f t="shared" si="261"/>
        <v>0</v>
      </c>
      <c r="X4189">
        <f t="shared" si="262"/>
        <v>0</v>
      </c>
      <c r="Y4189" t="str">
        <f t="shared" si="263"/>
        <v>Non-Senior</v>
      </c>
    </row>
    <row r="4190" spans="1:25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260"/>
        <v>25-36 Months</v>
      </c>
      <c r="W4190">
        <f t="shared" si="261"/>
        <v>1</v>
      </c>
      <c r="X4190">
        <f t="shared" si="262"/>
        <v>103.3</v>
      </c>
      <c r="Y4190" t="str">
        <f t="shared" si="263"/>
        <v>Senior Citizen</v>
      </c>
    </row>
    <row r="4191" spans="1:25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260"/>
        <v>61-72 Months</v>
      </c>
      <c r="W4191">
        <f t="shared" si="261"/>
        <v>0</v>
      </c>
      <c r="X4191">
        <f t="shared" si="262"/>
        <v>0</v>
      </c>
      <c r="Y4191" t="str">
        <f t="shared" si="263"/>
        <v>Non-Senior</v>
      </c>
    </row>
    <row r="4192" spans="1:25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260"/>
        <v>0-12 Months</v>
      </c>
      <c r="W4192">
        <f t="shared" si="261"/>
        <v>1</v>
      </c>
      <c r="X4192">
        <f t="shared" si="262"/>
        <v>96.2</v>
      </c>
      <c r="Y4192" t="str">
        <f t="shared" si="263"/>
        <v>Non-Senior</v>
      </c>
    </row>
    <row r="4193" spans="1:25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260"/>
        <v>61-72 Months</v>
      </c>
      <c r="W4193">
        <f t="shared" si="261"/>
        <v>0</v>
      </c>
      <c r="X4193">
        <f t="shared" si="262"/>
        <v>0</v>
      </c>
      <c r="Y4193" t="str">
        <f t="shared" si="263"/>
        <v>Non-Senior</v>
      </c>
    </row>
    <row r="4194" spans="1:25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7082</v>
      </c>
      <c r="J4194" t="s">
        <v>7084</v>
      </c>
      <c r="K4194" t="s">
        <v>46</v>
      </c>
      <c r="L4194" t="s">
        <v>7084</v>
      </c>
      <c r="M4194" t="s">
        <v>7084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260"/>
        <v>13-24 Months</v>
      </c>
      <c r="W4194">
        <f t="shared" si="261"/>
        <v>0</v>
      </c>
      <c r="X4194">
        <f t="shared" si="262"/>
        <v>0</v>
      </c>
      <c r="Y4194" t="str">
        <f t="shared" si="263"/>
        <v>Non-Senior</v>
      </c>
    </row>
    <row r="4195" spans="1:25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7082</v>
      </c>
      <c r="J4195" t="s">
        <v>7084</v>
      </c>
      <c r="K4195" t="s">
        <v>46</v>
      </c>
      <c r="L4195" t="s">
        <v>7084</v>
      </c>
      <c r="M4195" t="s">
        <v>7084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260"/>
        <v>0-12 Months</v>
      </c>
      <c r="W4195">
        <f t="shared" si="261"/>
        <v>0</v>
      </c>
      <c r="X4195">
        <f t="shared" si="262"/>
        <v>0</v>
      </c>
      <c r="Y4195" t="str">
        <f t="shared" si="263"/>
        <v>Non-Senior</v>
      </c>
    </row>
    <row r="4196" spans="1:25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7082</v>
      </c>
      <c r="J4196" t="s">
        <v>7084</v>
      </c>
      <c r="K4196" t="s">
        <v>46</v>
      </c>
      <c r="L4196" t="s">
        <v>7084</v>
      </c>
      <c r="M4196" t="s">
        <v>7084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260"/>
        <v>61-72 Months</v>
      </c>
      <c r="W4196">
        <f t="shared" si="261"/>
        <v>0</v>
      </c>
      <c r="X4196">
        <f t="shared" si="262"/>
        <v>0</v>
      </c>
      <c r="Y4196" t="str">
        <f t="shared" si="263"/>
        <v>Non-Senior</v>
      </c>
    </row>
    <row r="4197" spans="1:25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260"/>
        <v>37-48 Months</v>
      </c>
      <c r="W4197">
        <f t="shared" si="261"/>
        <v>0</v>
      </c>
      <c r="X4197">
        <f t="shared" si="262"/>
        <v>0</v>
      </c>
      <c r="Y4197" t="str">
        <f t="shared" si="263"/>
        <v>Senior Citizen</v>
      </c>
    </row>
    <row r="4198" spans="1:25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7082</v>
      </c>
      <c r="J4198" t="s">
        <v>7084</v>
      </c>
      <c r="K4198" t="s">
        <v>46</v>
      </c>
      <c r="L4198" t="s">
        <v>7084</v>
      </c>
      <c r="M4198" t="s">
        <v>7084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260"/>
        <v>61-72 Months</v>
      </c>
      <c r="W4198">
        <f t="shared" si="261"/>
        <v>0</v>
      </c>
      <c r="X4198">
        <f t="shared" si="262"/>
        <v>0</v>
      </c>
      <c r="Y4198" t="str">
        <f t="shared" si="263"/>
        <v>Non-Senior</v>
      </c>
    </row>
    <row r="4199" spans="1:25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260"/>
        <v>13-24 Months</v>
      </c>
      <c r="W4199">
        <f t="shared" si="261"/>
        <v>0</v>
      </c>
      <c r="X4199">
        <f t="shared" si="262"/>
        <v>0</v>
      </c>
      <c r="Y4199" t="str">
        <f t="shared" si="263"/>
        <v>Non-Senior</v>
      </c>
    </row>
    <row r="4200" spans="1:25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7082</v>
      </c>
      <c r="J4200" t="s">
        <v>7084</v>
      </c>
      <c r="K4200" t="s">
        <v>46</v>
      </c>
      <c r="L4200" t="s">
        <v>7084</v>
      </c>
      <c r="M4200" t="s">
        <v>7084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260"/>
        <v>49-60 Months</v>
      </c>
      <c r="W4200">
        <f t="shared" si="261"/>
        <v>0</v>
      </c>
      <c r="X4200">
        <f t="shared" si="262"/>
        <v>0</v>
      </c>
      <c r="Y4200" t="str">
        <f t="shared" si="263"/>
        <v>Non-Senior</v>
      </c>
    </row>
    <row r="4201" spans="1:25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260"/>
        <v>49-60 Months</v>
      </c>
      <c r="W4201">
        <f t="shared" si="261"/>
        <v>1</v>
      </c>
      <c r="X4201">
        <f t="shared" si="262"/>
        <v>104.15</v>
      </c>
      <c r="Y4201" t="str">
        <f t="shared" si="263"/>
        <v>Non-Senior</v>
      </c>
    </row>
    <row r="4202" spans="1:25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260"/>
        <v>61-72 Months</v>
      </c>
      <c r="W4202">
        <f t="shared" si="261"/>
        <v>0</v>
      </c>
      <c r="X4202">
        <f t="shared" si="262"/>
        <v>0</v>
      </c>
      <c r="Y4202" t="str">
        <f t="shared" si="263"/>
        <v>Non-Senior</v>
      </c>
    </row>
    <row r="4203" spans="1:25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7082</v>
      </c>
      <c r="J4203" t="s">
        <v>7084</v>
      </c>
      <c r="K4203" t="s">
        <v>46</v>
      </c>
      <c r="L4203" t="s">
        <v>7084</v>
      </c>
      <c r="M4203" t="s">
        <v>7084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260"/>
        <v>61-72 Months</v>
      </c>
      <c r="W4203">
        <f t="shared" si="261"/>
        <v>0</v>
      </c>
      <c r="X4203">
        <f t="shared" si="262"/>
        <v>0</v>
      </c>
      <c r="Y4203" t="str">
        <f t="shared" si="263"/>
        <v>Non-Senior</v>
      </c>
    </row>
    <row r="4204" spans="1:25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7082</v>
      </c>
      <c r="J4204" t="s">
        <v>7084</v>
      </c>
      <c r="K4204" t="s">
        <v>46</v>
      </c>
      <c r="L4204" t="s">
        <v>7084</v>
      </c>
      <c r="M4204" t="s">
        <v>7084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260"/>
        <v>0-12 Months</v>
      </c>
      <c r="W4204">
        <f t="shared" si="261"/>
        <v>0</v>
      </c>
      <c r="X4204">
        <f t="shared" si="262"/>
        <v>0</v>
      </c>
      <c r="Y4204" t="str">
        <f t="shared" si="263"/>
        <v>Non-Senior</v>
      </c>
    </row>
    <row r="4205" spans="1:25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7082</v>
      </c>
      <c r="J4205" t="s">
        <v>7084</v>
      </c>
      <c r="K4205" t="s">
        <v>46</v>
      </c>
      <c r="L4205" t="s">
        <v>7084</v>
      </c>
      <c r="M4205" t="s">
        <v>7084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260"/>
        <v>0-12 Months</v>
      </c>
      <c r="W4205">
        <f t="shared" si="261"/>
        <v>0</v>
      </c>
      <c r="X4205">
        <f t="shared" si="262"/>
        <v>0</v>
      </c>
      <c r="Y4205" t="str">
        <f t="shared" si="263"/>
        <v>Non-Senior</v>
      </c>
    </row>
    <row r="4206" spans="1:25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260"/>
        <v>0-12 Months</v>
      </c>
      <c r="W4206">
        <f t="shared" si="261"/>
        <v>0</v>
      </c>
      <c r="X4206">
        <f t="shared" si="262"/>
        <v>0</v>
      </c>
      <c r="Y4206" t="str">
        <f t="shared" si="263"/>
        <v>Senior Citizen</v>
      </c>
    </row>
    <row r="4207" spans="1:25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260"/>
        <v>13-24 Months</v>
      </c>
      <c r="W4207">
        <f t="shared" si="261"/>
        <v>0</v>
      </c>
      <c r="X4207">
        <f t="shared" si="262"/>
        <v>0</v>
      </c>
      <c r="Y4207" t="str">
        <f t="shared" si="263"/>
        <v>Non-Senior</v>
      </c>
    </row>
    <row r="4208" spans="1:25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260"/>
        <v>61-72 Months</v>
      </c>
      <c r="W4208">
        <f t="shared" si="261"/>
        <v>0</v>
      </c>
      <c r="X4208">
        <f t="shared" si="262"/>
        <v>0</v>
      </c>
      <c r="Y4208" t="str">
        <f t="shared" si="263"/>
        <v>Non-Senior</v>
      </c>
    </row>
    <row r="4209" spans="1:25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260"/>
        <v>13-24 Months</v>
      </c>
      <c r="W4209">
        <f t="shared" si="261"/>
        <v>0</v>
      </c>
      <c r="X4209">
        <f t="shared" si="262"/>
        <v>0</v>
      </c>
      <c r="Y4209" t="str">
        <f t="shared" si="263"/>
        <v>Non-Senior</v>
      </c>
    </row>
    <row r="4210" spans="1:25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260"/>
        <v>61-72 Months</v>
      </c>
      <c r="W4210">
        <f t="shared" si="261"/>
        <v>0</v>
      </c>
      <c r="X4210">
        <f t="shared" si="262"/>
        <v>0</v>
      </c>
      <c r="Y4210" t="str">
        <f t="shared" si="263"/>
        <v>Non-Senior</v>
      </c>
    </row>
    <row r="4211" spans="1:25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260"/>
        <v>37-48 Months</v>
      </c>
      <c r="W4211">
        <f t="shared" si="261"/>
        <v>0</v>
      </c>
      <c r="X4211">
        <f t="shared" si="262"/>
        <v>0</v>
      </c>
      <c r="Y4211" t="str">
        <f t="shared" si="263"/>
        <v>Non-Senior</v>
      </c>
    </row>
    <row r="4212" spans="1:25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260"/>
        <v>61-72 Months</v>
      </c>
      <c r="W4212">
        <f t="shared" si="261"/>
        <v>0</v>
      </c>
      <c r="X4212">
        <f t="shared" si="262"/>
        <v>0</v>
      </c>
      <c r="Y4212" t="str">
        <f t="shared" si="263"/>
        <v>Senior Citizen</v>
      </c>
    </row>
    <row r="4213" spans="1:25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260"/>
        <v>13-24 Months</v>
      </c>
      <c r="W4213">
        <f t="shared" si="261"/>
        <v>1</v>
      </c>
      <c r="X4213">
        <f t="shared" si="262"/>
        <v>102.95</v>
      </c>
      <c r="Y4213" t="str">
        <f t="shared" si="263"/>
        <v>Senior Citizen</v>
      </c>
    </row>
    <row r="4214" spans="1:25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260"/>
        <v>0-12 Months</v>
      </c>
      <c r="W4214">
        <f t="shared" si="261"/>
        <v>1</v>
      </c>
      <c r="X4214">
        <f t="shared" si="262"/>
        <v>90.6</v>
      </c>
      <c r="Y4214" t="str">
        <f t="shared" si="263"/>
        <v>Non-Senior</v>
      </c>
    </row>
    <row r="4215" spans="1:25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260"/>
        <v>0-12 Months</v>
      </c>
      <c r="W4215">
        <f t="shared" si="261"/>
        <v>1</v>
      </c>
      <c r="X4215">
        <f t="shared" si="262"/>
        <v>50.8</v>
      </c>
      <c r="Y4215" t="str">
        <f t="shared" si="263"/>
        <v>Non-Senior</v>
      </c>
    </row>
    <row r="4216" spans="1:25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260"/>
        <v>0-12 Months</v>
      </c>
      <c r="W4216">
        <f t="shared" si="261"/>
        <v>1</v>
      </c>
      <c r="X4216">
        <f t="shared" si="262"/>
        <v>90.05</v>
      </c>
      <c r="Y4216" t="str">
        <f t="shared" si="263"/>
        <v>Non-Senior</v>
      </c>
    </row>
    <row r="4217" spans="1:25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260"/>
        <v>61-72 Months</v>
      </c>
      <c r="W4217">
        <f t="shared" si="261"/>
        <v>0</v>
      </c>
      <c r="X4217">
        <f t="shared" si="262"/>
        <v>0</v>
      </c>
      <c r="Y4217" t="str">
        <f t="shared" si="263"/>
        <v>Non-Senior</v>
      </c>
    </row>
    <row r="4218" spans="1:25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260"/>
        <v>61-72 Months</v>
      </c>
      <c r="W4218">
        <f t="shared" si="261"/>
        <v>0</v>
      </c>
      <c r="X4218">
        <f t="shared" si="262"/>
        <v>0</v>
      </c>
      <c r="Y4218" t="str">
        <f t="shared" si="263"/>
        <v>Non-Senior</v>
      </c>
    </row>
    <row r="4219" spans="1:25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260"/>
        <v>13-24 Months</v>
      </c>
      <c r="W4219">
        <f t="shared" si="261"/>
        <v>0</v>
      </c>
      <c r="X4219">
        <f t="shared" si="262"/>
        <v>0</v>
      </c>
      <c r="Y4219" t="str">
        <f t="shared" si="263"/>
        <v>Senior Citizen</v>
      </c>
    </row>
    <row r="4220" spans="1:25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7082</v>
      </c>
      <c r="J4220" t="s">
        <v>7084</v>
      </c>
      <c r="K4220" t="s">
        <v>46</v>
      </c>
      <c r="L4220" t="s">
        <v>7084</v>
      </c>
      <c r="M4220" t="s">
        <v>7084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260"/>
        <v>0-12 Months</v>
      </c>
      <c r="W4220">
        <f t="shared" si="261"/>
        <v>0</v>
      </c>
      <c r="X4220">
        <f t="shared" si="262"/>
        <v>0</v>
      </c>
      <c r="Y4220" t="str">
        <f t="shared" si="263"/>
        <v>Non-Senior</v>
      </c>
    </row>
    <row r="4221" spans="1:25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260"/>
        <v>37-48 Months</v>
      </c>
      <c r="W4221">
        <f t="shared" si="261"/>
        <v>0</v>
      </c>
      <c r="X4221">
        <f t="shared" si="262"/>
        <v>0</v>
      </c>
      <c r="Y4221" t="str">
        <f t="shared" si="263"/>
        <v>Non-Senior</v>
      </c>
    </row>
    <row r="4222" spans="1:25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7082</v>
      </c>
      <c r="J4222" t="s">
        <v>7084</v>
      </c>
      <c r="K4222" t="s">
        <v>46</v>
      </c>
      <c r="L4222" t="s">
        <v>7084</v>
      </c>
      <c r="M4222" t="s">
        <v>7084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260"/>
        <v>49-60 Months</v>
      </c>
      <c r="W4222">
        <f t="shared" si="261"/>
        <v>0</v>
      </c>
      <c r="X4222">
        <f t="shared" si="262"/>
        <v>0</v>
      </c>
      <c r="Y4222" t="str">
        <f t="shared" si="263"/>
        <v>Non-Senior</v>
      </c>
    </row>
    <row r="4223" spans="1:25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7082</v>
      </c>
      <c r="J4223" t="s">
        <v>7084</v>
      </c>
      <c r="K4223" t="s">
        <v>46</v>
      </c>
      <c r="L4223" t="s">
        <v>7084</v>
      </c>
      <c r="M4223" t="s">
        <v>7084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260"/>
        <v>0-12 Months</v>
      </c>
      <c r="W4223">
        <f t="shared" si="261"/>
        <v>0</v>
      </c>
      <c r="X4223">
        <f t="shared" si="262"/>
        <v>0</v>
      </c>
      <c r="Y4223" t="str">
        <f t="shared" si="263"/>
        <v>Non-Senior</v>
      </c>
    </row>
    <row r="4224" spans="1:25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260"/>
        <v>37-48 Months</v>
      </c>
      <c r="W4224">
        <f t="shared" si="261"/>
        <v>0</v>
      </c>
      <c r="X4224">
        <f t="shared" si="262"/>
        <v>0</v>
      </c>
      <c r="Y4224" t="str">
        <f t="shared" si="263"/>
        <v>Non-Senior</v>
      </c>
    </row>
    <row r="4225" spans="1:25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260"/>
        <v>0-12 Months</v>
      </c>
      <c r="W4225">
        <f t="shared" si="261"/>
        <v>0</v>
      </c>
      <c r="X4225">
        <f t="shared" si="262"/>
        <v>0</v>
      </c>
      <c r="Y4225" t="str">
        <f t="shared" si="263"/>
        <v>Non-Senior</v>
      </c>
    </row>
    <row r="4226" spans="1:25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7082</v>
      </c>
      <c r="J4226" t="s">
        <v>7084</v>
      </c>
      <c r="K4226" t="s">
        <v>46</v>
      </c>
      <c r="L4226" t="s">
        <v>7084</v>
      </c>
      <c r="M4226" t="s">
        <v>7084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si="260"/>
        <v>61-72 Months</v>
      </c>
      <c r="W4226">
        <f t="shared" si="261"/>
        <v>0</v>
      </c>
      <c r="X4226">
        <f t="shared" si="262"/>
        <v>0</v>
      </c>
      <c r="Y4226" t="str">
        <f t="shared" si="263"/>
        <v>Non-Senior</v>
      </c>
    </row>
    <row r="4227" spans="1:25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7082</v>
      </c>
      <c r="J4227" t="s">
        <v>7084</v>
      </c>
      <c r="K4227" t="s">
        <v>46</v>
      </c>
      <c r="L4227" t="s">
        <v>7084</v>
      </c>
      <c r="M4227" t="s">
        <v>7084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ref="V4227:V4290" si="264">IF(F4227&lt;=12,"0-12 Months",IF(F4227&lt;=24,"13-24 Months",IF(F4227&lt;=36,"25-36 Months",IF(F4227&lt;=48,"37-48 Months",IF(F4227&lt;=60,"49-60 Months","61-72 Months")))))</f>
        <v>0-12 Months</v>
      </c>
      <c r="W4227">
        <f t="shared" ref="W4227:W4290" si="265">IF(U4227="Yes",1,0)</f>
        <v>0</v>
      </c>
      <c r="X4227">
        <f t="shared" ref="X4227:X4290" si="266">IF(U4227="Yes",S4227,0)</f>
        <v>0</v>
      </c>
      <c r="Y4227" t="str">
        <f t="shared" ref="Y4227:Y4290" si="267">IF(C4227=1,"Senior Citizen","Non-Senior")</f>
        <v>Non-Senior</v>
      </c>
    </row>
    <row r="4228" spans="1:25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264"/>
        <v>0-12 Months</v>
      </c>
      <c r="W4228">
        <f t="shared" si="265"/>
        <v>1</v>
      </c>
      <c r="X4228">
        <f t="shared" si="266"/>
        <v>75.849999999999994</v>
      </c>
      <c r="Y4228" t="str">
        <f t="shared" si="267"/>
        <v>Non-Senior</v>
      </c>
    </row>
    <row r="4229" spans="1:25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264"/>
        <v>61-72 Months</v>
      </c>
      <c r="W4229">
        <f t="shared" si="265"/>
        <v>0</v>
      </c>
      <c r="X4229">
        <f t="shared" si="266"/>
        <v>0</v>
      </c>
      <c r="Y4229" t="str">
        <f t="shared" si="267"/>
        <v>Non-Senior</v>
      </c>
    </row>
    <row r="4230" spans="1:25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264"/>
        <v>0-12 Months</v>
      </c>
      <c r="W4230">
        <f t="shared" si="265"/>
        <v>1</v>
      </c>
      <c r="X4230">
        <f t="shared" si="266"/>
        <v>68.5</v>
      </c>
      <c r="Y4230" t="str">
        <f t="shared" si="267"/>
        <v>Non-Senior</v>
      </c>
    </row>
    <row r="4231" spans="1:25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264"/>
        <v>61-72 Months</v>
      </c>
      <c r="W4231">
        <f t="shared" si="265"/>
        <v>0</v>
      </c>
      <c r="X4231">
        <f t="shared" si="266"/>
        <v>0</v>
      </c>
      <c r="Y4231" t="str">
        <f t="shared" si="267"/>
        <v>Senior Citizen</v>
      </c>
    </row>
    <row r="4232" spans="1:25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264"/>
        <v>0-12 Months</v>
      </c>
      <c r="W4232">
        <f t="shared" si="265"/>
        <v>1</v>
      </c>
      <c r="X4232">
        <f t="shared" si="266"/>
        <v>73.5</v>
      </c>
      <c r="Y4232" t="str">
        <f t="shared" si="267"/>
        <v>Non-Senior</v>
      </c>
    </row>
    <row r="4233" spans="1:25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264"/>
        <v>61-72 Months</v>
      </c>
      <c r="W4233">
        <f t="shared" si="265"/>
        <v>0</v>
      </c>
      <c r="X4233">
        <f t="shared" si="266"/>
        <v>0</v>
      </c>
      <c r="Y4233" t="str">
        <f t="shared" si="267"/>
        <v>Non-Senior</v>
      </c>
    </row>
    <row r="4234" spans="1:25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264"/>
        <v>0-12 Months</v>
      </c>
      <c r="W4234">
        <f t="shared" si="265"/>
        <v>1</v>
      </c>
      <c r="X4234">
        <f t="shared" si="266"/>
        <v>69.95</v>
      </c>
      <c r="Y4234" t="str">
        <f t="shared" si="267"/>
        <v>Non-Senior</v>
      </c>
    </row>
    <row r="4235" spans="1:25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264"/>
        <v>25-36 Months</v>
      </c>
      <c r="W4235">
        <f t="shared" si="265"/>
        <v>0</v>
      </c>
      <c r="X4235">
        <f t="shared" si="266"/>
        <v>0</v>
      </c>
      <c r="Y4235" t="str">
        <f t="shared" si="267"/>
        <v>Non-Senior</v>
      </c>
    </row>
    <row r="4236" spans="1:25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7082</v>
      </c>
      <c r="J4236" t="s">
        <v>7084</v>
      </c>
      <c r="K4236" t="s">
        <v>46</v>
      </c>
      <c r="L4236" t="s">
        <v>7084</v>
      </c>
      <c r="M4236" t="s">
        <v>7084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264"/>
        <v>13-24 Months</v>
      </c>
      <c r="W4236">
        <f t="shared" si="265"/>
        <v>0</v>
      </c>
      <c r="X4236">
        <f t="shared" si="266"/>
        <v>0</v>
      </c>
      <c r="Y4236" t="str">
        <f t="shared" si="267"/>
        <v>Non-Senior</v>
      </c>
    </row>
    <row r="4237" spans="1:25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264"/>
        <v>49-60 Months</v>
      </c>
      <c r="W4237">
        <f t="shared" si="265"/>
        <v>0</v>
      </c>
      <c r="X4237">
        <f t="shared" si="266"/>
        <v>0</v>
      </c>
      <c r="Y4237" t="str">
        <f t="shared" si="267"/>
        <v>Senior Citizen</v>
      </c>
    </row>
    <row r="4238" spans="1:25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7082</v>
      </c>
      <c r="J4238" t="s">
        <v>7084</v>
      </c>
      <c r="K4238" t="s">
        <v>46</v>
      </c>
      <c r="L4238" t="s">
        <v>7084</v>
      </c>
      <c r="M4238" t="s">
        <v>7084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264"/>
        <v>0-12 Months</v>
      </c>
      <c r="W4238">
        <f t="shared" si="265"/>
        <v>0</v>
      </c>
      <c r="X4238">
        <f t="shared" si="266"/>
        <v>0</v>
      </c>
      <c r="Y4238" t="str">
        <f t="shared" si="267"/>
        <v>Non-Senior</v>
      </c>
    </row>
    <row r="4239" spans="1:25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264"/>
        <v>0-12 Months</v>
      </c>
      <c r="W4239">
        <f t="shared" si="265"/>
        <v>1</v>
      </c>
      <c r="X4239">
        <f t="shared" si="266"/>
        <v>70.05</v>
      </c>
      <c r="Y4239" t="str">
        <f t="shared" si="267"/>
        <v>Non-Senior</v>
      </c>
    </row>
    <row r="4240" spans="1:25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7082</v>
      </c>
      <c r="J4240" t="s">
        <v>7084</v>
      </c>
      <c r="K4240" t="s">
        <v>46</v>
      </c>
      <c r="L4240" t="s">
        <v>7084</v>
      </c>
      <c r="M4240" t="s">
        <v>7084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264"/>
        <v>49-60 Months</v>
      </c>
      <c r="W4240">
        <f t="shared" si="265"/>
        <v>0</v>
      </c>
      <c r="X4240">
        <f t="shared" si="266"/>
        <v>0</v>
      </c>
      <c r="Y4240" t="str">
        <f t="shared" si="267"/>
        <v>Non-Senior</v>
      </c>
    </row>
    <row r="4241" spans="1:25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264"/>
        <v>49-60 Months</v>
      </c>
      <c r="W4241">
        <f t="shared" si="265"/>
        <v>0</v>
      </c>
      <c r="X4241">
        <f t="shared" si="266"/>
        <v>0</v>
      </c>
      <c r="Y4241" t="str">
        <f t="shared" si="267"/>
        <v>Non-Senior</v>
      </c>
    </row>
    <row r="4242" spans="1:25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264"/>
        <v>0-12 Months</v>
      </c>
      <c r="W4242">
        <f t="shared" si="265"/>
        <v>1</v>
      </c>
      <c r="X4242">
        <f t="shared" si="266"/>
        <v>94</v>
      </c>
      <c r="Y4242" t="str">
        <f t="shared" si="267"/>
        <v>Non-Senior</v>
      </c>
    </row>
    <row r="4243" spans="1:25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264"/>
        <v>13-24 Months</v>
      </c>
      <c r="W4243">
        <f t="shared" si="265"/>
        <v>1</v>
      </c>
      <c r="X4243">
        <f t="shared" si="266"/>
        <v>61.15</v>
      </c>
      <c r="Y4243" t="str">
        <f t="shared" si="267"/>
        <v>Non-Senior</v>
      </c>
    </row>
    <row r="4244" spans="1:25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7082</v>
      </c>
      <c r="J4244" t="s">
        <v>7084</v>
      </c>
      <c r="K4244" t="s">
        <v>46</v>
      </c>
      <c r="L4244" t="s">
        <v>7084</v>
      </c>
      <c r="M4244" t="s">
        <v>7084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264"/>
        <v>0-12 Months</v>
      </c>
      <c r="W4244">
        <f t="shared" si="265"/>
        <v>0</v>
      </c>
      <c r="X4244">
        <f t="shared" si="266"/>
        <v>0</v>
      </c>
      <c r="Y4244" t="str">
        <f t="shared" si="267"/>
        <v>Non-Senior</v>
      </c>
    </row>
    <row r="4245" spans="1:25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264"/>
        <v>37-48 Months</v>
      </c>
      <c r="W4245">
        <f t="shared" si="265"/>
        <v>0</v>
      </c>
      <c r="X4245">
        <f t="shared" si="266"/>
        <v>0</v>
      </c>
      <c r="Y4245" t="str">
        <f t="shared" si="267"/>
        <v>Non-Senior</v>
      </c>
    </row>
    <row r="4246" spans="1:25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7082</v>
      </c>
      <c r="J4246" t="s">
        <v>7084</v>
      </c>
      <c r="K4246" t="s">
        <v>46</v>
      </c>
      <c r="L4246" t="s">
        <v>7084</v>
      </c>
      <c r="M4246" t="s">
        <v>7084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264"/>
        <v>37-48 Months</v>
      </c>
      <c r="W4246">
        <f t="shared" si="265"/>
        <v>0</v>
      </c>
      <c r="X4246">
        <f t="shared" si="266"/>
        <v>0</v>
      </c>
      <c r="Y4246" t="str">
        <f t="shared" si="267"/>
        <v>Non-Senior</v>
      </c>
    </row>
    <row r="4247" spans="1:25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7082</v>
      </c>
      <c r="J4247" t="s">
        <v>7084</v>
      </c>
      <c r="K4247" t="s">
        <v>46</v>
      </c>
      <c r="L4247" t="s">
        <v>7084</v>
      </c>
      <c r="M4247" t="s">
        <v>7084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264"/>
        <v>61-72 Months</v>
      </c>
      <c r="W4247">
        <f t="shared" si="265"/>
        <v>0</v>
      </c>
      <c r="X4247">
        <f t="shared" si="266"/>
        <v>0</v>
      </c>
      <c r="Y4247" t="str">
        <f t="shared" si="267"/>
        <v>Non-Senior</v>
      </c>
    </row>
    <row r="4248" spans="1:25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264"/>
        <v>61-72 Months</v>
      </c>
      <c r="W4248">
        <f t="shared" si="265"/>
        <v>0</v>
      </c>
      <c r="X4248">
        <f t="shared" si="266"/>
        <v>0</v>
      </c>
      <c r="Y4248" t="str">
        <f t="shared" si="267"/>
        <v>Non-Senior</v>
      </c>
    </row>
    <row r="4249" spans="1:25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264"/>
        <v>61-72 Months</v>
      </c>
      <c r="W4249">
        <f t="shared" si="265"/>
        <v>0</v>
      </c>
      <c r="X4249">
        <f t="shared" si="266"/>
        <v>0</v>
      </c>
      <c r="Y4249" t="str">
        <f t="shared" si="267"/>
        <v>Non-Senior</v>
      </c>
    </row>
    <row r="4250" spans="1:25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264"/>
        <v>49-60 Months</v>
      </c>
      <c r="W4250">
        <f t="shared" si="265"/>
        <v>0</v>
      </c>
      <c r="X4250">
        <f t="shared" si="266"/>
        <v>0</v>
      </c>
      <c r="Y4250" t="str">
        <f t="shared" si="267"/>
        <v>Non-Senior</v>
      </c>
    </row>
    <row r="4251" spans="1:25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264"/>
        <v>0-12 Months</v>
      </c>
      <c r="W4251">
        <f t="shared" si="265"/>
        <v>0</v>
      </c>
      <c r="X4251">
        <f t="shared" si="266"/>
        <v>0</v>
      </c>
      <c r="Y4251" t="str">
        <f t="shared" si="267"/>
        <v>Non-Senior</v>
      </c>
    </row>
    <row r="4252" spans="1:25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264"/>
        <v>61-72 Months</v>
      </c>
      <c r="W4252">
        <f t="shared" si="265"/>
        <v>0</v>
      </c>
      <c r="X4252">
        <f t="shared" si="266"/>
        <v>0</v>
      </c>
      <c r="Y4252" t="str">
        <f t="shared" si="267"/>
        <v>Non-Senior</v>
      </c>
    </row>
    <row r="4253" spans="1:25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264"/>
        <v>13-24 Months</v>
      </c>
      <c r="W4253">
        <f t="shared" si="265"/>
        <v>0</v>
      </c>
      <c r="X4253">
        <f t="shared" si="266"/>
        <v>0</v>
      </c>
      <c r="Y4253" t="str">
        <f t="shared" si="267"/>
        <v>Non-Senior</v>
      </c>
    </row>
    <row r="4254" spans="1:25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264"/>
        <v>13-24 Months</v>
      </c>
      <c r="W4254">
        <f t="shared" si="265"/>
        <v>0</v>
      </c>
      <c r="X4254">
        <f t="shared" si="266"/>
        <v>0</v>
      </c>
      <c r="Y4254" t="str">
        <f t="shared" si="267"/>
        <v>Non-Senior</v>
      </c>
    </row>
    <row r="4255" spans="1:25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264"/>
        <v>13-24 Months</v>
      </c>
      <c r="W4255">
        <f t="shared" si="265"/>
        <v>0</v>
      </c>
      <c r="X4255">
        <f t="shared" si="266"/>
        <v>0</v>
      </c>
      <c r="Y4255" t="str">
        <f t="shared" si="267"/>
        <v>Non-Senior</v>
      </c>
    </row>
    <row r="4256" spans="1:25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264"/>
        <v>25-36 Months</v>
      </c>
      <c r="W4256">
        <f t="shared" si="265"/>
        <v>1</v>
      </c>
      <c r="X4256">
        <f t="shared" si="266"/>
        <v>84.45</v>
      </c>
      <c r="Y4256" t="str">
        <f t="shared" si="267"/>
        <v>Non-Senior</v>
      </c>
    </row>
    <row r="4257" spans="1:25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264"/>
        <v>13-24 Months</v>
      </c>
      <c r="W4257">
        <f t="shared" si="265"/>
        <v>1</v>
      </c>
      <c r="X4257">
        <f t="shared" si="266"/>
        <v>75.3</v>
      </c>
      <c r="Y4257" t="str">
        <f t="shared" si="267"/>
        <v>Non-Senior</v>
      </c>
    </row>
    <row r="4258" spans="1:25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7082</v>
      </c>
      <c r="J4258" t="s">
        <v>7084</v>
      </c>
      <c r="K4258" t="s">
        <v>46</v>
      </c>
      <c r="L4258" t="s">
        <v>7084</v>
      </c>
      <c r="M4258" t="s">
        <v>7084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264"/>
        <v>61-72 Months</v>
      </c>
      <c r="W4258">
        <f t="shared" si="265"/>
        <v>0</v>
      </c>
      <c r="X4258">
        <f t="shared" si="266"/>
        <v>0</v>
      </c>
      <c r="Y4258" t="str">
        <f t="shared" si="267"/>
        <v>Non-Senior</v>
      </c>
    </row>
    <row r="4259" spans="1:25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264"/>
        <v>49-60 Months</v>
      </c>
      <c r="W4259">
        <f t="shared" si="265"/>
        <v>0</v>
      </c>
      <c r="X4259">
        <f t="shared" si="266"/>
        <v>0</v>
      </c>
      <c r="Y4259" t="str">
        <f t="shared" si="267"/>
        <v>Non-Senior</v>
      </c>
    </row>
    <row r="4260" spans="1:25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264"/>
        <v>37-48 Months</v>
      </c>
      <c r="W4260">
        <f t="shared" si="265"/>
        <v>1</v>
      </c>
      <c r="X4260">
        <f t="shared" si="266"/>
        <v>109.55</v>
      </c>
      <c r="Y4260" t="str">
        <f t="shared" si="267"/>
        <v>Senior Citizen</v>
      </c>
    </row>
    <row r="4261" spans="1:25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7082</v>
      </c>
      <c r="J4261" t="s">
        <v>7084</v>
      </c>
      <c r="K4261" t="s">
        <v>46</v>
      </c>
      <c r="L4261" t="s">
        <v>7084</v>
      </c>
      <c r="M4261" t="s">
        <v>7084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264"/>
        <v>0-12 Months</v>
      </c>
      <c r="W4261">
        <f t="shared" si="265"/>
        <v>1</v>
      </c>
      <c r="X4261">
        <f t="shared" si="266"/>
        <v>19.600000000000001</v>
      </c>
      <c r="Y4261" t="str">
        <f t="shared" si="267"/>
        <v>Non-Senior</v>
      </c>
    </row>
    <row r="4262" spans="1:25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264"/>
        <v>37-48 Months</v>
      </c>
      <c r="W4262">
        <f t="shared" si="265"/>
        <v>0</v>
      </c>
      <c r="X4262">
        <f t="shared" si="266"/>
        <v>0</v>
      </c>
      <c r="Y4262" t="str">
        <f t="shared" si="267"/>
        <v>Non-Senior</v>
      </c>
    </row>
    <row r="4263" spans="1:25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264"/>
        <v>49-60 Months</v>
      </c>
      <c r="W4263">
        <f t="shared" si="265"/>
        <v>0</v>
      </c>
      <c r="X4263">
        <f t="shared" si="266"/>
        <v>0</v>
      </c>
      <c r="Y4263" t="str">
        <f t="shared" si="267"/>
        <v>Non-Senior</v>
      </c>
    </row>
    <row r="4264" spans="1:25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264"/>
        <v>0-12 Months</v>
      </c>
      <c r="W4264">
        <f t="shared" si="265"/>
        <v>1</v>
      </c>
      <c r="X4264">
        <f t="shared" si="266"/>
        <v>66.400000000000006</v>
      </c>
      <c r="Y4264" t="str">
        <f t="shared" si="267"/>
        <v>Senior Citizen</v>
      </c>
    </row>
    <row r="4265" spans="1:25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264"/>
        <v>61-72 Months</v>
      </c>
      <c r="W4265">
        <f t="shared" si="265"/>
        <v>0</v>
      </c>
      <c r="X4265">
        <f t="shared" si="266"/>
        <v>0</v>
      </c>
      <c r="Y4265" t="str">
        <f t="shared" si="267"/>
        <v>Non-Senior</v>
      </c>
    </row>
    <row r="4266" spans="1:25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264"/>
        <v>37-48 Months</v>
      </c>
      <c r="W4266">
        <f t="shared" si="265"/>
        <v>0</v>
      </c>
      <c r="X4266">
        <f t="shared" si="266"/>
        <v>0</v>
      </c>
      <c r="Y4266" t="str">
        <f t="shared" si="267"/>
        <v>Senior Citizen</v>
      </c>
    </row>
    <row r="4267" spans="1:25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264"/>
        <v>61-72 Months</v>
      </c>
      <c r="W4267">
        <f t="shared" si="265"/>
        <v>1</v>
      </c>
      <c r="X4267">
        <f t="shared" si="266"/>
        <v>100.05</v>
      </c>
      <c r="Y4267" t="str">
        <f t="shared" si="267"/>
        <v>Senior Citizen</v>
      </c>
    </row>
    <row r="4268" spans="1:25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264"/>
        <v>61-72 Months</v>
      </c>
      <c r="W4268">
        <f t="shared" si="265"/>
        <v>1</v>
      </c>
      <c r="X4268">
        <f t="shared" si="266"/>
        <v>102</v>
      </c>
      <c r="Y4268" t="str">
        <f t="shared" si="267"/>
        <v>Non-Senior</v>
      </c>
    </row>
    <row r="4269" spans="1:25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264"/>
        <v>61-72 Months</v>
      </c>
      <c r="W4269">
        <f t="shared" si="265"/>
        <v>0</v>
      </c>
      <c r="X4269">
        <f t="shared" si="266"/>
        <v>0</v>
      </c>
      <c r="Y4269" t="str">
        <f t="shared" si="267"/>
        <v>Non-Senior</v>
      </c>
    </row>
    <row r="4270" spans="1:25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264"/>
        <v>25-36 Months</v>
      </c>
      <c r="W4270">
        <f t="shared" si="265"/>
        <v>0</v>
      </c>
      <c r="X4270">
        <f t="shared" si="266"/>
        <v>0</v>
      </c>
      <c r="Y4270" t="str">
        <f t="shared" si="267"/>
        <v>Non-Senior</v>
      </c>
    </row>
    <row r="4271" spans="1:25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264"/>
        <v>13-24 Months</v>
      </c>
      <c r="W4271">
        <f t="shared" si="265"/>
        <v>1</v>
      </c>
      <c r="X4271">
        <f t="shared" si="266"/>
        <v>90.2</v>
      </c>
      <c r="Y4271" t="str">
        <f t="shared" si="267"/>
        <v>Non-Senior</v>
      </c>
    </row>
    <row r="4272" spans="1:25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264"/>
        <v>61-72 Months</v>
      </c>
      <c r="W4272">
        <f t="shared" si="265"/>
        <v>0</v>
      </c>
      <c r="X4272">
        <f t="shared" si="266"/>
        <v>0</v>
      </c>
      <c r="Y4272" t="str">
        <f t="shared" si="267"/>
        <v>Non-Senior</v>
      </c>
    </row>
    <row r="4273" spans="1:25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7082</v>
      </c>
      <c r="J4273" t="s">
        <v>7084</v>
      </c>
      <c r="K4273" t="s">
        <v>46</v>
      </c>
      <c r="L4273" t="s">
        <v>7084</v>
      </c>
      <c r="M4273" t="s">
        <v>7084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264"/>
        <v>25-36 Months</v>
      </c>
      <c r="W4273">
        <f t="shared" si="265"/>
        <v>0</v>
      </c>
      <c r="X4273">
        <f t="shared" si="266"/>
        <v>0</v>
      </c>
      <c r="Y4273" t="str">
        <f t="shared" si="267"/>
        <v>Non-Senior</v>
      </c>
    </row>
    <row r="4274" spans="1:25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7082</v>
      </c>
      <c r="J4274" t="s">
        <v>7084</v>
      </c>
      <c r="K4274" t="s">
        <v>46</v>
      </c>
      <c r="L4274" t="s">
        <v>7084</v>
      </c>
      <c r="M4274" t="s">
        <v>7084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264"/>
        <v>49-60 Months</v>
      </c>
      <c r="W4274">
        <f t="shared" si="265"/>
        <v>1</v>
      </c>
      <c r="X4274">
        <f t="shared" si="266"/>
        <v>25.15</v>
      </c>
      <c r="Y4274" t="str">
        <f t="shared" si="267"/>
        <v>Non-Senior</v>
      </c>
    </row>
    <row r="4275" spans="1:25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264"/>
        <v>25-36 Months</v>
      </c>
      <c r="W4275">
        <f t="shared" si="265"/>
        <v>1</v>
      </c>
      <c r="X4275">
        <f t="shared" si="266"/>
        <v>79.849999999999994</v>
      </c>
      <c r="Y4275" t="str">
        <f t="shared" si="267"/>
        <v>Non-Senior</v>
      </c>
    </row>
    <row r="4276" spans="1:25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7082</v>
      </c>
      <c r="J4276" t="s">
        <v>7084</v>
      </c>
      <c r="K4276" t="s">
        <v>46</v>
      </c>
      <c r="L4276" t="s">
        <v>7084</v>
      </c>
      <c r="M4276" t="s">
        <v>7084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264"/>
        <v>37-48 Months</v>
      </c>
      <c r="W4276">
        <f t="shared" si="265"/>
        <v>0</v>
      </c>
      <c r="X4276">
        <f t="shared" si="266"/>
        <v>0</v>
      </c>
      <c r="Y4276" t="str">
        <f t="shared" si="267"/>
        <v>Non-Senior</v>
      </c>
    </row>
    <row r="4277" spans="1:25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7082</v>
      </c>
      <c r="J4277" t="s">
        <v>7084</v>
      </c>
      <c r="K4277" t="s">
        <v>46</v>
      </c>
      <c r="L4277" t="s">
        <v>7084</v>
      </c>
      <c r="M4277" t="s">
        <v>7084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264"/>
        <v>0-12 Months</v>
      </c>
      <c r="W4277">
        <f t="shared" si="265"/>
        <v>0</v>
      </c>
      <c r="X4277">
        <f t="shared" si="266"/>
        <v>0</v>
      </c>
      <c r="Y4277" t="str">
        <f t="shared" si="267"/>
        <v>Non-Senior</v>
      </c>
    </row>
    <row r="4278" spans="1:25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264"/>
        <v>0-12 Months</v>
      </c>
      <c r="W4278">
        <f t="shared" si="265"/>
        <v>1</v>
      </c>
      <c r="X4278">
        <f t="shared" si="266"/>
        <v>49.6</v>
      </c>
      <c r="Y4278" t="str">
        <f t="shared" si="267"/>
        <v>Non-Senior</v>
      </c>
    </row>
    <row r="4279" spans="1:25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7082</v>
      </c>
      <c r="J4279" t="s">
        <v>7084</v>
      </c>
      <c r="K4279" t="s">
        <v>46</v>
      </c>
      <c r="L4279" t="s">
        <v>7084</v>
      </c>
      <c r="M4279" t="s">
        <v>7084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264"/>
        <v>0-12 Months</v>
      </c>
      <c r="W4279">
        <f t="shared" si="265"/>
        <v>0</v>
      </c>
      <c r="X4279">
        <f t="shared" si="266"/>
        <v>0</v>
      </c>
      <c r="Y4279" t="str">
        <f t="shared" si="267"/>
        <v>Non-Senior</v>
      </c>
    </row>
    <row r="4280" spans="1:25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264"/>
        <v>37-48 Months</v>
      </c>
      <c r="W4280">
        <f t="shared" si="265"/>
        <v>0</v>
      </c>
      <c r="X4280">
        <f t="shared" si="266"/>
        <v>0</v>
      </c>
      <c r="Y4280" t="str">
        <f t="shared" si="267"/>
        <v>Non-Senior</v>
      </c>
    </row>
    <row r="4281" spans="1:25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7082</v>
      </c>
      <c r="J4281" t="s">
        <v>7084</v>
      </c>
      <c r="K4281" t="s">
        <v>46</v>
      </c>
      <c r="L4281" t="s">
        <v>7084</v>
      </c>
      <c r="M4281" t="s">
        <v>7084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264"/>
        <v>25-36 Months</v>
      </c>
      <c r="W4281">
        <f t="shared" si="265"/>
        <v>0</v>
      </c>
      <c r="X4281">
        <f t="shared" si="266"/>
        <v>0</v>
      </c>
      <c r="Y4281" t="str">
        <f t="shared" si="267"/>
        <v>Non-Senior</v>
      </c>
    </row>
    <row r="4282" spans="1:25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7082</v>
      </c>
      <c r="J4282" t="s">
        <v>7084</v>
      </c>
      <c r="K4282" t="s">
        <v>46</v>
      </c>
      <c r="L4282" t="s">
        <v>7084</v>
      </c>
      <c r="M4282" t="s">
        <v>7084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264"/>
        <v>61-72 Months</v>
      </c>
      <c r="W4282">
        <f t="shared" si="265"/>
        <v>0</v>
      </c>
      <c r="X4282">
        <f t="shared" si="266"/>
        <v>0</v>
      </c>
      <c r="Y4282" t="str">
        <f t="shared" si="267"/>
        <v>Non-Senior</v>
      </c>
    </row>
    <row r="4283" spans="1:25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264"/>
        <v>49-60 Months</v>
      </c>
      <c r="W4283">
        <f t="shared" si="265"/>
        <v>0</v>
      </c>
      <c r="X4283">
        <f t="shared" si="266"/>
        <v>0</v>
      </c>
      <c r="Y4283" t="str">
        <f t="shared" si="267"/>
        <v>Non-Senior</v>
      </c>
    </row>
    <row r="4284" spans="1:25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264"/>
        <v>49-60 Months</v>
      </c>
      <c r="W4284">
        <f t="shared" si="265"/>
        <v>0</v>
      </c>
      <c r="X4284">
        <f t="shared" si="266"/>
        <v>0</v>
      </c>
      <c r="Y4284" t="str">
        <f t="shared" si="267"/>
        <v>Non-Senior</v>
      </c>
    </row>
    <row r="4285" spans="1:25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264"/>
        <v>0-12 Months</v>
      </c>
      <c r="W4285">
        <f t="shared" si="265"/>
        <v>0</v>
      </c>
      <c r="X4285">
        <f t="shared" si="266"/>
        <v>0</v>
      </c>
      <c r="Y4285" t="str">
        <f t="shared" si="267"/>
        <v>Senior Citizen</v>
      </c>
    </row>
    <row r="4286" spans="1:25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264"/>
        <v>25-36 Months</v>
      </c>
      <c r="W4286">
        <f t="shared" si="265"/>
        <v>0</v>
      </c>
      <c r="X4286">
        <f t="shared" si="266"/>
        <v>0</v>
      </c>
      <c r="Y4286" t="str">
        <f t="shared" si="267"/>
        <v>Senior Citizen</v>
      </c>
    </row>
    <row r="4287" spans="1:25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264"/>
        <v>37-48 Months</v>
      </c>
      <c r="W4287">
        <f t="shared" si="265"/>
        <v>0</v>
      </c>
      <c r="X4287">
        <f t="shared" si="266"/>
        <v>0</v>
      </c>
      <c r="Y4287" t="str">
        <f t="shared" si="267"/>
        <v>Non-Senior</v>
      </c>
    </row>
    <row r="4288" spans="1:25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264"/>
        <v>0-12 Months</v>
      </c>
      <c r="W4288">
        <f t="shared" si="265"/>
        <v>0</v>
      </c>
      <c r="X4288">
        <f t="shared" si="266"/>
        <v>0</v>
      </c>
      <c r="Y4288" t="str">
        <f t="shared" si="267"/>
        <v>Non-Senior</v>
      </c>
    </row>
    <row r="4289" spans="1:25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264"/>
        <v>61-72 Months</v>
      </c>
      <c r="W4289">
        <f t="shared" si="265"/>
        <v>1</v>
      </c>
      <c r="X4289">
        <f t="shared" si="266"/>
        <v>105.95</v>
      </c>
      <c r="Y4289" t="str">
        <f t="shared" si="267"/>
        <v>Senior Citizen</v>
      </c>
    </row>
    <row r="4290" spans="1:25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si="264"/>
        <v>0-12 Months</v>
      </c>
      <c r="W4290">
        <f t="shared" si="265"/>
        <v>1</v>
      </c>
      <c r="X4290">
        <f t="shared" si="266"/>
        <v>91.85</v>
      </c>
      <c r="Y4290" t="str">
        <f t="shared" si="267"/>
        <v>Non-Senior</v>
      </c>
    </row>
    <row r="4291" spans="1:25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7082</v>
      </c>
      <c r="J4291" t="s">
        <v>7084</v>
      </c>
      <c r="K4291" t="s">
        <v>46</v>
      </c>
      <c r="L4291" t="s">
        <v>7084</v>
      </c>
      <c r="M4291" t="s">
        <v>7084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ref="V4291:V4354" si="268">IF(F4291&lt;=12,"0-12 Months",IF(F4291&lt;=24,"13-24 Months",IF(F4291&lt;=36,"25-36 Months",IF(F4291&lt;=48,"37-48 Months",IF(F4291&lt;=60,"49-60 Months","61-72 Months")))))</f>
        <v>49-60 Months</v>
      </c>
      <c r="W4291">
        <f t="shared" ref="W4291:W4354" si="269">IF(U4291="Yes",1,0)</f>
        <v>0</v>
      </c>
      <c r="X4291">
        <f t="shared" ref="X4291:X4354" si="270">IF(U4291="Yes",S4291,0)</f>
        <v>0</v>
      </c>
      <c r="Y4291" t="str">
        <f t="shared" ref="Y4291:Y4354" si="271">IF(C4291=1,"Senior Citizen","Non-Senior")</f>
        <v>Non-Senior</v>
      </c>
    </row>
    <row r="4292" spans="1:25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268"/>
        <v>0-12 Months</v>
      </c>
      <c r="W4292">
        <f t="shared" si="269"/>
        <v>1</v>
      </c>
      <c r="X4292">
        <f t="shared" si="270"/>
        <v>40.1</v>
      </c>
      <c r="Y4292" t="str">
        <f t="shared" si="271"/>
        <v>Non-Senior</v>
      </c>
    </row>
    <row r="4293" spans="1:25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268"/>
        <v>61-72 Months</v>
      </c>
      <c r="W4293">
        <f t="shared" si="269"/>
        <v>0</v>
      </c>
      <c r="X4293">
        <f t="shared" si="270"/>
        <v>0</v>
      </c>
      <c r="Y4293" t="str">
        <f t="shared" si="271"/>
        <v>Non-Senior</v>
      </c>
    </row>
    <row r="4294" spans="1:25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268"/>
        <v>25-36 Months</v>
      </c>
      <c r="W4294">
        <f t="shared" si="269"/>
        <v>1</v>
      </c>
      <c r="X4294">
        <f t="shared" si="270"/>
        <v>73.900000000000006</v>
      </c>
      <c r="Y4294" t="str">
        <f t="shared" si="271"/>
        <v>Senior Citizen</v>
      </c>
    </row>
    <row r="4295" spans="1:25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268"/>
        <v>13-24 Months</v>
      </c>
      <c r="W4295">
        <f t="shared" si="269"/>
        <v>1</v>
      </c>
      <c r="X4295">
        <f t="shared" si="270"/>
        <v>89.8</v>
      </c>
      <c r="Y4295" t="str">
        <f t="shared" si="271"/>
        <v>Non-Senior</v>
      </c>
    </row>
    <row r="4296" spans="1:25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268"/>
        <v>0-12 Months</v>
      </c>
      <c r="W4296">
        <f t="shared" si="269"/>
        <v>0</v>
      </c>
      <c r="X4296">
        <f t="shared" si="270"/>
        <v>0</v>
      </c>
      <c r="Y4296" t="str">
        <f t="shared" si="271"/>
        <v>Non-Senior</v>
      </c>
    </row>
    <row r="4297" spans="1:25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268"/>
        <v>61-72 Months</v>
      </c>
      <c r="W4297">
        <f t="shared" si="269"/>
        <v>0</v>
      </c>
      <c r="X4297">
        <f t="shared" si="270"/>
        <v>0</v>
      </c>
      <c r="Y4297" t="str">
        <f t="shared" si="271"/>
        <v>Senior Citizen</v>
      </c>
    </row>
    <row r="4298" spans="1:25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268"/>
        <v>25-36 Months</v>
      </c>
      <c r="W4298">
        <f t="shared" si="269"/>
        <v>1</v>
      </c>
      <c r="X4298">
        <f t="shared" si="270"/>
        <v>72.25</v>
      </c>
      <c r="Y4298" t="str">
        <f t="shared" si="271"/>
        <v>Non-Senior</v>
      </c>
    </row>
    <row r="4299" spans="1:25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268"/>
        <v>37-48 Months</v>
      </c>
      <c r="W4299">
        <f t="shared" si="269"/>
        <v>0</v>
      </c>
      <c r="X4299">
        <f t="shared" si="270"/>
        <v>0</v>
      </c>
      <c r="Y4299" t="str">
        <f t="shared" si="271"/>
        <v>Non-Senior</v>
      </c>
    </row>
    <row r="4300" spans="1:25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268"/>
        <v>0-12 Months</v>
      </c>
      <c r="W4300">
        <f t="shared" si="269"/>
        <v>0</v>
      </c>
      <c r="X4300">
        <f t="shared" si="270"/>
        <v>0</v>
      </c>
      <c r="Y4300" t="str">
        <f t="shared" si="271"/>
        <v>Non-Senior</v>
      </c>
    </row>
    <row r="4301" spans="1:25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268"/>
        <v>25-36 Months</v>
      </c>
      <c r="W4301">
        <f t="shared" si="269"/>
        <v>0</v>
      </c>
      <c r="X4301">
        <f t="shared" si="270"/>
        <v>0</v>
      </c>
      <c r="Y4301" t="str">
        <f t="shared" si="271"/>
        <v>Senior Citizen</v>
      </c>
    </row>
    <row r="4302" spans="1:25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7082</v>
      </c>
      <c r="J4302" t="s">
        <v>7084</v>
      </c>
      <c r="K4302" t="s">
        <v>46</v>
      </c>
      <c r="L4302" t="s">
        <v>7084</v>
      </c>
      <c r="M4302" t="s">
        <v>7084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268"/>
        <v>13-24 Months</v>
      </c>
      <c r="W4302">
        <f t="shared" si="269"/>
        <v>0</v>
      </c>
      <c r="X4302">
        <f t="shared" si="270"/>
        <v>0</v>
      </c>
      <c r="Y4302" t="str">
        <f t="shared" si="271"/>
        <v>Non-Senior</v>
      </c>
    </row>
    <row r="4303" spans="1:25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7082</v>
      </c>
      <c r="J4303" t="s">
        <v>7084</v>
      </c>
      <c r="K4303" t="s">
        <v>46</v>
      </c>
      <c r="L4303" t="s">
        <v>7084</v>
      </c>
      <c r="M4303" t="s">
        <v>7084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268"/>
        <v>61-72 Months</v>
      </c>
      <c r="W4303">
        <f t="shared" si="269"/>
        <v>0</v>
      </c>
      <c r="X4303">
        <f t="shared" si="270"/>
        <v>0</v>
      </c>
      <c r="Y4303" t="str">
        <f t="shared" si="271"/>
        <v>Non-Senior</v>
      </c>
    </row>
    <row r="4304" spans="1:25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268"/>
        <v>49-60 Months</v>
      </c>
      <c r="W4304">
        <f t="shared" si="269"/>
        <v>0</v>
      </c>
      <c r="X4304">
        <f t="shared" si="270"/>
        <v>0</v>
      </c>
      <c r="Y4304" t="str">
        <f t="shared" si="271"/>
        <v>Non-Senior</v>
      </c>
    </row>
    <row r="4305" spans="1:25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7082</v>
      </c>
      <c r="J4305" t="s">
        <v>7084</v>
      </c>
      <c r="K4305" t="s">
        <v>46</v>
      </c>
      <c r="L4305" t="s">
        <v>7084</v>
      </c>
      <c r="M4305" t="s">
        <v>7084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268"/>
        <v>37-48 Months</v>
      </c>
      <c r="W4305">
        <f t="shared" si="269"/>
        <v>0</v>
      </c>
      <c r="X4305">
        <f t="shared" si="270"/>
        <v>0</v>
      </c>
      <c r="Y4305" t="str">
        <f t="shared" si="271"/>
        <v>Non-Senior</v>
      </c>
    </row>
    <row r="4306" spans="1:25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7082</v>
      </c>
      <c r="J4306" t="s">
        <v>7084</v>
      </c>
      <c r="K4306" t="s">
        <v>46</v>
      </c>
      <c r="L4306" t="s">
        <v>7084</v>
      </c>
      <c r="M4306" t="s">
        <v>7084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268"/>
        <v>49-60 Months</v>
      </c>
      <c r="W4306">
        <f t="shared" si="269"/>
        <v>0</v>
      </c>
      <c r="X4306">
        <f t="shared" si="270"/>
        <v>0</v>
      </c>
      <c r="Y4306" t="str">
        <f t="shared" si="271"/>
        <v>Non-Senior</v>
      </c>
    </row>
    <row r="4307" spans="1:25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7082</v>
      </c>
      <c r="J4307" t="s">
        <v>7084</v>
      </c>
      <c r="K4307" t="s">
        <v>46</v>
      </c>
      <c r="L4307" t="s">
        <v>7084</v>
      </c>
      <c r="M4307" t="s">
        <v>7084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268"/>
        <v>25-36 Months</v>
      </c>
      <c r="W4307">
        <f t="shared" si="269"/>
        <v>0</v>
      </c>
      <c r="X4307">
        <f t="shared" si="270"/>
        <v>0</v>
      </c>
      <c r="Y4307" t="str">
        <f t="shared" si="271"/>
        <v>Non-Senior</v>
      </c>
    </row>
    <row r="4308" spans="1:25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268"/>
        <v>37-48 Months</v>
      </c>
      <c r="W4308">
        <f t="shared" si="269"/>
        <v>0</v>
      </c>
      <c r="X4308">
        <f t="shared" si="270"/>
        <v>0</v>
      </c>
      <c r="Y4308" t="str">
        <f t="shared" si="271"/>
        <v>Non-Senior</v>
      </c>
    </row>
    <row r="4309" spans="1:25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268"/>
        <v>37-48 Months</v>
      </c>
      <c r="W4309">
        <f t="shared" si="269"/>
        <v>1</v>
      </c>
      <c r="X4309">
        <f t="shared" si="270"/>
        <v>96.55</v>
      </c>
      <c r="Y4309" t="str">
        <f t="shared" si="271"/>
        <v>Senior Citizen</v>
      </c>
    </row>
    <row r="4310" spans="1:25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268"/>
        <v>25-36 Months</v>
      </c>
      <c r="W4310">
        <f t="shared" si="269"/>
        <v>0</v>
      </c>
      <c r="X4310">
        <f t="shared" si="270"/>
        <v>0</v>
      </c>
      <c r="Y4310" t="str">
        <f t="shared" si="271"/>
        <v>Non-Senior</v>
      </c>
    </row>
    <row r="4311" spans="1:25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268"/>
        <v>13-24 Months</v>
      </c>
      <c r="W4311">
        <f t="shared" si="269"/>
        <v>0</v>
      </c>
      <c r="X4311">
        <f t="shared" si="270"/>
        <v>0</v>
      </c>
      <c r="Y4311" t="str">
        <f t="shared" si="271"/>
        <v>Non-Senior</v>
      </c>
    </row>
    <row r="4312" spans="1:25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268"/>
        <v>61-72 Months</v>
      </c>
      <c r="W4312">
        <f t="shared" si="269"/>
        <v>0</v>
      </c>
      <c r="X4312">
        <f t="shared" si="270"/>
        <v>0</v>
      </c>
      <c r="Y4312" t="str">
        <f t="shared" si="271"/>
        <v>Non-Senior</v>
      </c>
    </row>
    <row r="4313" spans="1:25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268"/>
        <v>0-12 Months</v>
      </c>
      <c r="W4313">
        <f t="shared" si="269"/>
        <v>1</v>
      </c>
      <c r="X4313">
        <f t="shared" si="270"/>
        <v>40.1</v>
      </c>
      <c r="Y4313" t="str">
        <f t="shared" si="271"/>
        <v>Non-Senior</v>
      </c>
    </row>
    <row r="4314" spans="1:25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268"/>
        <v>25-36 Months</v>
      </c>
      <c r="W4314">
        <f t="shared" si="269"/>
        <v>0</v>
      </c>
      <c r="X4314">
        <f t="shared" si="270"/>
        <v>0</v>
      </c>
      <c r="Y4314" t="str">
        <f t="shared" si="271"/>
        <v>Non-Senior</v>
      </c>
    </row>
    <row r="4315" spans="1:25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268"/>
        <v>13-24 Months</v>
      </c>
      <c r="W4315">
        <f t="shared" si="269"/>
        <v>0</v>
      </c>
      <c r="X4315">
        <f t="shared" si="270"/>
        <v>0</v>
      </c>
      <c r="Y4315" t="str">
        <f t="shared" si="271"/>
        <v>Non-Senior</v>
      </c>
    </row>
    <row r="4316" spans="1:25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268"/>
        <v>13-24 Months</v>
      </c>
      <c r="W4316">
        <f t="shared" si="269"/>
        <v>1</v>
      </c>
      <c r="X4316">
        <f t="shared" si="270"/>
        <v>101.25</v>
      </c>
      <c r="Y4316" t="str">
        <f t="shared" si="271"/>
        <v>Senior Citizen</v>
      </c>
    </row>
    <row r="4317" spans="1:25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268"/>
        <v>0-12 Months</v>
      </c>
      <c r="W4317">
        <f t="shared" si="269"/>
        <v>1</v>
      </c>
      <c r="X4317">
        <f t="shared" si="270"/>
        <v>79.55</v>
      </c>
      <c r="Y4317" t="str">
        <f t="shared" si="271"/>
        <v>Non-Senior</v>
      </c>
    </row>
    <row r="4318" spans="1:25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268"/>
        <v>61-72 Months</v>
      </c>
      <c r="W4318">
        <f t="shared" si="269"/>
        <v>0</v>
      </c>
      <c r="X4318">
        <f t="shared" si="270"/>
        <v>0</v>
      </c>
      <c r="Y4318" t="str">
        <f t="shared" si="271"/>
        <v>Non-Senior</v>
      </c>
    </row>
    <row r="4319" spans="1:25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7082</v>
      </c>
      <c r="J4319" t="s">
        <v>7084</v>
      </c>
      <c r="K4319" t="s">
        <v>46</v>
      </c>
      <c r="L4319" t="s">
        <v>7084</v>
      </c>
      <c r="M4319" t="s">
        <v>7084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268"/>
        <v>0-12 Months</v>
      </c>
      <c r="W4319">
        <f t="shared" si="269"/>
        <v>0</v>
      </c>
      <c r="X4319">
        <f t="shared" si="270"/>
        <v>0</v>
      </c>
      <c r="Y4319" t="str">
        <f t="shared" si="271"/>
        <v>Non-Senior</v>
      </c>
    </row>
    <row r="4320" spans="1:25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268"/>
        <v>49-60 Months</v>
      </c>
      <c r="W4320">
        <f t="shared" si="269"/>
        <v>0</v>
      </c>
      <c r="X4320">
        <f t="shared" si="270"/>
        <v>0</v>
      </c>
      <c r="Y4320" t="str">
        <f t="shared" si="271"/>
        <v>Non-Senior</v>
      </c>
    </row>
    <row r="4321" spans="1:25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268"/>
        <v>61-72 Months</v>
      </c>
      <c r="W4321">
        <f t="shared" si="269"/>
        <v>0</v>
      </c>
      <c r="X4321">
        <f t="shared" si="270"/>
        <v>0</v>
      </c>
      <c r="Y4321" t="str">
        <f t="shared" si="271"/>
        <v>Non-Senior</v>
      </c>
    </row>
    <row r="4322" spans="1:25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7082</v>
      </c>
      <c r="J4322" t="s">
        <v>7084</v>
      </c>
      <c r="K4322" t="s">
        <v>46</v>
      </c>
      <c r="L4322" t="s">
        <v>7084</v>
      </c>
      <c r="M4322" t="s">
        <v>7084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268"/>
        <v>61-72 Months</v>
      </c>
      <c r="W4322">
        <f t="shared" si="269"/>
        <v>0</v>
      </c>
      <c r="X4322">
        <f t="shared" si="270"/>
        <v>0</v>
      </c>
      <c r="Y4322" t="str">
        <f t="shared" si="271"/>
        <v>Non-Senior</v>
      </c>
    </row>
    <row r="4323" spans="1:25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268"/>
        <v>13-24 Months</v>
      </c>
      <c r="W4323">
        <f t="shared" si="269"/>
        <v>0</v>
      </c>
      <c r="X4323">
        <f t="shared" si="270"/>
        <v>0</v>
      </c>
      <c r="Y4323" t="str">
        <f t="shared" si="271"/>
        <v>Senior Citizen</v>
      </c>
    </row>
    <row r="4324" spans="1:25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268"/>
        <v>0-12 Months</v>
      </c>
      <c r="W4324">
        <f t="shared" si="269"/>
        <v>0</v>
      </c>
      <c r="X4324">
        <f t="shared" si="270"/>
        <v>0</v>
      </c>
      <c r="Y4324" t="str">
        <f t="shared" si="271"/>
        <v>Non-Senior</v>
      </c>
    </row>
    <row r="4325" spans="1:25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268"/>
        <v>25-36 Months</v>
      </c>
      <c r="W4325">
        <f t="shared" si="269"/>
        <v>1</v>
      </c>
      <c r="X4325">
        <f t="shared" si="270"/>
        <v>84.05</v>
      </c>
      <c r="Y4325" t="str">
        <f t="shared" si="271"/>
        <v>Non-Senior</v>
      </c>
    </row>
    <row r="4326" spans="1:25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268"/>
        <v>37-48 Months</v>
      </c>
      <c r="W4326">
        <f t="shared" si="269"/>
        <v>0</v>
      </c>
      <c r="X4326">
        <f t="shared" si="270"/>
        <v>0</v>
      </c>
      <c r="Y4326" t="str">
        <f t="shared" si="271"/>
        <v>Non-Senior</v>
      </c>
    </row>
    <row r="4327" spans="1:25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7082</v>
      </c>
      <c r="J4327" t="s">
        <v>7084</v>
      </c>
      <c r="K4327" t="s">
        <v>46</v>
      </c>
      <c r="L4327" t="s">
        <v>7084</v>
      </c>
      <c r="M4327" t="s">
        <v>7084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268"/>
        <v>0-12 Months</v>
      </c>
      <c r="W4327">
        <f t="shared" si="269"/>
        <v>0</v>
      </c>
      <c r="X4327">
        <f t="shared" si="270"/>
        <v>0</v>
      </c>
      <c r="Y4327" t="str">
        <f t="shared" si="271"/>
        <v>Non-Senior</v>
      </c>
    </row>
    <row r="4328" spans="1:25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268"/>
        <v>0-12 Months</v>
      </c>
      <c r="W4328">
        <f t="shared" si="269"/>
        <v>1</v>
      </c>
      <c r="X4328">
        <f t="shared" si="270"/>
        <v>89.1</v>
      </c>
      <c r="Y4328" t="str">
        <f t="shared" si="271"/>
        <v>Non-Senior</v>
      </c>
    </row>
    <row r="4329" spans="1:25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268"/>
        <v>0-12 Months</v>
      </c>
      <c r="W4329">
        <f t="shared" si="269"/>
        <v>0</v>
      </c>
      <c r="X4329">
        <f t="shared" si="270"/>
        <v>0</v>
      </c>
      <c r="Y4329" t="str">
        <f t="shared" si="271"/>
        <v>Non-Senior</v>
      </c>
    </row>
    <row r="4330" spans="1:25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268"/>
        <v>13-24 Months</v>
      </c>
      <c r="W4330">
        <f t="shared" si="269"/>
        <v>0</v>
      </c>
      <c r="X4330">
        <f t="shared" si="270"/>
        <v>0</v>
      </c>
      <c r="Y4330" t="str">
        <f t="shared" si="271"/>
        <v>Non-Senior</v>
      </c>
    </row>
    <row r="4331" spans="1:25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268"/>
        <v>13-24 Months</v>
      </c>
      <c r="W4331">
        <f t="shared" si="269"/>
        <v>1</v>
      </c>
      <c r="X4331">
        <f t="shared" si="270"/>
        <v>94.4</v>
      </c>
      <c r="Y4331" t="str">
        <f t="shared" si="271"/>
        <v>Non-Senior</v>
      </c>
    </row>
    <row r="4332" spans="1:25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268"/>
        <v>13-24 Months</v>
      </c>
      <c r="W4332">
        <f t="shared" si="269"/>
        <v>1</v>
      </c>
      <c r="X4332">
        <f t="shared" si="270"/>
        <v>78.25</v>
      </c>
      <c r="Y4332" t="str">
        <f t="shared" si="271"/>
        <v>Non-Senior</v>
      </c>
    </row>
    <row r="4333" spans="1:25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7082</v>
      </c>
      <c r="J4333" t="s">
        <v>7084</v>
      </c>
      <c r="K4333" t="s">
        <v>46</v>
      </c>
      <c r="L4333" t="s">
        <v>7084</v>
      </c>
      <c r="M4333" t="s">
        <v>7084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268"/>
        <v>61-72 Months</v>
      </c>
      <c r="W4333">
        <f t="shared" si="269"/>
        <v>0</v>
      </c>
      <c r="X4333">
        <f t="shared" si="270"/>
        <v>0</v>
      </c>
      <c r="Y4333" t="str">
        <f t="shared" si="271"/>
        <v>Non-Senior</v>
      </c>
    </row>
    <row r="4334" spans="1:25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268"/>
        <v>49-60 Months</v>
      </c>
      <c r="W4334">
        <f t="shared" si="269"/>
        <v>0</v>
      </c>
      <c r="X4334">
        <f t="shared" si="270"/>
        <v>0</v>
      </c>
      <c r="Y4334" t="str">
        <f t="shared" si="271"/>
        <v>Non-Senior</v>
      </c>
    </row>
    <row r="4335" spans="1:25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268"/>
        <v>25-36 Months</v>
      </c>
      <c r="W4335">
        <f t="shared" si="269"/>
        <v>0</v>
      </c>
      <c r="X4335">
        <f t="shared" si="270"/>
        <v>0</v>
      </c>
      <c r="Y4335" t="str">
        <f t="shared" si="271"/>
        <v>Non-Senior</v>
      </c>
    </row>
    <row r="4336" spans="1:25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268"/>
        <v>0-12 Months</v>
      </c>
      <c r="W4336">
        <f t="shared" si="269"/>
        <v>0</v>
      </c>
      <c r="X4336">
        <f t="shared" si="270"/>
        <v>0</v>
      </c>
      <c r="Y4336" t="str">
        <f t="shared" si="271"/>
        <v>Non-Senior</v>
      </c>
    </row>
    <row r="4337" spans="1:25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268"/>
        <v>13-24 Months</v>
      </c>
      <c r="W4337">
        <f t="shared" si="269"/>
        <v>0</v>
      </c>
      <c r="X4337">
        <f t="shared" si="270"/>
        <v>0</v>
      </c>
      <c r="Y4337" t="str">
        <f t="shared" si="271"/>
        <v>Senior Citizen</v>
      </c>
    </row>
    <row r="4338" spans="1:25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268"/>
        <v>61-72 Months</v>
      </c>
      <c r="W4338">
        <f t="shared" si="269"/>
        <v>0</v>
      </c>
      <c r="X4338">
        <f t="shared" si="270"/>
        <v>0</v>
      </c>
      <c r="Y4338" t="str">
        <f t="shared" si="271"/>
        <v>Senior Citizen</v>
      </c>
    </row>
    <row r="4339" spans="1:25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268"/>
        <v>61-72 Months</v>
      </c>
      <c r="W4339">
        <f t="shared" si="269"/>
        <v>0</v>
      </c>
      <c r="X4339">
        <f t="shared" si="270"/>
        <v>0</v>
      </c>
      <c r="Y4339" t="str">
        <f t="shared" si="271"/>
        <v>Senior Citizen</v>
      </c>
    </row>
    <row r="4340" spans="1:25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268"/>
        <v>0-12 Months</v>
      </c>
      <c r="W4340">
        <f t="shared" si="269"/>
        <v>0</v>
      </c>
      <c r="X4340">
        <f t="shared" si="270"/>
        <v>0</v>
      </c>
      <c r="Y4340" t="str">
        <f t="shared" si="271"/>
        <v>Senior Citizen</v>
      </c>
    </row>
    <row r="4341" spans="1:25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268"/>
        <v>37-48 Months</v>
      </c>
      <c r="W4341">
        <f t="shared" si="269"/>
        <v>0</v>
      </c>
      <c r="X4341">
        <f t="shared" si="270"/>
        <v>0</v>
      </c>
      <c r="Y4341" t="str">
        <f t="shared" si="271"/>
        <v>Non-Senior</v>
      </c>
    </row>
    <row r="4342" spans="1:25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268"/>
        <v>0-12 Months</v>
      </c>
      <c r="W4342">
        <f t="shared" si="269"/>
        <v>0</v>
      </c>
      <c r="X4342">
        <f t="shared" si="270"/>
        <v>0</v>
      </c>
      <c r="Y4342" t="str">
        <f t="shared" si="271"/>
        <v>Non-Senior</v>
      </c>
    </row>
    <row r="4343" spans="1:25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268"/>
        <v>0-12 Months</v>
      </c>
      <c r="W4343">
        <f t="shared" si="269"/>
        <v>1</v>
      </c>
      <c r="X4343">
        <f t="shared" si="270"/>
        <v>44.15</v>
      </c>
      <c r="Y4343" t="str">
        <f t="shared" si="271"/>
        <v>Senior Citizen</v>
      </c>
    </row>
    <row r="4344" spans="1:25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268"/>
        <v>49-60 Months</v>
      </c>
      <c r="W4344">
        <f t="shared" si="269"/>
        <v>0</v>
      </c>
      <c r="X4344">
        <f t="shared" si="270"/>
        <v>0</v>
      </c>
      <c r="Y4344" t="str">
        <f t="shared" si="271"/>
        <v>Senior Citizen</v>
      </c>
    </row>
    <row r="4345" spans="1:25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268"/>
        <v>0-12 Months</v>
      </c>
      <c r="W4345">
        <f t="shared" si="269"/>
        <v>1</v>
      </c>
      <c r="X4345">
        <f t="shared" si="270"/>
        <v>75.75</v>
      </c>
      <c r="Y4345" t="str">
        <f t="shared" si="271"/>
        <v>Senior Citizen</v>
      </c>
    </row>
    <row r="4346" spans="1:25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268"/>
        <v>61-72 Months</v>
      </c>
      <c r="W4346">
        <f t="shared" si="269"/>
        <v>0</v>
      </c>
      <c r="X4346">
        <f t="shared" si="270"/>
        <v>0</v>
      </c>
      <c r="Y4346" t="str">
        <f t="shared" si="271"/>
        <v>Non-Senior</v>
      </c>
    </row>
    <row r="4347" spans="1:25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7082</v>
      </c>
      <c r="J4347" t="s">
        <v>7084</v>
      </c>
      <c r="K4347" t="s">
        <v>46</v>
      </c>
      <c r="L4347" t="s">
        <v>7084</v>
      </c>
      <c r="M4347" t="s">
        <v>7084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268"/>
        <v>61-72 Months</v>
      </c>
      <c r="W4347">
        <f t="shared" si="269"/>
        <v>0</v>
      </c>
      <c r="X4347">
        <f t="shared" si="270"/>
        <v>0</v>
      </c>
      <c r="Y4347" t="str">
        <f t="shared" si="271"/>
        <v>Non-Senior</v>
      </c>
    </row>
    <row r="4348" spans="1:25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268"/>
        <v>37-48 Months</v>
      </c>
      <c r="W4348">
        <f t="shared" si="269"/>
        <v>0</v>
      </c>
      <c r="X4348">
        <f t="shared" si="270"/>
        <v>0</v>
      </c>
      <c r="Y4348" t="str">
        <f t="shared" si="271"/>
        <v>Non-Senior</v>
      </c>
    </row>
    <row r="4349" spans="1:25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268"/>
        <v>49-60 Months</v>
      </c>
      <c r="W4349">
        <f t="shared" si="269"/>
        <v>0</v>
      </c>
      <c r="X4349">
        <f t="shared" si="270"/>
        <v>0</v>
      </c>
      <c r="Y4349" t="str">
        <f t="shared" si="271"/>
        <v>Non-Senior</v>
      </c>
    </row>
    <row r="4350" spans="1:25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7082</v>
      </c>
      <c r="J4350" t="s">
        <v>7084</v>
      </c>
      <c r="K4350" t="s">
        <v>46</v>
      </c>
      <c r="L4350" t="s">
        <v>7084</v>
      </c>
      <c r="M4350" t="s">
        <v>7084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268"/>
        <v>0-12 Months</v>
      </c>
      <c r="W4350">
        <f t="shared" si="269"/>
        <v>1</v>
      </c>
      <c r="X4350">
        <f t="shared" si="270"/>
        <v>19.100000000000001</v>
      </c>
      <c r="Y4350" t="str">
        <f t="shared" si="271"/>
        <v>Non-Senior</v>
      </c>
    </row>
    <row r="4351" spans="1:25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268"/>
        <v>0-12 Months</v>
      </c>
      <c r="W4351">
        <f t="shared" si="269"/>
        <v>1</v>
      </c>
      <c r="X4351">
        <f t="shared" si="270"/>
        <v>80.3</v>
      </c>
      <c r="Y4351" t="str">
        <f t="shared" si="271"/>
        <v>Senior Citizen</v>
      </c>
    </row>
    <row r="4352" spans="1:25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268"/>
        <v>25-36 Months</v>
      </c>
      <c r="W4352">
        <f t="shared" si="269"/>
        <v>0</v>
      </c>
      <c r="X4352">
        <f t="shared" si="270"/>
        <v>0</v>
      </c>
      <c r="Y4352" t="str">
        <f t="shared" si="271"/>
        <v>Non-Senior</v>
      </c>
    </row>
    <row r="4353" spans="1:25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7082</v>
      </c>
      <c r="J4353" t="s">
        <v>7084</v>
      </c>
      <c r="K4353" t="s">
        <v>46</v>
      </c>
      <c r="L4353" t="s">
        <v>7084</v>
      </c>
      <c r="M4353" t="s">
        <v>7084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268"/>
        <v>0-12 Months</v>
      </c>
      <c r="W4353">
        <f t="shared" si="269"/>
        <v>0</v>
      </c>
      <c r="X4353">
        <f t="shared" si="270"/>
        <v>0</v>
      </c>
      <c r="Y4353" t="str">
        <f t="shared" si="271"/>
        <v>Non-Senior</v>
      </c>
    </row>
    <row r="4354" spans="1:25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si="268"/>
        <v>61-72 Months</v>
      </c>
      <c r="W4354">
        <f t="shared" si="269"/>
        <v>0</v>
      </c>
      <c r="X4354">
        <f t="shared" si="270"/>
        <v>0</v>
      </c>
      <c r="Y4354" t="str">
        <f t="shared" si="271"/>
        <v>Non-Senior</v>
      </c>
    </row>
    <row r="4355" spans="1:25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ref="V4355:V4418" si="272">IF(F4355&lt;=12,"0-12 Months",IF(F4355&lt;=24,"13-24 Months",IF(F4355&lt;=36,"25-36 Months",IF(F4355&lt;=48,"37-48 Months",IF(F4355&lt;=60,"49-60 Months","61-72 Months")))))</f>
        <v>0-12 Months</v>
      </c>
      <c r="W4355">
        <f t="shared" ref="W4355:W4418" si="273">IF(U4355="Yes",1,0)</f>
        <v>1</v>
      </c>
      <c r="X4355">
        <f t="shared" ref="X4355:X4418" si="274">IF(U4355="Yes",S4355,0)</f>
        <v>74.900000000000006</v>
      </c>
      <c r="Y4355" t="str">
        <f t="shared" ref="Y4355:Y4418" si="275">IF(C4355=1,"Senior Citizen","Non-Senior")</f>
        <v>Non-Senior</v>
      </c>
    </row>
    <row r="4356" spans="1:25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7082</v>
      </c>
      <c r="J4356" t="s">
        <v>7084</v>
      </c>
      <c r="K4356" t="s">
        <v>46</v>
      </c>
      <c r="L4356" t="s">
        <v>7084</v>
      </c>
      <c r="M4356" t="s">
        <v>7084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272"/>
        <v>49-60 Months</v>
      </c>
      <c r="W4356">
        <f t="shared" si="273"/>
        <v>0</v>
      </c>
      <c r="X4356">
        <f t="shared" si="274"/>
        <v>0</v>
      </c>
      <c r="Y4356" t="str">
        <f t="shared" si="275"/>
        <v>Non-Senior</v>
      </c>
    </row>
    <row r="4357" spans="1:25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272"/>
        <v>0-12 Months</v>
      </c>
      <c r="W4357">
        <f t="shared" si="273"/>
        <v>0</v>
      </c>
      <c r="X4357">
        <f t="shared" si="274"/>
        <v>0</v>
      </c>
      <c r="Y4357" t="str">
        <f t="shared" si="275"/>
        <v>Non-Senior</v>
      </c>
    </row>
    <row r="4358" spans="1:25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7082</v>
      </c>
      <c r="J4358" t="s">
        <v>7084</v>
      </c>
      <c r="K4358" t="s">
        <v>46</v>
      </c>
      <c r="L4358" t="s">
        <v>7084</v>
      </c>
      <c r="M4358" t="s">
        <v>7084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272"/>
        <v>0-12 Months</v>
      </c>
      <c r="W4358">
        <f t="shared" si="273"/>
        <v>0</v>
      </c>
      <c r="X4358">
        <f t="shared" si="274"/>
        <v>0</v>
      </c>
      <c r="Y4358" t="str">
        <f t="shared" si="275"/>
        <v>Non-Senior</v>
      </c>
    </row>
    <row r="4359" spans="1:25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7082</v>
      </c>
      <c r="J4359" t="s">
        <v>7084</v>
      </c>
      <c r="K4359" t="s">
        <v>46</v>
      </c>
      <c r="L4359" t="s">
        <v>7084</v>
      </c>
      <c r="M4359" t="s">
        <v>7084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272"/>
        <v>13-24 Months</v>
      </c>
      <c r="W4359">
        <f t="shared" si="273"/>
        <v>0</v>
      </c>
      <c r="X4359">
        <f t="shared" si="274"/>
        <v>0</v>
      </c>
      <c r="Y4359" t="str">
        <f t="shared" si="275"/>
        <v>Non-Senior</v>
      </c>
    </row>
    <row r="4360" spans="1:25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272"/>
        <v>13-24 Months</v>
      </c>
      <c r="W4360">
        <f t="shared" si="273"/>
        <v>0</v>
      </c>
      <c r="X4360">
        <f t="shared" si="274"/>
        <v>0</v>
      </c>
      <c r="Y4360" t="str">
        <f t="shared" si="275"/>
        <v>Non-Senior</v>
      </c>
    </row>
    <row r="4361" spans="1:25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272"/>
        <v>13-24 Months</v>
      </c>
      <c r="W4361">
        <f t="shared" si="273"/>
        <v>0</v>
      </c>
      <c r="X4361">
        <f t="shared" si="274"/>
        <v>0</v>
      </c>
      <c r="Y4361" t="str">
        <f t="shared" si="275"/>
        <v>Non-Senior</v>
      </c>
    </row>
    <row r="4362" spans="1:25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272"/>
        <v>25-36 Months</v>
      </c>
      <c r="W4362">
        <f t="shared" si="273"/>
        <v>0</v>
      </c>
      <c r="X4362">
        <f t="shared" si="274"/>
        <v>0</v>
      </c>
      <c r="Y4362" t="str">
        <f t="shared" si="275"/>
        <v>Senior Citizen</v>
      </c>
    </row>
    <row r="4363" spans="1:25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272"/>
        <v>25-36 Months</v>
      </c>
      <c r="W4363">
        <f t="shared" si="273"/>
        <v>0</v>
      </c>
      <c r="X4363">
        <f t="shared" si="274"/>
        <v>0</v>
      </c>
      <c r="Y4363" t="str">
        <f t="shared" si="275"/>
        <v>Non-Senior</v>
      </c>
    </row>
    <row r="4364" spans="1:25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7082</v>
      </c>
      <c r="J4364" t="s">
        <v>7084</v>
      </c>
      <c r="K4364" t="s">
        <v>46</v>
      </c>
      <c r="L4364" t="s">
        <v>7084</v>
      </c>
      <c r="M4364" t="s">
        <v>7084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272"/>
        <v>49-60 Months</v>
      </c>
      <c r="W4364">
        <f t="shared" si="273"/>
        <v>0</v>
      </c>
      <c r="X4364">
        <f t="shared" si="274"/>
        <v>0</v>
      </c>
      <c r="Y4364" t="str">
        <f t="shared" si="275"/>
        <v>Non-Senior</v>
      </c>
    </row>
    <row r="4365" spans="1:25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272"/>
        <v>49-60 Months</v>
      </c>
      <c r="W4365">
        <f t="shared" si="273"/>
        <v>0</v>
      </c>
      <c r="X4365">
        <f t="shared" si="274"/>
        <v>0</v>
      </c>
      <c r="Y4365" t="str">
        <f t="shared" si="275"/>
        <v>Non-Senior</v>
      </c>
    </row>
    <row r="4366" spans="1:25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272"/>
        <v>61-72 Months</v>
      </c>
      <c r="W4366">
        <f t="shared" si="273"/>
        <v>0</v>
      </c>
      <c r="X4366">
        <f t="shared" si="274"/>
        <v>0</v>
      </c>
      <c r="Y4366" t="str">
        <f t="shared" si="275"/>
        <v>Non-Senior</v>
      </c>
    </row>
    <row r="4367" spans="1:25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272"/>
        <v>61-72 Months</v>
      </c>
      <c r="W4367">
        <f t="shared" si="273"/>
        <v>0</v>
      </c>
      <c r="X4367">
        <f t="shared" si="274"/>
        <v>0</v>
      </c>
      <c r="Y4367" t="str">
        <f t="shared" si="275"/>
        <v>Non-Senior</v>
      </c>
    </row>
    <row r="4368" spans="1:25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272"/>
        <v>13-24 Months</v>
      </c>
      <c r="W4368">
        <f t="shared" si="273"/>
        <v>0</v>
      </c>
      <c r="X4368">
        <f t="shared" si="274"/>
        <v>0</v>
      </c>
      <c r="Y4368" t="str">
        <f t="shared" si="275"/>
        <v>Senior Citizen</v>
      </c>
    </row>
    <row r="4369" spans="1:25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272"/>
        <v>25-36 Months</v>
      </c>
      <c r="W4369">
        <f t="shared" si="273"/>
        <v>0</v>
      </c>
      <c r="X4369">
        <f t="shared" si="274"/>
        <v>0</v>
      </c>
      <c r="Y4369" t="str">
        <f t="shared" si="275"/>
        <v>Senior Citizen</v>
      </c>
    </row>
    <row r="4370" spans="1:25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272"/>
        <v>0-12 Months</v>
      </c>
      <c r="W4370">
        <f t="shared" si="273"/>
        <v>1</v>
      </c>
      <c r="X4370">
        <f t="shared" si="274"/>
        <v>80.849999999999994</v>
      </c>
      <c r="Y4370" t="str">
        <f t="shared" si="275"/>
        <v>Senior Citizen</v>
      </c>
    </row>
    <row r="4371" spans="1:25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272"/>
        <v>0-12 Months</v>
      </c>
      <c r="W4371">
        <f t="shared" si="273"/>
        <v>1</v>
      </c>
      <c r="X4371">
        <f t="shared" si="274"/>
        <v>24.75</v>
      </c>
      <c r="Y4371" t="str">
        <f t="shared" si="275"/>
        <v>Non-Senior</v>
      </c>
    </row>
    <row r="4372" spans="1:25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272"/>
        <v>13-24 Months</v>
      </c>
      <c r="W4372">
        <f t="shared" si="273"/>
        <v>0</v>
      </c>
      <c r="X4372">
        <f t="shared" si="274"/>
        <v>0</v>
      </c>
      <c r="Y4372" t="str">
        <f t="shared" si="275"/>
        <v>Non-Senior</v>
      </c>
    </row>
    <row r="4373" spans="1:25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7082</v>
      </c>
      <c r="J4373" t="s">
        <v>7084</v>
      </c>
      <c r="K4373" t="s">
        <v>46</v>
      </c>
      <c r="L4373" t="s">
        <v>7084</v>
      </c>
      <c r="M4373" t="s">
        <v>7084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272"/>
        <v>13-24 Months</v>
      </c>
      <c r="W4373">
        <f t="shared" si="273"/>
        <v>0</v>
      </c>
      <c r="X4373">
        <f t="shared" si="274"/>
        <v>0</v>
      </c>
      <c r="Y4373" t="str">
        <f t="shared" si="275"/>
        <v>Non-Senior</v>
      </c>
    </row>
    <row r="4374" spans="1:25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7082</v>
      </c>
      <c r="J4374" t="s">
        <v>7084</v>
      </c>
      <c r="K4374" t="s">
        <v>46</v>
      </c>
      <c r="L4374" t="s">
        <v>7084</v>
      </c>
      <c r="M4374" t="s">
        <v>7084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272"/>
        <v>0-12 Months</v>
      </c>
      <c r="W4374">
        <f t="shared" si="273"/>
        <v>0</v>
      </c>
      <c r="X4374">
        <f t="shared" si="274"/>
        <v>0</v>
      </c>
      <c r="Y4374" t="str">
        <f t="shared" si="275"/>
        <v>Non-Senior</v>
      </c>
    </row>
    <row r="4375" spans="1:25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7082</v>
      </c>
      <c r="J4375" t="s">
        <v>7084</v>
      </c>
      <c r="K4375" t="s">
        <v>46</v>
      </c>
      <c r="L4375" t="s">
        <v>7084</v>
      </c>
      <c r="M4375" t="s">
        <v>7084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272"/>
        <v>25-36 Months</v>
      </c>
      <c r="W4375">
        <f t="shared" si="273"/>
        <v>0</v>
      </c>
      <c r="X4375">
        <f t="shared" si="274"/>
        <v>0</v>
      </c>
      <c r="Y4375" t="str">
        <f t="shared" si="275"/>
        <v>Non-Senior</v>
      </c>
    </row>
    <row r="4376" spans="1:25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7082</v>
      </c>
      <c r="J4376" t="s">
        <v>7084</v>
      </c>
      <c r="K4376" t="s">
        <v>46</v>
      </c>
      <c r="L4376" t="s">
        <v>7084</v>
      </c>
      <c r="M4376" t="s">
        <v>7084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272"/>
        <v>61-72 Months</v>
      </c>
      <c r="W4376">
        <f t="shared" si="273"/>
        <v>0</v>
      </c>
      <c r="X4376">
        <f t="shared" si="274"/>
        <v>0</v>
      </c>
      <c r="Y4376" t="str">
        <f t="shared" si="275"/>
        <v>Non-Senior</v>
      </c>
    </row>
    <row r="4377" spans="1:25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272"/>
        <v>61-72 Months</v>
      </c>
      <c r="W4377">
        <f t="shared" si="273"/>
        <v>0</v>
      </c>
      <c r="X4377">
        <f t="shared" si="274"/>
        <v>0</v>
      </c>
      <c r="Y4377" t="str">
        <f t="shared" si="275"/>
        <v>Non-Senior</v>
      </c>
    </row>
    <row r="4378" spans="1:25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272"/>
        <v>37-48 Months</v>
      </c>
      <c r="W4378">
        <f t="shared" si="273"/>
        <v>0</v>
      </c>
      <c r="X4378">
        <f t="shared" si="274"/>
        <v>0</v>
      </c>
      <c r="Y4378" t="str">
        <f t="shared" si="275"/>
        <v>Non-Senior</v>
      </c>
    </row>
    <row r="4379" spans="1:25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272"/>
        <v>13-24 Months</v>
      </c>
      <c r="W4379">
        <f t="shared" si="273"/>
        <v>0</v>
      </c>
      <c r="X4379">
        <f t="shared" si="274"/>
        <v>0</v>
      </c>
      <c r="Y4379" t="str">
        <f t="shared" si="275"/>
        <v>Non-Senior</v>
      </c>
    </row>
    <row r="4380" spans="1:25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7082</v>
      </c>
      <c r="J4380" t="s">
        <v>7084</v>
      </c>
      <c r="K4380" t="s">
        <v>46</v>
      </c>
      <c r="L4380" t="s">
        <v>7084</v>
      </c>
      <c r="M4380" t="s">
        <v>7084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272"/>
        <v>61-72 Months</v>
      </c>
      <c r="W4380">
        <f t="shared" si="273"/>
        <v>0</v>
      </c>
      <c r="X4380">
        <f t="shared" si="274"/>
        <v>0</v>
      </c>
      <c r="Y4380" t="str">
        <f t="shared" si="275"/>
        <v>Non-Senior</v>
      </c>
    </row>
    <row r="4381" spans="1:25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272"/>
        <v>61-72 Months</v>
      </c>
      <c r="W4381">
        <f t="shared" si="273"/>
        <v>0</v>
      </c>
      <c r="X4381">
        <f t="shared" si="274"/>
        <v>0</v>
      </c>
      <c r="Y4381" t="str">
        <f t="shared" si="275"/>
        <v>Non-Senior</v>
      </c>
    </row>
    <row r="4382" spans="1:25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7082</v>
      </c>
      <c r="J4382" t="s">
        <v>7084</v>
      </c>
      <c r="K4382" t="s">
        <v>46</v>
      </c>
      <c r="L4382" t="s">
        <v>7084</v>
      </c>
      <c r="M4382" t="s">
        <v>7084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 t="str">
        <f t="shared" si="272"/>
        <v>0-12 Months</v>
      </c>
      <c r="W4382">
        <f t="shared" si="273"/>
        <v>0</v>
      </c>
      <c r="X4382">
        <f t="shared" si="274"/>
        <v>0</v>
      </c>
      <c r="Y4382" t="str">
        <f t="shared" si="275"/>
        <v>Non-Senior</v>
      </c>
    </row>
    <row r="4383" spans="1:25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272"/>
        <v>49-60 Months</v>
      </c>
      <c r="W4383">
        <f t="shared" si="273"/>
        <v>1</v>
      </c>
      <c r="X4383">
        <f t="shared" si="274"/>
        <v>90.85</v>
      </c>
      <c r="Y4383" t="str">
        <f t="shared" si="275"/>
        <v>Senior Citizen</v>
      </c>
    </row>
    <row r="4384" spans="1:25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272"/>
        <v>0-12 Months</v>
      </c>
      <c r="W4384">
        <f t="shared" si="273"/>
        <v>0</v>
      </c>
      <c r="X4384">
        <f t="shared" si="274"/>
        <v>0</v>
      </c>
      <c r="Y4384" t="str">
        <f t="shared" si="275"/>
        <v>Senior Citizen</v>
      </c>
    </row>
    <row r="4385" spans="1:25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272"/>
        <v>61-72 Months</v>
      </c>
      <c r="W4385">
        <f t="shared" si="273"/>
        <v>0</v>
      </c>
      <c r="X4385">
        <f t="shared" si="274"/>
        <v>0</v>
      </c>
      <c r="Y4385" t="str">
        <f t="shared" si="275"/>
        <v>Non-Senior</v>
      </c>
    </row>
    <row r="4386" spans="1:25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272"/>
        <v>0-12 Months</v>
      </c>
      <c r="W4386">
        <f t="shared" si="273"/>
        <v>1</v>
      </c>
      <c r="X4386">
        <f t="shared" si="274"/>
        <v>79.7</v>
      </c>
      <c r="Y4386" t="str">
        <f t="shared" si="275"/>
        <v>Non-Senior</v>
      </c>
    </row>
    <row r="4387" spans="1:25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7082</v>
      </c>
      <c r="J4387" t="s">
        <v>7084</v>
      </c>
      <c r="K4387" t="s">
        <v>46</v>
      </c>
      <c r="L4387" t="s">
        <v>7084</v>
      </c>
      <c r="M4387" t="s">
        <v>7084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272"/>
        <v>13-24 Months</v>
      </c>
      <c r="W4387">
        <f t="shared" si="273"/>
        <v>0</v>
      </c>
      <c r="X4387">
        <f t="shared" si="274"/>
        <v>0</v>
      </c>
      <c r="Y4387" t="str">
        <f t="shared" si="275"/>
        <v>Non-Senior</v>
      </c>
    </row>
    <row r="4388" spans="1:25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272"/>
        <v>49-60 Months</v>
      </c>
      <c r="W4388">
        <f t="shared" si="273"/>
        <v>1</v>
      </c>
      <c r="X4388">
        <f t="shared" si="274"/>
        <v>57.55</v>
      </c>
      <c r="Y4388" t="str">
        <f t="shared" si="275"/>
        <v>Non-Senior</v>
      </c>
    </row>
    <row r="4389" spans="1:25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7082</v>
      </c>
      <c r="J4389" t="s">
        <v>7084</v>
      </c>
      <c r="K4389" t="s">
        <v>46</v>
      </c>
      <c r="L4389" t="s">
        <v>7084</v>
      </c>
      <c r="M4389" t="s">
        <v>7084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272"/>
        <v>0-12 Months</v>
      </c>
      <c r="W4389">
        <f t="shared" si="273"/>
        <v>0</v>
      </c>
      <c r="X4389">
        <f t="shared" si="274"/>
        <v>0</v>
      </c>
      <c r="Y4389" t="str">
        <f t="shared" si="275"/>
        <v>Non-Senior</v>
      </c>
    </row>
    <row r="4390" spans="1:25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7082</v>
      </c>
      <c r="J4390" t="s">
        <v>7084</v>
      </c>
      <c r="K4390" t="s">
        <v>46</v>
      </c>
      <c r="L4390" t="s">
        <v>7084</v>
      </c>
      <c r="M4390" t="s">
        <v>7084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272"/>
        <v>13-24 Months</v>
      </c>
      <c r="W4390">
        <f t="shared" si="273"/>
        <v>0</v>
      </c>
      <c r="X4390">
        <f t="shared" si="274"/>
        <v>0</v>
      </c>
      <c r="Y4390" t="str">
        <f t="shared" si="275"/>
        <v>Non-Senior</v>
      </c>
    </row>
    <row r="4391" spans="1:25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272"/>
        <v>25-36 Months</v>
      </c>
      <c r="W4391">
        <f t="shared" si="273"/>
        <v>0</v>
      </c>
      <c r="X4391">
        <f t="shared" si="274"/>
        <v>0</v>
      </c>
      <c r="Y4391" t="str">
        <f t="shared" si="275"/>
        <v>Non-Senior</v>
      </c>
    </row>
    <row r="4392" spans="1:25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272"/>
        <v>13-24 Months</v>
      </c>
      <c r="W4392">
        <f t="shared" si="273"/>
        <v>0</v>
      </c>
      <c r="X4392">
        <f t="shared" si="274"/>
        <v>0</v>
      </c>
      <c r="Y4392" t="str">
        <f t="shared" si="275"/>
        <v>Non-Senior</v>
      </c>
    </row>
    <row r="4393" spans="1:25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272"/>
        <v>0-12 Months</v>
      </c>
      <c r="W4393">
        <f t="shared" si="273"/>
        <v>0</v>
      </c>
      <c r="X4393">
        <f t="shared" si="274"/>
        <v>0</v>
      </c>
      <c r="Y4393" t="str">
        <f t="shared" si="275"/>
        <v>Non-Senior</v>
      </c>
    </row>
    <row r="4394" spans="1:25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7082</v>
      </c>
      <c r="J4394" t="s">
        <v>7084</v>
      </c>
      <c r="K4394" t="s">
        <v>46</v>
      </c>
      <c r="L4394" t="s">
        <v>7084</v>
      </c>
      <c r="M4394" t="s">
        <v>7084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272"/>
        <v>0-12 Months</v>
      </c>
      <c r="W4394">
        <f t="shared" si="273"/>
        <v>0</v>
      </c>
      <c r="X4394">
        <f t="shared" si="274"/>
        <v>0</v>
      </c>
      <c r="Y4394" t="str">
        <f t="shared" si="275"/>
        <v>Non-Senior</v>
      </c>
    </row>
    <row r="4395" spans="1:25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272"/>
        <v>13-24 Months</v>
      </c>
      <c r="W4395">
        <f t="shared" si="273"/>
        <v>1</v>
      </c>
      <c r="X4395">
        <f t="shared" si="274"/>
        <v>86.5</v>
      </c>
      <c r="Y4395" t="str">
        <f t="shared" si="275"/>
        <v>Non-Senior</v>
      </c>
    </row>
    <row r="4396" spans="1:25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272"/>
        <v>13-24 Months</v>
      </c>
      <c r="W4396">
        <f t="shared" si="273"/>
        <v>0</v>
      </c>
      <c r="X4396">
        <f t="shared" si="274"/>
        <v>0</v>
      </c>
      <c r="Y4396" t="str">
        <f t="shared" si="275"/>
        <v>Non-Senior</v>
      </c>
    </row>
    <row r="4397" spans="1:25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272"/>
        <v>61-72 Months</v>
      </c>
      <c r="W4397">
        <f t="shared" si="273"/>
        <v>1</v>
      </c>
      <c r="X4397">
        <f t="shared" si="274"/>
        <v>103.95</v>
      </c>
      <c r="Y4397" t="str">
        <f t="shared" si="275"/>
        <v>Non-Senior</v>
      </c>
    </row>
    <row r="4398" spans="1:25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272"/>
        <v>0-12 Months</v>
      </c>
      <c r="W4398">
        <f t="shared" si="273"/>
        <v>1</v>
      </c>
      <c r="X4398">
        <f t="shared" si="274"/>
        <v>25.1</v>
      </c>
      <c r="Y4398" t="str">
        <f t="shared" si="275"/>
        <v>Senior Citizen</v>
      </c>
    </row>
    <row r="4399" spans="1:25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272"/>
        <v>61-72 Months</v>
      </c>
      <c r="W4399">
        <f t="shared" si="273"/>
        <v>0</v>
      </c>
      <c r="X4399">
        <f t="shared" si="274"/>
        <v>0</v>
      </c>
      <c r="Y4399" t="str">
        <f t="shared" si="275"/>
        <v>Non-Senior</v>
      </c>
    </row>
    <row r="4400" spans="1:25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272"/>
        <v>61-72 Months</v>
      </c>
      <c r="W4400">
        <f t="shared" si="273"/>
        <v>0</v>
      </c>
      <c r="X4400">
        <f t="shared" si="274"/>
        <v>0</v>
      </c>
      <c r="Y4400" t="str">
        <f t="shared" si="275"/>
        <v>Non-Senior</v>
      </c>
    </row>
    <row r="4401" spans="1:25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272"/>
        <v>61-72 Months</v>
      </c>
      <c r="W4401">
        <f t="shared" si="273"/>
        <v>0</v>
      </c>
      <c r="X4401">
        <f t="shared" si="274"/>
        <v>0</v>
      </c>
      <c r="Y4401" t="str">
        <f t="shared" si="275"/>
        <v>Non-Senior</v>
      </c>
    </row>
    <row r="4402" spans="1:25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272"/>
        <v>0-12 Months</v>
      </c>
      <c r="W4402">
        <f t="shared" si="273"/>
        <v>0</v>
      </c>
      <c r="X4402">
        <f t="shared" si="274"/>
        <v>0</v>
      </c>
      <c r="Y4402" t="str">
        <f t="shared" si="275"/>
        <v>Non-Senior</v>
      </c>
    </row>
    <row r="4403" spans="1:25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272"/>
        <v>37-48 Months</v>
      </c>
      <c r="W4403">
        <f t="shared" si="273"/>
        <v>0</v>
      </c>
      <c r="X4403">
        <f t="shared" si="274"/>
        <v>0</v>
      </c>
      <c r="Y4403" t="str">
        <f t="shared" si="275"/>
        <v>Senior Citizen</v>
      </c>
    </row>
    <row r="4404" spans="1:25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272"/>
        <v>37-48 Months</v>
      </c>
      <c r="W4404">
        <f t="shared" si="273"/>
        <v>1</v>
      </c>
      <c r="X4404">
        <f t="shared" si="274"/>
        <v>48.95</v>
      </c>
      <c r="Y4404" t="str">
        <f t="shared" si="275"/>
        <v>Non-Senior</v>
      </c>
    </row>
    <row r="4405" spans="1:25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272"/>
        <v>25-36 Months</v>
      </c>
      <c r="W4405">
        <f t="shared" si="273"/>
        <v>0</v>
      </c>
      <c r="X4405">
        <f t="shared" si="274"/>
        <v>0</v>
      </c>
      <c r="Y4405" t="str">
        <f t="shared" si="275"/>
        <v>Non-Senior</v>
      </c>
    </row>
    <row r="4406" spans="1:25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272"/>
        <v>13-24 Months</v>
      </c>
      <c r="W4406">
        <f t="shared" si="273"/>
        <v>0</v>
      </c>
      <c r="X4406">
        <f t="shared" si="274"/>
        <v>0</v>
      </c>
      <c r="Y4406" t="str">
        <f t="shared" si="275"/>
        <v>Non-Senior</v>
      </c>
    </row>
    <row r="4407" spans="1:25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272"/>
        <v>0-12 Months</v>
      </c>
      <c r="W4407">
        <f t="shared" si="273"/>
        <v>1</v>
      </c>
      <c r="X4407">
        <f t="shared" si="274"/>
        <v>83.55</v>
      </c>
      <c r="Y4407" t="str">
        <f t="shared" si="275"/>
        <v>Non-Senior</v>
      </c>
    </row>
    <row r="4408" spans="1:25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272"/>
        <v>37-48 Months</v>
      </c>
      <c r="W4408">
        <f t="shared" si="273"/>
        <v>0</v>
      </c>
      <c r="X4408">
        <f t="shared" si="274"/>
        <v>0</v>
      </c>
      <c r="Y4408" t="str">
        <f t="shared" si="275"/>
        <v>Non-Senior</v>
      </c>
    </row>
    <row r="4409" spans="1:25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7082</v>
      </c>
      <c r="J4409" t="s">
        <v>7084</v>
      </c>
      <c r="K4409" t="s">
        <v>46</v>
      </c>
      <c r="L4409" t="s">
        <v>7084</v>
      </c>
      <c r="M4409" t="s">
        <v>7084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272"/>
        <v>0-12 Months</v>
      </c>
      <c r="W4409">
        <f t="shared" si="273"/>
        <v>0</v>
      </c>
      <c r="X4409">
        <f t="shared" si="274"/>
        <v>0</v>
      </c>
      <c r="Y4409" t="str">
        <f t="shared" si="275"/>
        <v>Non-Senior</v>
      </c>
    </row>
    <row r="4410" spans="1:25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272"/>
        <v>61-72 Months</v>
      </c>
      <c r="W4410">
        <f t="shared" si="273"/>
        <v>0</v>
      </c>
      <c r="X4410">
        <f t="shared" si="274"/>
        <v>0</v>
      </c>
      <c r="Y4410" t="str">
        <f t="shared" si="275"/>
        <v>Non-Senior</v>
      </c>
    </row>
    <row r="4411" spans="1:25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272"/>
        <v>61-72 Months</v>
      </c>
      <c r="W4411">
        <f t="shared" si="273"/>
        <v>0</v>
      </c>
      <c r="X4411">
        <f t="shared" si="274"/>
        <v>0</v>
      </c>
      <c r="Y4411" t="str">
        <f t="shared" si="275"/>
        <v>Senior Citizen</v>
      </c>
    </row>
    <row r="4412" spans="1:25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272"/>
        <v>13-24 Months</v>
      </c>
      <c r="W4412">
        <f t="shared" si="273"/>
        <v>0</v>
      </c>
      <c r="X4412">
        <f t="shared" si="274"/>
        <v>0</v>
      </c>
      <c r="Y4412" t="str">
        <f t="shared" si="275"/>
        <v>Non-Senior</v>
      </c>
    </row>
    <row r="4413" spans="1:25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272"/>
        <v>49-60 Months</v>
      </c>
      <c r="W4413">
        <f t="shared" si="273"/>
        <v>0</v>
      </c>
      <c r="X4413">
        <f t="shared" si="274"/>
        <v>0</v>
      </c>
      <c r="Y4413" t="str">
        <f t="shared" si="275"/>
        <v>Non-Senior</v>
      </c>
    </row>
    <row r="4414" spans="1:25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7082</v>
      </c>
      <c r="J4414" t="s">
        <v>7084</v>
      </c>
      <c r="K4414" t="s">
        <v>46</v>
      </c>
      <c r="L4414" t="s">
        <v>7084</v>
      </c>
      <c r="M4414" t="s">
        <v>7084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272"/>
        <v>61-72 Months</v>
      </c>
      <c r="W4414">
        <f t="shared" si="273"/>
        <v>0</v>
      </c>
      <c r="X4414">
        <f t="shared" si="274"/>
        <v>0</v>
      </c>
      <c r="Y4414" t="str">
        <f t="shared" si="275"/>
        <v>Non-Senior</v>
      </c>
    </row>
    <row r="4415" spans="1:25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272"/>
        <v>13-24 Months</v>
      </c>
      <c r="W4415">
        <f t="shared" si="273"/>
        <v>1</v>
      </c>
      <c r="X4415">
        <f t="shared" si="274"/>
        <v>89.15</v>
      </c>
      <c r="Y4415" t="str">
        <f t="shared" si="275"/>
        <v>Senior Citizen</v>
      </c>
    </row>
    <row r="4416" spans="1:25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7082</v>
      </c>
      <c r="J4416" t="s">
        <v>7084</v>
      </c>
      <c r="K4416" t="s">
        <v>46</v>
      </c>
      <c r="L4416" t="s">
        <v>7084</v>
      </c>
      <c r="M4416" t="s">
        <v>7084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272"/>
        <v>13-24 Months</v>
      </c>
      <c r="W4416">
        <f t="shared" si="273"/>
        <v>0</v>
      </c>
      <c r="X4416">
        <f t="shared" si="274"/>
        <v>0</v>
      </c>
      <c r="Y4416" t="str">
        <f t="shared" si="275"/>
        <v>Non-Senior</v>
      </c>
    </row>
    <row r="4417" spans="1:25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272"/>
        <v>61-72 Months</v>
      </c>
      <c r="W4417">
        <f t="shared" si="273"/>
        <v>0</v>
      </c>
      <c r="X4417">
        <f t="shared" si="274"/>
        <v>0</v>
      </c>
      <c r="Y4417" t="str">
        <f t="shared" si="275"/>
        <v>Non-Senior</v>
      </c>
    </row>
    <row r="4418" spans="1:25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si="272"/>
        <v>13-24 Months</v>
      </c>
      <c r="W4418">
        <f t="shared" si="273"/>
        <v>0</v>
      </c>
      <c r="X4418">
        <f t="shared" si="274"/>
        <v>0</v>
      </c>
      <c r="Y4418" t="str">
        <f t="shared" si="275"/>
        <v>Non-Senior</v>
      </c>
    </row>
    <row r="4419" spans="1:25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ref="V4419:V4482" si="276">IF(F4419&lt;=12,"0-12 Months",IF(F4419&lt;=24,"13-24 Months",IF(F4419&lt;=36,"25-36 Months",IF(F4419&lt;=48,"37-48 Months",IF(F4419&lt;=60,"49-60 Months","61-72 Months")))))</f>
        <v>0-12 Months</v>
      </c>
      <c r="W4419">
        <f t="shared" ref="W4419:W4482" si="277">IF(U4419="Yes",1,0)</f>
        <v>1</v>
      </c>
      <c r="X4419">
        <f t="shared" ref="X4419:X4482" si="278">IF(U4419="Yes",S4419,0)</f>
        <v>70.45</v>
      </c>
      <c r="Y4419" t="str">
        <f t="shared" ref="Y4419:Y4482" si="279">IF(C4419=1,"Senior Citizen","Non-Senior")</f>
        <v>Non-Senior</v>
      </c>
    </row>
    <row r="4420" spans="1:25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276"/>
        <v>49-60 Months</v>
      </c>
      <c r="W4420">
        <f t="shared" si="277"/>
        <v>1</v>
      </c>
      <c r="X4420">
        <f t="shared" si="278"/>
        <v>60.3</v>
      </c>
      <c r="Y4420" t="str">
        <f t="shared" si="279"/>
        <v>Non-Senior</v>
      </c>
    </row>
    <row r="4421" spans="1:25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7082</v>
      </c>
      <c r="J4421" t="s">
        <v>7084</v>
      </c>
      <c r="K4421" t="s">
        <v>46</v>
      </c>
      <c r="L4421" t="s">
        <v>7084</v>
      </c>
      <c r="M4421" t="s">
        <v>7084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276"/>
        <v>0-12 Months</v>
      </c>
      <c r="W4421">
        <f t="shared" si="277"/>
        <v>0</v>
      </c>
      <c r="X4421">
        <f t="shared" si="278"/>
        <v>0</v>
      </c>
      <c r="Y4421" t="str">
        <f t="shared" si="279"/>
        <v>Non-Senior</v>
      </c>
    </row>
    <row r="4422" spans="1:25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276"/>
        <v>25-36 Months</v>
      </c>
      <c r="W4422">
        <f t="shared" si="277"/>
        <v>0</v>
      </c>
      <c r="X4422">
        <f t="shared" si="278"/>
        <v>0</v>
      </c>
      <c r="Y4422" t="str">
        <f t="shared" si="279"/>
        <v>Non-Senior</v>
      </c>
    </row>
    <row r="4423" spans="1:25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276"/>
        <v>25-36 Months</v>
      </c>
      <c r="W4423">
        <f t="shared" si="277"/>
        <v>0</v>
      </c>
      <c r="X4423">
        <f t="shared" si="278"/>
        <v>0</v>
      </c>
      <c r="Y4423" t="str">
        <f t="shared" si="279"/>
        <v>Non-Senior</v>
      </c>
    </row>
    <row r="4424" spans="1:25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276"/>
        <v>25-36 Months</v>
      </c>
      <c r="W4424">
        <f t="shared" si="277"/>
        <v>0</v>
      </c>
      <c r="X4424">
        <f t="shared" si="278"/>
        <v>0</v>
      </c>
      <c r="Y4424" t="str">
        <f t="shared" si="279"/>
        <v>Non-Senior</v>
      </c>
    </row>
    <row r="4425" spans="1:25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276"/>
        <v>25-36 Months</v>
      </c>
      <c r="W4425">
        <f t="shared" si="277"/>
        <v>0</v>
      </c>
      <c r="X4425">
        <f t="shared" si="278"/>
        <v>0</v>
      </c>
      <c r="Y4425" t="str">
        <f t="shared" si="279"/>
        <v>Non-Senior</v>
      </c>
    </row>
    <row r="4426" spans="1:25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276"/>
        <v>0-12 Months</v>
      </c>
      <c r="W4426">
        <f t="shared" si="277"/>
        <v>1</v>
      </c>
      <c r="X4426">
        <f t="shared" si="278"/>
        <v>24.75</v>
      </c>
      <c r="Y4426" t="str">
        <f t="shared" si="279"/>
        <v>Non-Senior</v>
      </c>
    </row>
    <row r="4427" spans="1:25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276"/>
        <v>13-24 Months</v>
      </c>
      <c r="W4427">
        <f t="shared" si="277"/>
        <v>0</v>
      </c>
      <c r="X4427">
        <f t="shared" si="278"/>
        <v>0</v>
      </c>
      <c r="Y4427" t="str">
        <f t="shared" si="279"/>
        <v>Non-Senior</v>
      </c>
    </row>
    <row r="4428" spans="1:25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276"/>
        <v>13-24 Months</v>
      </c>
      <c r="W4428">
        <f t="shared" si="277"/>
        <v>0</v>
      </c>
      <c r="X4428">
        <f t="shared" si="278"/>
        <v>0</v>
      </c>
      <c r="Y4428" t="str">
        <f t="shared" si="279"/>
        <v>Non-Senior</v>
      </c>
    </row>
    <row r="4429" spans="1:25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276"/>
        <v>49-60 Months</v>
      </c>
      <c r="W4429">
        <f t="shared" si="277"/>
        <v>0</v>
      </c>
      <c r="X4429">
        <f t="shared" si="278"/>
        <v>0</v>
      </c>
      <c r="Y4429" t="str">
        <f t="shared" si="279"/>
        <v>Non-Senior</v>
      </c>
    </row>
    <row r="4430" spans="1:25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276"/>
        <v>13-24 Months</v>
      </c>
      <c r="W4430">
        <f t="shared" si="277"/>
        <v>1</v>
      </c>
      <c r="X4430">
        <f t="shared" si="278"/>
        <v>103.3</v>
      </c>
      <c r="Y4430" t="str">
        <f t="shared" si="279"/>
        <v>Non-Senior</v>
      </c>
    </row>
    <row r="4431" spans="1:25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276"/>
        <v>61-72 Months</v>
      </c>
      <c r="W4431">
        <f t="shared" si="277"/>
        <v>0</v>
      </c>
      <c r="X4431">
        <f t="shared" si="278"/>
        <v>0</v>
      </c>
      <c r="Y4431" t="str">
        <f t="shared" si="279"/>
        <v>Non-Senior</v>
      </c>
    </row>
    <row r="4432" spans="1:25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276"/>
        <v>25-36 Months</v>
      </c>
      <c r="W4432">
        <f t="shared" si="277"/>
        <v>0</v>
      </c>
      <c r="X4432">
        <f t="shared" si="278"/>
        <v>0</v>
      </c>
      <c r="Y4432" t="str">
        <f t="shared" si="279"/>
        <v>Non-Senior</v>
      </c>
    </row>
    <row r="4433" spans="1:25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276"/>
        <v>13-24 Months</v>
      </c>
      <c r="W4433">
        <f t="shared" si="277"/>
        <v>0</v>
      </c>
      <c r="X4433">
        <f t="shared" si="278"/>
        <v>0</v>
      </c>
      <c r="Y4433" t="str">
        <f t="shared" si="279"/>
        <v>Non-Senior</v>
      </c>
    </row>
    <row r="4434" spans="1:25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276"/>
        <v>37-48 Months</v>
      </c>
      <c r="W4434">
        <f t="shared" si="277"/>
        <v>0</v>
      </c>
      <c r="X4434">
        <f t="shared" si="278"/>
        <v>0</v>
      </c>
      <c r="Y4434" t="str">
        <f t="shared" si="279"/>
        <v>Non-Senior</v>
      </c>
    </row>
    <row r="4435" spans="1:25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276"/>
        <v>0-12 Months</v>
      </c>
      <c r="W4435">
        <f t="shared" si="277"/>
        <v>0</v>
      </c>
      <c r="X4435">
        <f t="shared" si="278"/>
        <v>0</v>
      </c>
      <c r="Y4435" t="str">
        <f t="shared" si="279"/>
        <v>Non-Senior</v>
      </c>
    </row>
    <row r="4436" spans="1:25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276"/>
        <v>13-24 Months</v>
      </c>
      <c r="W4436">
        <f t="shared" si="277"/>
        <v>0</v>
      </c>
      <c r="X4436">
        <f t="shared" si="278"/>
        <v>0</v>
      </c>
      <c r="Y4436" t="str">
        <f t="shared" si="279"/>
        <v>Non-Senior</v>
      </c>
    </row>
    <row r="4437" spans="1:25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276"/>
        <v>13-24 Months</v>
      </c>
      <c r="W4437">
        <f t="shared" si="277"/>
        <v>0</v>
      </c>
      <c r="X4437">
        <f t="shared" si="278"/>
        <v>0</v>
      </c>
      <c r="Y4437" t="str">
        <f t="shared" si="279"/>
        <v>Non-Senior</v>
      </c>
    </row>
    <row r="4438" spans="1:25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276"/>
        <v>13-24 Months</v>
      </c>
      <c r="W4438">
        <f t="shared" si="277"/>
        <v>0</v>
      </c>
      <c r="X4438">
        <f t="shared" si="278"/>
        <v>0</v>
      </c>
      <c r="Y4438" t="str">
        <f t="shared" si="279"/>
        <v>Non-Senior</v>
      </c>
    </row>
    <row r="4439" spans="1:25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276"/>
        <v>49-60 Months</v>
      </c>
      <c r="W4439">
        <f t="shared" si="277"/>
        <v>0</v>
      </c>
      <c r="X4439">
        <f t="shared" si="278"/>
        <v>0</v>
      </c>
      <c r="Y4439" t="str">
        <f t="shared" si="279"/>
        <v>Non-Senior</v>
      </c>
    </row>
    <row r="4440" spans="1:25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7082</v>
      </c>
      <c r="J4440" t="s">
        <v>7084</v>
      </c>
      <c r="K4440" t="s">
        <v>46</v>
      </c>
      <c r="L4440" t="s">
        <v>7084</v>
      </c>
      <c r="M4440" t="s">
        <v>7084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276"/>
        <v>49-60 Months</v>
      </c>
      <c r="W4440">
        <f t="shared" si="277"/>
        <v>0</v>
      </c>
      <c r="X4440">
        <f t="shared" si="278"/>
        <v>0</v>
      </c>
      <c r="Y4440" t="str">
        <f t="shared" si="279"/>
        <v>Non-Senior</v>
      </c>
    </row>
    <row r="4441" spans="1:25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7082</v>
      </c>
      <c r="J4441" t="s">
        <v>7084</v>
      </c>
      <c r="K4441" t="s">
        <v>46</v>
      </c>
      <c r="L4441" t="s">
        <v>7084</v>
      </c>
      <c r="M4441" t="s">
        <v>7084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276"/>
        <v>25-36 Months</v>
      </c>
      <c r="W4441">
        <f t="shared" si="277"/>
        <v>0</v>
      </c>
      <c r="X4441">
        <f t="shared" si="278"/>
        <v>0</v>
      </c>
      <c r="Y4441" t="str">
        <f t="shared" si="279"/>
        <v>Non-Senior</v>
      </c>
    </row>
    <row r="4442" spans="1:25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276"/>
        <v>37-48 Months</v>
      </c>
      <c r="W4442">
        <f t="shared" si="277"/>
        <v>0</v>
      </c>
      <c r="X4442">
        <f t="shared" si="278"/>
        <v>0</v>
      </c>
      <c r="Y4442" t="str">
        <f t="shared" si="279"/>
        <v>Non-Senior</v>
      </c>
    </row>
    <row r="4443" spans="1:25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7082</v>
      </c>
      <c r="J4443" t="s">
        <v>7084</v>
      </c>
      <c r="K4443" t="s">
        <v>46</v>
      </c>
      <c r="L4443" t="s">
        <v>7084</v>
      </c>
      <c r="M4443" t="s">
        <v>7084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276"/>
        <v>37-48 Months</v>
      </c>
      <c r="W4443">
        <f t="shared" si="277"/>
        <v>0</v>
      </c>
      <c r="X4443">
        <f t="shared" si="278"/>
        <v>0</v>
      </c>
      <c r="Y4443" t="str">
        <f t="shared" si="279"/>
        <v>Non-Senior</v>
      </c>
    </row>
    <row r="4444" spans="1:25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276"/>
        <v>0-12 Months</v>
      </c>
      <c r="W4444">
        <f t="shared" si="277"/>
        <v>1</v>
      </c>
      <c r="X4444">
        <f t="shared" si="278"/>
        <v>78.5</v>
      </c>
      <c r="Y4444" t="str">
        <f t="shared" si="279"/>
        <v>Non-Senior</v>
      </c>
    </row>
    <row r="4445" spans="1:25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276"/>
        <v>0-12 Months</v>
      </c>
      <c r="W4445">
        <f t="shared" si="277"/>
        <v>0</v>
      </c>
      <c r="X4445">
        <f t="shared" si="278"/>
        <v>0</v>
      </c>
      <c r="Y4445" t="str">
        <f t="shared" si="279"/>
        <v>Non-Senior</v>
      </c>
    </row>
    <row r="4446" spans="1:25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7082</v>
      </c>
      <c r="J4446" t="s">
        <v>7084</v>
      </c>
      <c r="K4446" t="s">
        <v>46</v>
      </c>
      <c r="L4446" t="s">
        <v>7084</v>
      </c>
      <c r="M4446" t="s">
        <v>7084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276"/>
        <v>0-12 Months</v>
      </c>
      <c r="W4446">
        <f t="shared" si="277"/>
        <v>1</v>
      </c>
      <c r="X4446">
        <f t="shared" si="278"/>
        <v>19.850000000000001</v>
      </c>
      <c r="Y4446" t="str">
        <f t="shared" si="279"/>
        <v>Non-Senior</v>
      </c>
    </row>
    <row r="4447" spans="1:25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276"/>
        <v>61-72 Months</v>
      </c>
      <c r="W4447">
        <f t="shared" si="277"/>
        <v>0</v>
      </c>
      <c r="X4447">
        <f t="shared" si="278"/>
        <v>0</v>
      </c>
      <c r="Y4447" t="str">
        <f t="shared" si="279"/>
        <v>Non-Senior</v>
      </c>
    </row>
    <row r="4448" spans="1:25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276"/>
        <v>0-12 Months</v>
      </c>
      <c r="W4448">
        <f t="shared" si="277"/>
        <v>1</v>
      </c>
      <c r="X4448">
        <f t="shared" si="278"/>
        <v>79.900000000000006</v>
      </c>
      <c r="Y4448" t="str">
        <f t="shared" si="279"/>
        <v>Senior Citizen</v>
      </c>
    </row>
    <row r="4449" spans="1:25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276"/>
        <v>61-72 Months</v>
      </c>
      <c r="W4449">
        <f t="shared" si="277"/>
        <v>0</v>
      </c>
      <c r="X4449">
        <f t="shared" si="278"/>
        <v>0</v>
      </c>
      <c r="Y4449" t="str">
        <f t="shared" si="279"/>
        <v>Non-Senior</v>
      </c>
    </row>
    <row r="4450" spans="1:25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276"/>
        <v>25-36 Months</v>
      </c>
      <c r="W4450">
        <f t="shared" si="277"/>
        <v>1</v>
      </c>
      <c r="X4450">
        <f t="shared" si="278"/>
        <v>99.7</v>
      </c>
      <c r="Y4450" t="str">
        <f t="shared" si="279"/>
        <v>Senior Citizen</v>
      </c>
    </row>
    <row r="4451" spans="1:25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276"/>
        <v>49-60 Months</v>
      </c>
      <c r="W4451">
        <f t="shared" si="277"/>
        <v>0</v>
      </c>
      <c r="X4451">
        <f t="shared" si="278"/>
        <v>0</v>
      </c>
      <c r="Y4451" t="str">
        <f t="shared" si="279"/>
        <v>Non-Senior</v>
      </c>
    </row>
    <row r="4452" spans="1:25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276"/>
        <v>13-24 Months</v>
      </c>
      <c r="W4452">
        <f t="shared" si="277"/>
        <v>1</v>
      </c>
      <c r="X4452">
        <f t="shared" si="278"/>
        <v>58.6</v>
      </c>
      <c r="Y4452" t="str">
        <f t="shared" si="279"/>
        <v>Non-Senior</v>
      </c>
    </row>
    <row r="4453" spans="1:25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276"/>
        <v>37-48 Months</v>
      </c>
      <c r="W4453">
        <f t="shared" si="277"/>
        <v>0</v>
      </c>
      <c r="X4453">
        <f t="shared" si="278"/>
        <v>0</v>
      </c>
      <c r="Y4453" t="str">
        <f t="shared" si="279"/>
        <v>Senior Citizen</v>
      </c>
    </row>
    <row r="4454" spans="1:25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276"/>
        <v>61-72 Months</v>
      </c>
      <c r="W4454">
        <f t="shared" si="277"/>
        <v>0</v>
      </c>
      <c r="X4454">
        <f t="shared" si="278"/>
        <v>0</v>
      </c>
      <c r="Y4454" t="str">
        <f t="shared" si="279"/>
        <v>Non-Senior</v>
      </c>
    </row>
    <row r="4455" spans="1:25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276"/>
        <v>0-12 Months</v>
      </c>
      <c r="W4455">
        <f t="shared" si="277"/>
        <v>1</v>
      </c>
      <c r="X4455">
        <f t="shared" si="278"/>
        <v>98.5</v>
      </c>
      <c r="Y4455" t="str">
        <f t="shared" si="279"/>
        <v>Non-Senior</v>
      </c>
    </row>
    <row r="4456" spans="1:25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7082</v>
      </c>
      <c r="J4456" t="s">
        <v>7084</v>
      </c>
      <c r="K4456" t="s">
        <v>46</v>
      </c>
      <c r="L4456" t="s">
        <v>7084</v>
      </c>
      <c r="M4456" t="s">
        <v>7084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276"/>
        <v>0-12 Months</v>
      </c>
      <c r="W4456">
        <f t="shared" si="277"/>
        <v>0</v>
      </c>
      <c r="X4456">
        <f t="shared" si="278"/>
        <v>0</v>
      </c>
      <c r="Y4456" t="str">
        <f t="shared" si="279"/>
        <v>Non-Senior</v>
      </c>
    </row>
    <row r="4457" spans="1:25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276"/>
        <v>0-12 Months</v>
      </c>
      <c r="W4457">
        <f t="shared" si="277"/>
        <v>1</v>
      </c>
      <c r="X4457">
        <f t="shared" si="278"/>
        <v>50.45</v>
      </c>
      <c r="Y4457" t="str">
        <f t="shared" si="279"/>
        <v>Non-Senior</v>
      </c>
    </row>
    <row r="4458" spans="1:25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7082</v>
      </c>
      <c r="J4458" t="s">
        <v>7084</v>
      </c>
      <c r="K4458" t="s">
        <v>46</v>
      </c>
      <c r="L4458" t="s">
        <v>7084</v>
      </c>
      <c r="M4458" t="s">
        <v>7084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276"/>
        <v>61-72 Months</v>
      </c>
      <c r="W4458">
        <f t="shared" si="277"/>
        <v>0</v>
      </c>
      <c r="X4458">
        <f t="shared" si="278"/>
        <v>0</v>
      </c>
      <c r="Y4458" t="str">
        <f t="shared" si="279"/>
        <v>Non-Senior</v>
      </c>
    </row>
    <row r="4459" spans="1:25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276"/>
        <v>13-24 Months</v>
      </c>
      <c r="W4459">
        <f t="shared" si="277"/>
        <v>0</v>
      </c>
      <c r="X4459">
        <f t="shared" si="278"/>
        <v>0</v>
      </c>
      <c r="Y4459" t="str">
        <f t="shared" si="279"/>
        <v>Non-Senior</v>
      </c>
    </row>
    <row r="4460" spans="1:25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276"/>
        <v>37-48 Months</v>
      </c>
      <c r="W4460">
        <f t="shared" si="277"/>
        <v>1</v>
      </c>
      <c r="X4460">
        <f t="shared" si="278"/>
        <v>94.65</v>
      </c>
      <c r="Y4460" t="str">
        <f t="shared" si="279"/>
        <v>Non-Senior</v>
      </c>
    </row>
    <row r="4461" spans="1:25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276"/>
        <v>0-12 Months</v>
      </c>
      <c r="W4461">
        <f t="shared" si="277"/>
        <v>1</v>
      </c>
      <c r="X4461">
        <f t="shared" si="278"/>
        <v>100.25</v>
      </c>
      <c r="Y4461" t="str">
        <f t="shared" si="279"/>
        <v>Non-Senior</v>
      </c>
    </row>
    <row r="4462" spans="1:25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276"/>
        <v>13-24 Months</v>
      </c>
      <c r="W4462">
        <f t="shared" si="277"/>
        <v>0</v>
      </c>
      <c r="X4462">
        <f t="shared" si="278"/>
        <v>0</v>
      </c>
      <c r="Y4462" t="str">
        <f t="shared" si="279"/>
        <v>Non-Senior</v>
      </c>
    </row>
    <row r="4463" spans="1:25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276"/>
        <v>25-36 Months</v>
      </c>
      <c r="W4463">
        <f t="shared" si="277"/>
        <v>0</v>
      </c>
      <c r="X4463">
        <f t="shared" si="278"/>
        <v>0</v>
      </c>
      <c r="Y4463" t="str">
        <f t="shared" si="279"/>
        <v>Non-Senior</v>
      </c>
    </row>
    <row r="4464" spans="1:25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276"/>
        <v>13-24 Months</v>
      </c>
      <c r="W4464">
        <f t="shared" si="277"/>
        <v>1</v>
      </c>
      <c r="X4464">
        <f t="shared" si="278"/>
        <v>88.45</v>
      </c>
      <c r="Y4464" t="str">
        <f t="shared" si="279"/>
        <v>Non-Senior</v>
      </c>
    </row>
    <row r="4465" spans="1:25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276"/>
        <v>0-12 Months</v>
      </c>
      <c r="W4465">
        <f t="shared" si="277"/>
        <v>1</v>
      </c>
      <c r="X4465">
        <f t="shared" si="278"/>
        <v>69.849999999999994</v>
      </c>
      <c r="Y4465" t="str">
        <f t="shared" si="279"/>
        <v>Non-Senior</v>
      </c>
    </row>
    <row r="4466" spans="1:25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276"/>
        <v>0-12 Months</v>
      </c>
      <c r="W4466">
        <f t="shared" si="277"/>
        <v>1</v>
      </c>
      <c r="X4466">
        <f t="shared" si="278"/>
        <v>81.7</v>
      </c>
      <c r="Y4466" t="str">
        <f t="shared" si="279"/>
        <v>Non-Senior</v>
      </c>
    </row>
    <row r="4467" spans="1:25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276"/>
        <v>25-36 Months</v>
      </c>
      <c r="W4467">
        <f t="shared" si="277"/>
        <v>0</v>
      </c>
      <c r="X4467">
        <f t="shared" si="278"/>
        <v>0</v>
      </c>
      <c r="Y4467" t="str">
        <f t="shared" si="279"/>
        <v>Non-Senior</v>
      </c>
    </row>
    <row r="4468" spans="1:25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276"/>
        <v>0-12 Months</v>
      </c>
      <c r="W4468">
        <f t="shared" si="277"/>
        <v>1</v>
      </c>
      <c r="X4468">
        <f t="shared" si="278"/>
        <v>79.900000000000006</v>
      </c>
      <c r="Y4468" t="str">
        <f t="shared" si="279"/>
        <v>Non-Senior</v>
      </c>
    </row>
    <row r="4469" spans="1:25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276"/>
        <v>37-48 Months</v>
      </c>
      <c r="W4469">
        <f t="shared" si="277"/>
        <v>0</v>
      </c>
      <c r="X4469">
        <f t="shared" si="278"/>
        <v>0</v>
      </c>
      <c r="Y4469" t="str">
        <f t="shared" si="279"/>
        <v>Non-Senior</v>
      </c>
    </row>
    <row r="4470" spans="1:25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7082</v>
      </c>
      <c r="J4470" t="s">
        <v>7084</v>
      </c>
      <c r="K4470" t="s">
        <v>46</v>
      </c>
      <c r="L4470" t="s">
        <v>7084</v>
      </c>
      <c r="M4470" t="s">
        <v>7084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276"/>
        <v>13-24 Months</v>
      </c>
      <c r="W4470">
        <f t="shared" si="277"/>
        <v>1</v>
      </c>
      <c r="X4470">
        <f t="shared" si="278"/>
        <v>25.4</v>
      </c>
      <c r="Y4470" t="str">
        <f t="shared" si="279"/>
        <v>Non-Senior</v>
      </c>
    </row>
    <row r="4471" spans="1:25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276"/>
        <v>49-60 Months</v>
      </c>
      <c r="W4471">
        <f t="shared" si="277"/>
        <v>0</v>
      </c>
      <c r="X4471">
        <f t="shared" si="278"/>
        <v>0</v>
      </c>
      <c r="Y4471" t="str">
        <f t="shared" si="279"/>
        <v>Non-Senior</v>
      </c>
    </row>
    <row r="4472" spans="1:25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276"/>
        <v>0-12 Months</v>
      </c>
      <c r="W4472">
        <f t="shared" si="277"/>
        <v>0</v>
      </c>
      <c r="X4472">
        <f t="shared" si="278"/>
        <v>0</v>
      </c>
      <c r="Y4472" t="str">
        <f t="shared" si="279"/>
        <v>Non-Senior</v>
      </c>
    </row>
    <row r="4473" spans="1:25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276"/>
        <v>37-48 Months</v>
      </c>
      <c r="W4473">
        <f t="shared" si="277"/>
        <v>1</v>
      </c>
      <c r="X4473">
        <f t="shared" si="278"/>
        <v>83.75</v>
      </c>
      <c r="Y4473" t="str">
        <f t="shared" si="279"/>
        <v>Senior Citizen</v>
      </c>
    </row>
    <row r="4474" spans="1:25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276"/>
        <v>61-72 Months</v>
      </c>
      <c r="W4474">
        <f t="shared" si="277"/>
        <v>0</v>
      </c>
      <c r="X4474">
        <f t="shared" si="278"/>
        <v>0</v>
      </c>
      <c r="Y4474" t="str">
        <f t="shared" si="279"/>
        <v>Non-Senior</v>
      </c>
    </row>
    <row r="4475" spans="1:25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276"/>
        <v>25-36 Months</v>
      </c>
      <c r="W4475">
        <f t="shared" si="277"/>
        <v>0</v>
      </c>
      <c r="X4475">
        <f t="shared" si="278"/>
        <v>0</v>
      </c>
      <c r="Y4475" t="str">
        <f t="shared" si="279"/>
        <v>Senior Citizen</v>
      </c>
    </row>
    <row r="4476" spans="1:25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276"/>
        <v>49-60 Months</v>
      </c>
      <c r="W4476">
        <f t="shared" si="277"/>
        <v>0</v>
      </c>
      <c r="X4476">
        <f t="shared" si="278"/>
        <v>0</v>
      </c>
      <c r="Y4476" t="str">
        <f t="shared" si="279"/>
        <v>Non-Senior</v>
      </c>
    </row>
    <row r="4477" spans="1:25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7082</v>
      </c>
      <c r="J4477" t="s">
        <v>7084</v>
      </c>
      <c r="K4477" t="s">
        <v>46</v>
      </c>
      <c r="L4477" t="s">
        <v>7084</v>
      </c>
      <c r="M4477" t="s">
        <v>7084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276"/>
        <v>0-12 Months</v>
      </c>
      <c r="W4477">
        <f t="shared" si="277"/>
        <v>0</v>
      </c>
      <c r="X4477">
        <f t="shared" si="278"/>
        <v>0</v>
      </c>
      <c r="Y4477" t="str">
        <f t="shared" si="279"/>
        <v>Non-Senior</v>
      </c>
    </row>
    <row r="4478" spans="1:25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7082</v>
      </c>
      <c r="J4478" t="s">
        <v>7084</v>
      </c>
      <c r="K4478" t="s">
        <v>46</v>
      </c>
      <c r="L4478" t="s">
        <v>7084</v>
      </c>
      <c r="M4478" t="s">
        <v>7084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276"/>
        <v>0-12 Months</v>
      </c>
      <c r="W4478">
        <f t="shared" si="277"/>
        <v>1</v>
      </c>
      <c r="X4478">
        <f t="shared" si="278"/>
        <v>20.9</v>
      </c>
      <c r="Y4478" t="str">
        <f t="shared" si="279"/>
        <v>Non-Senior</v>
      </c>
    </row>
    <row r="4479" spans="1:25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276"/>
        <v>13-24 Months</v>
      </c>
      <c r="W4479">
        <f t="shared" si="277"/>
        <v>0</v>
      </c>
      <c r="X4479">
        <f t="shared" si="278"/>
        <v>0</v>
      </c>
      <c r="Y4479" t="str">
        <f t="shared" si="279"/>
        <v>Non-Senior</v>
      </c>
    </row>
    <row r="4480" spans="1:25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276"/>
        <v>0-12 Months</v>
      </c>
      <c r="W4480">
        <f t="shared" si="277"/>
        <v>0</v>
      </c>
      <c r="X4480">
        <f t="shared" si="278"/>
        <v>0</v>
      </c>
      <c r="Y4480" t="str">
        <f t="shared" si="279"/>
        <v>Non-Senior</v>
      </c>
    </row>
    <row r="4481" spans="1:25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7082</v>
      </c>
      <c r="J4481" t="s">
        <v>7084</v>
      </c>
      <c r="K4481" t="s">
        <v>46</v>
      </c>
      <c r="L4481" t="s">
        <v>7084</v>
      </c>
      <c r="M4481" t="s">
        <v>7084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276"/>
        <v>49-60 Months</v>
      </c>
      <c r="W4481">
        <f t="shared" si="277"/>
        <v>0</v>
      </c>
      <c r="X4481">
        <f t="shared" si="278"/>
        <v>0</v>
      </c>
      <c r="Y4481" t="str">
        <f t="shared" si="279"/>
        <v>Non-Senior</v>
      </c>
    </row>
    <row r="4482" spans="1:25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si="276"/>
        <v>0-12 Months</v>
      </c>
      <c r="W4482">
        <f t="shared" si="277"/>
        <v>1</v>
      </c>
      <c r="X4482">
        <f t="shared" si="278"/>
        <v>69.400000000000006</v>
      </c>
      <c r="Y4482" t="str">
        <f t="shared" si="279"/>
        <v>Non-Senior</v>
      </c>
    </row>
    <row r="4483" spans="1:25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ref="V4483:V4546" si="280">IF(F4483&lt;=12,"0-12 Months",IF(F4483&lt;=24,"13-24 Months",IF(F4483&lt;=36,"25-36 Months",IF(F4483&lt;=48,"37-48 Months",IF(F4483&lt;=60,"49-60 Months","61-72 Months")))))</f>
        <v>37-48 Months</v>
      </c>
      <c r="W4483">
        <f t="shared" ref="W4483:W4546" si="281">IF(U4483="Yes",1,0)</f>
        <v>0</v>
      </c>
      <c r="X4483">
        <f t="shared" ref="X4483:X4546" si="282">IF(U4483="Yes",S4483,0)</f>
        <v>0</v>
      </c>
      <c r="Y4483" t="str">
        <f t="shared" ref="Y4483:Y4546" si="283">IF(C4483=1,"Senior Citizen","Non-Senior")</f>
        <v>Non-Senior</v>
      </c>
    </row>
    <row r="4484" spans="1:25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280"/>
        <v>0-12 Months</v>
      </c>
      <c r="W4484">
        <f t="shared" si="281"/>
        <v>1</v>
      </c>
      <c r="X4484">
        <f t="shared" si="282"/>
        <v>74.900000000000006</v>
      </c>
      <c r="Y4484" t="str">
        <f t="shared" si="283"/>
        <v>Non-Senior</v>
      </c>
    </row>
    <row r="4485" spans="1:25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7082</v>
      </c>
      <c r="J4485" t="s">
        <v>7084</v>
      </c>
      <c r="K4485" t="s">
        <v>46</v>
      </c>
      <c r="L4485" t="s">
        <v>7084</v>
      </c>
      <c r="M4485" t="s">
        <v>7084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280"/>
        <v>61-72 Months</v>
      </c>
      <c r="W4485">
        <f t="shared" si="281"/>
        <v>0</v>
      </c>
      <c r="X4485">
        <f t="shared" si="282"/>
        <v>0</v>
      </c>
      <c r="Y4485" t="str">
        <f t="shared" si="283"/>
        <v>Non-Senior</v>
      </c>
    </row>
    <row r="4486" spans="1:25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280"/>
        <v>0-12 Months</v>
      </c>
      <c r="W4486">
        <f t="shared" si="281"/>
        <v>0</v>
      </c>
      <c r="X4486">
        <f t="shared" si="282"/>
        <v>0</v>
      </c>
      <c r="Y4486" t="str">
        <f t="shared" si="283"/>
        <v>Non-Senior</v>
      </c>
    </row>
    <row r="4487" spans="1:25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280"/>
        <v>61-72 Months</v>
      </c>
      <c r="W4487">
        <f t="shared" si="281"/>
        <v>0</v>
      </c>
      <c r="X4487">
        <f t="shared" si="282"/>
        <v>0</v>
      </c>
      <c r="Y4487" t="str">
        <f t="shared" si="283"/>
        <v>Non-Senior</v>
      </c>
    </row>
    <row r="4488" spans="1:25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280"/>
        <v>61-72 Months</v>
      </c>
      <c r="W4488">
        <f t="shared" si="281"/>
        <v>0</v>
      </c>
      <c r="X4488">
        <f t="shared" si="282"/>
        <v>0</v>
      </c>
      <c r="Y4488" t="str">
        <f t="shared" si="283"/>
        <v>Non-Senior</v>
      </c>
    </row>
    <row r="4489" spans="1:25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7082</v>
      </c>
      <c r="J4489" t="s">
        <v>7084</v>
      </c>
      <c r="K4489" t="s">
        <v>46</v>
      </c>
      <c r="L4489" t="s">
        <v>7084</v>
      </c>
      <c r="M4489" t="s">
        <v>7084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280"/>
        <v>0-12 Months</v>
      </c>
      <c r="W4489">
        <f t="shared" si="281"/>
        <v>0</v>
      </c>
      <c r="X4489">
        <f t="shared" si="282"/>
        <v>0</v>
      </c>
      <c r="Y4489" t="str">
        <f t="shared" si="283"/>
        <v>Non-Senior</v>
      </c>
    </row>
    <row r="4490" spans="1:25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280"/>
        <v>37-48 Months</v>
      </c>
      <c r="W4490">
        <f t="shared" si="281"/>
        <v>1</v>
      </c>
      <c r="X4490">
        <f t="shared" si="282"/>
        <v>74.150000000000006</v>
      </c>
      <c r="Y4490" t="str">
        <f t="shared" si="283"/>
        <v>Senior Citizen</v>
      </c>
    </row>
    <row r="4491" spans="1:25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280"/>
        <v>61-72 Months</v>
      </c>
      <c r="W4491">
        <f t="shared" si="281"/>
        <v>0</v>
      </c>
      <c r="X4491">
        <f t="shared" si="282"/>
        <v>0</v>
      </c>
      <c r="Y4491" t="str">
        <f t="shared" si="283"/>
        <v>Non-Senior</v>
      </c>
    </row>
    <row r="4492" spans="1:25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280"/>
        <v>49-60 Months</v>
      </c>
      <c r="W4492">
        <f t="shared" si="281"/>
        <v>0</v>
      </c>
      <c r="X4492">
        <f t="shared" si="282"/>
        <v>0</v>
      </c>
      <c r="Y4492" t="str">
        <f t="shared" si="283"/>
        <v>Senior Citizen</v>
      </c>
    </row>
    <row r="4493" spans="1:25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7082</v>
      </c>
      <c r="J4493" t="s">
        <v>7084</v>
      </c>
      <c r="K4493" t="s">
        <v>46</v>
      </c>
      <c r="L4493" t="s">
        <v>7084</v>
      </c>
      <c r="M4493" t="s">
        <v>7084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280"/>
        <v>0-12 Months</v>
      </c>
      <c r="W4493">
        <f t="shared" si="281"/>
        <v>0</v>
      </c>
      <c r="X4493">
        <f t="shared" si="282"/>
        <v>0</v>
      </c>
      <c r="Y4493" t="str">
        <f t="shared" si="283"/>
        <v>Non-Senior</v>
      </c>
    </row>
    <row r="4494" spans="1:25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7082</v>
      </c>
      <c r="J4494" t="s">
        <v>7084</v>
      </c>
      <c r="K4494" t="s">
        <v>46</v>
      </c>
      <c r="L4494" t="s">
        <v>7084</v>
      </c>
      <c r="M4494" t="s">
        <v>7084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280"/>
        <v>49-60 Months</v>
      </c>
      <c r="W4494">
        <f t="shared" si="281"/>
        <v>0</v>
      </c>
      <c r="X4494">
        <f t="shared" si="282"/>
        <v>0</v>
      </c>
      <c r="Y4494" t="str">
        <f t="shared" si="283"/>
        <v>Non-Senior</v>
      </c>
    </row>
    <row r="4495" spans="1:25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7082</v>
      </c>
      <c r="J4495" t="s">
        <v>7084</v>
      </c>
      <c r="K4495" t="s">
        <v>46</v>
      </c>
      <c r="L4495" t="s">
        <v>7084</v>
      </c>
      <c r="M4495" t="s">
        <v>7084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280"/>
        <v>13-24 Months</v>
      </c>
      <c r="W4495">
        <f t="shared" si="281"/>
        <v>0</v>
      </c>
      <c r="X4495">
        <f t="shared" si="282"/>
        <v>0</v>
      </c>
      <c r="Y4495" t="str">
        <f t="shared" si="283"/>
        <v>Non-Senior</v>
      </c>
    </row>
    <row r="4496" spans="1:25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280"/>
        <v>0-12 Months</v>
      </c>
      <c r="W4496">
        <f t="shared" si="281"/>
        <v>0</v>
      </c>
      <c r="X4496">
        <f t="shared" si="282"/>
        <v>0</v>
      </c>
      <c r="Y4496" t="str">
        <f t="shared" si="283"/>
        <v>Non-Senior</v>
      </c>
    </row>
    <row r="4497" spans="1:25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280"/>
        <v>0-12 Months</v>
      </c>
      <c r="W4497">
        <f t="shared" si="281"/>
        <v>1</v>
      </c>
      <c r="X4497">
        <f t="shared" si="282"/>
        <v>70.099999999999994</v>
      </c>
      <c r="Y4497" t="str">
        <f t="shared" si="283"/>
        <v>Non-Senior</v>
      </c>
    </row>
    <row r="4498" spans="1:25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280"/>
        <v>61-72 Months</v>
      </c>
      <c r="W4498">
        <f t="shared" si="281"/>
        <v>0</v>
      </c>
      <c r="X4498">
        <f t="shared" si="282"/>
        <v>0</v>
      </c>
      <c r="Y4498" t="str">
        <f t="shared" si="283"/>
        <v>Non-Senior</v>
      </c>
    </row>
    <row r="4499" spans="1:25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280"/>
        <v>49-60 Months</v>
      </c>
      <c r="W4499">
        <f t="shared" si="281"/>
        <v>0</v>
      </c>
      <c r="X4499">
        <f t="shared" si="282"/>
        <v>0</v>
      </c>
      <c r="Y4499" t="str">
        <f t="shared" si="283"/>
        <v>Senior Citizen</v>
      </c>
    </row>
    <row r="4500" spans="1:25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7082</v>
      </c>
      <c r="J4500" t="s">
        <v>7084</v>
      </c>
      <c r="K4500" t="s">
        <v>46</v>
      </c>
      <c r="L4500" t="s">
        <v>7084</v>
      </c>
      <c r="M4500" t="s">
        <v>7084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280"/>
        <v>0-12 Months</v>
      </c>
      <c r="W4500">
        <f t="shared" si="281"/>
        <v>0</v>
      </c>
      <c r="X4500">
        <f t="shared" si="282"/>
        <v>0</v>
      </c>
      <c r="Y4500" t="str">
        <f t="shared" si="283"/>
        <v>Non-Senior</v>
      </c>
    </row>
    <row r="4501" spans="1:25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280"/>
        <v>0-12 Months</v>
      </c>
      <c r="W4501">
        <f t="shared" si="281"/>
        <v>1</v>
      </c>
      <c r="X4501">
        <f t="shared" si="282"/>
        <v>78.3</v>
      </c>
      <c r="Y4501" t="str">
        <f t="shared" si="283"/>
        <v>Non-Senior</v>
      </c>
    </row>
    <row r="4502" spans="1:25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280"/>
        <v>61-72 Months</v>
      </c>
      <c r="W4502">
        <f t="shared" si="281"/>
        <v>0</v>
      </c>
      <c r="X4502">
        <f t="shared" si="282"/>
        <v>0</v>
      </c>
      <c r="Y4502" t="str">
        <f t="shared" si="283"/>
        <v>Non-Senior</v>
      </c>
    </row>
    <row r="4503" spans="1:25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7082</v>
      </c>
      <c r="J4503" t="s">
        <v>7084</v>
      </c>
      <c r="K4503" t="s">
        <v>46</v>
      </c>
      <c r="L4503" t="s">
        <v>7084</v>
      </c>
      <c r="M4503" t="s">
        <v>7084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280"/>
        <v>37-48 Months</v>
      </c>
      <c r="W4503">
        <f t="shared" si="281"/>
        <v>0</v>
      </c>
      <c r="X4503">
        <f t="shared" si="282"/>
        <v>0</v>
      </c>
      <c r="Y4503" t="str">
        <f t="shared" si="283"/>
        <v>Non-Senior</v>
      </c>
    </row>
    <row r="4504" spans="1:25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280"/>
        <v>49-60 Months</v>
      </c>
      <c r="W4504">
        <f t="shared" si="281"/>
        <v>1</v>
      </c>
      <c r="X4504">
        <f t="shared" si="282"/>
        <v>96.8</v>
      </c>
      <c r="Y4504" t="str">
        <f t="shared" si="283"/>
        <v>Non-Senior</v>
      </c>
    </row>
    <row r="4505" spans="1:25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280"/>
        <v>13-24 Months</v>
      </c>
      <c r="W4505">
        <f t="shared" si="281"/>
        <v>1</v>
      </c>
      <c r="X4505">
        <f t="shared" si="282"/>
        <v>94.4</v>
      </c>
      <c r="Y4505" t="str">
        <f t="shared" si="283"/>
        <v>Non-Senior</v>
      </c>
    </row>
    <row r="4506" spans="1:25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7082</v>
      </c>
      <c r="J4506" t="s">
        <v>7084</v>
      </c>
      <c r="K4506" t="s">
        <v>46</v>
      </c>
      <c r="L4506" t="s">
        <v>7084</v>
      </c>
      <c r="M4506" t="s">
        <v>7084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280"/>
        <v>37-48 Months</v>
      </c>
      <c r="W4506">
        <f t="shared" si="281"/>
        <v>0</v>
      </c>
      <c r="X4506">
        <f t="shared" si="282"/>
        <v>0</v>
      </c>
      <c r="Y4506" t="str">
        <f t="shared" si="283"/>
        <v>Non-Senior</v>
      </c>
    </row>
    <row r="4507" spans="1:25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7082</v>
      </c>
      <c r="J4507" t="s">
        <v>7084</v>
      </c>
      <c r="K4507" t="s">
        <v>46</v>
      </c>
      <c r="L4507" t="s">
        <v>7084</v>
      </c>
      <c r="M4507" t="s">
        <v>7084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280"/>
        <v>61-72 Months</v>
      </c>
      <c r="W4507">
        <f t="shared" si="281"/>
        <v>0</v>
      </c>
      <c r="X4507">
        <f t="shared" si="282"/>
        <v>0</v>
      </c>
      <c r="Y4507" t="str">
        <f t="shared" si="283"/>
        <v>Non-Senior</v>
      </c>
    </row>
    <row r="4508" spans="1:25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280"/>
        <v>61-72 Months</v>
      </c>
      <c r="W4508">
        <f t="shared" si="281"/>
        <v>0</v>
      </c>
      <c r="X4508">
        <f t="shared" si="282"/>
        <v>0</v>
      </c>
      <c r="Y4508" t="str">
        <f t="shared" si="283"/>
        <v>Senior Citizen</v>
      </c>
    </row>
    <row r="4509" spans="1:25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280"/>
        <v>0-12 Months</v>
      </c>
      <c r="W4509">
        <f t="shared" si="281"/>
        <v>0</v>
      </c>
      <c r="X4509">
        <f t="shared" si="282"/>
        <v>0</v>
      </c>
      <c r="Y4509" t="str">
        <f t="shared" si="283"/>
        <v>Non-Senior</v>
      </c>
    </row>
    <row r="4510" spans="1:25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7082</v>
      </c>
      <c r="J4510" t="s">
        <v>7084</v>
      </c>
      <c r="K4510" t="s">
        <v>46</v>
      </c>
      <c r="L4510" t="s">
        <v>7084</v>
      </c>
      <c r="M4510" t="s">
        <v>7084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280"/>
        <v>13-24 Months</v>
      </c>
      <c r="W4510">
        <f t="shared" si="281"/>
        <v>0</v>
      </c>
      <c r="X4510">
        <f t="shared" si="282"/>
        <v>0</v>
      </c>
      <c r="Y4510" t="str">
        <f t="shared" si="283"/>
        <v>Non-Senior</v>
      </c>
    </row>
    <row r="4511" spans="1:25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280"/>
        <v>0-12 Months</v>
      </c>
      <c r="W4511">
        <f t="shared" si="281"/>
        <v>1</v>
      </c>
      <c r="X4511">
        <f t="shared" si="282"/>
        <v>84.3</v>
      </c>
      <c r="Y4511" t="str">
        <f t="shared" si="283"/>
        <v>Non-Senior</v>
      </c>
    </row>
    <row r="4512" spans="1:25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280"/>
        <v>37-48 Months</v>
      </c>
      <c r="W4512">
        <f t="shared" si="281"/>
        <v>0</v>
      </c>
      <c r="X4512">
        <f t="shared" si="282"/>
        <v>0</v>
      </c>
      <c r="Y4512" t="str">
        <f t="shared" si="283"/>
        <v>Non-Senior</v>
      </c>
    </row>
    <row r="4513" spans="1:25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280"/>
        <v>13-24 Months</v>
      </c>
      <c r="W4513">
        <f t="shared" si="281"/>
        <v>0</v>
      </c>
      <c r="X4513">
        <f t="shared" si="282"/>
        <v>0</v>
      </c>
      <c r="Y4513" t="str">
        <f t="shared" si="283"/>
        <v>Non-Senior</v>
      </c>
    </row>
    <row r="4514" spans="1:25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280"/>
        <v>61-72 Months</v>
      </c>
      <c r="W4514">
        <f t="shared" si="281"/>
        <v>0</v>
      </c>
      <c r="X4514">
        <f t="shared" si="282"/>
        <v>0</v>
      </c>
      <c r="Y4514" t="str">
        <f t="shared" si="283"/>
        <v>Senior Citizen</v>
      </c>
    </row>
    <row r="4515" spans="1:25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280"/>
        <v>61-72 Months</v>
      </c>
      <c r="W4515">
        <f t="shared" si="281"/>
        <v>1</v>
      </c>
      <c r="X4515">
        <f t="shared" si="282"/>
        <v>92.45</v>
      </c>
      <c r="Y4515" t="str">
        <f t="shared" si="283"/>
        <v>Senior Citizen</v>
      </c>
    </row>
    <row r="4516" spans="1:25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280"/>
        <v>25-36 Months</v>
      </c>
      <c r="W4516">
        <f t="shared" si="281"/>
        <v>0</v>
      </c>
      <c r="X4516">
        <f t="shared" si="282"/>
        <v>0</v>
      </c>
      <c r="Y4516" t="str">
        <f t="shared" si="283"/>
        <v>Non-Senior</v>
      </c>
    </row>
    <row r="4517" spans="1:25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280"/>
        <v>13-24 Months</v>
      </c>
      <c r="W4517">
        <f t="shared" si="281"/>
        <v>0</v>
      </c>
      <c r="X4517">
        <f t="shared" si="282"/>
        <v>0</v>
      </c>
      <c r="Y4517" t="str">
        <f t="shared" si="283"/>
        <v>Non-Senior</v>
      </c>
    </row>
    <row r="4518" spans="1:25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280"/>
        <v>61-72 Months</v>
      </c>
      <c r="W4518">
        <f t="shared" si="281"/>
        <v>0</v>
      </c>
      <c r="X4518">
        <f t="shared" si="282"/>
        <v>0</v>
      </c>
      <c r="Y4518" t="str">
        <f t="shared" si="283"/>
        <v>Non-Senior</v>
      </c>
    </row>
    <row r="4519" spans="1:25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280"/>
        <v>0-12 Months</v>
      </c>
      <c r="W4519">
        <f t="shared" si="281"/>
        <v>1</v>
      </c>
      <c r="X4519">
        <f t="shared" si="282"/>
        <v>99.55</v>
      </c>
      <c r="Y4519" t="str">
        <f t="shared" si="283"/>
        <v>Senior Citizen</v>
      </c>
    </row>
    <row r="4520" spans="1:25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280"/>
        <v>0-12 Months</v>
      </c>
      <c r="W4520">
        <f t="shared" si="281"/>
        <v>1</v>
      </c>
      <c r="X4520">
        <f t="shared" si="282"/>
        <v>81.25</v>
      </c>
      <c r="Y4520" t="str">
        <f t="shared" si="283"/>
        <v>Senior Citizen</v>
      </c>
    </row>
    <row r="4521" spans="1:25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280"/>
        <v>49-60 Months</v>
      </c>
      <c r="W4521">
        <f t="shared" si="281"/>
        <v>0</v>
      </c>
      <c r="X4521">
        <f t="shared" si="282"/>
        <v>0</v>
      </c>
      <c r="Y4521" t="str">
        <f t="shared" si="283"/>
        <v>Non-Senior</v>
      </c>
    </row>
    <row r="4522" spans="1:25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7082</v>
      </c>
      <c r="J4522" t="s">
        <v>7084</v>
      </c>
      <c r="K4522" t="s">
        <v>46</v>
      </c>
      <c r="L4522" t="s">
        <v>7084</v>
      </c>
      <c r="M4522" t="s">
        <v>7084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280"/>
        <v>0-12 Months</v>
      </c>
      <c r="W4522">
        <f t="shared" si="281"/>
        <v>1</v>
      </c>
      <c r="X4522">
        <f t="shared" si="282"/>
        <v>19.95</v>
      </c>
      <c r="Y4522" t="str">
        <f t="shared" si="283"/>
        <v>Non-Senior</v>
      </c>
    </row>
    <row r="4523" spans="1:25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280"/>
        <v>37-48 Months</v>
      </c>
      <c r="W4523">
        <f t="shared" si="281"/>
        <v>0</v>
      </c>
      <c r="X4523">
        <f t="shared" si="282"/>
        <v>0</v>
      </c>
      <c r="Y4523" t="str">
        <f t="shared" si="283"/>
        <v>Non-Senior</v>
      </c>
    </row>
    <row r="4524" spans="1:25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7082</v>
      </c>
      <c r="J4524" t="s">
        <v>7084</v>
      </c>
      <c r="K4524" t="s">
        <v>46</v>
      </c>
      <c r="L4524" t="s">
        <v>7084</v>
      </c>
      <c r="M4524" t="s">
        <v>7084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280"/>
        <v>25-36 Months</v>
      </c>
      <c r="W4524">
        <f t="shared" si="281"/>
        <v>0</v>
      </c>
      <c r="X4524">
        <f t="shared" si="282"/>
        <v>0</v>
      </c>
      <c r="Y4524" t="str">
        <f t="shared" si="283"/>
        <v>Non-Senior</v>
      </c>
    </row>
    <row r="4525" spans="1:25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280"/>
        <v>0-12 Months</v>
      </c>
      <c r="W4525">
        <f t="shared" si="281"/>
        <v>0</v>
      </c>
      <c r="X4525">
        <f t="shared" si="282"/>
        <v>0</v>
      </c>
      <c r="Y4525" t="str">
        <f t="shared" si="283"/>
        <v>Senior Citizen</v>
      </c>
    </row>
    <row r="4526" spans="1:25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280"/>
        <v>13-24 Months</v>
      </c>
      <c r="W4526">
        <f t="shared" si="281"/>
        <v>1</v>
      </c>
      <c r="X4526">
        <f t="shared" si="282"/>
        <v>99.25</v>
      </c>
      <c r="Y4526" t="str">
        <f t="shared" si="283"/>
        <v>Non-Senior</v>
      </c>
    </row>
    <row r="4527" spans="1:25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280"/>
        <v>25-36 Months</v>
      </c>
      <c r="W4527">
        <f t="shared" si="281"/>
        <v>0</v>
      </c>
      <c r="X4527">
        <f t="shared" si="282"/>
        <v>0</v>
      </c>
      <c r="Y4527" t="str">
        <f t="shared" si="283"/>
        <v>Non-Senior</v>
      </c>
    </row>
    <row r="4528" spans="1:25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280"/>
        <v>13-24 Months</v>
      </c>
      <c r="W4528">
        <f t="shared" si="281"/>
        <v>0</v>
      </c>
      <c r="X4528">
        <f t="shared" si="282"/>
        <v>0</v>
      </c>
      <c r="Y4528" t="str">
        <f t="shared" si="283"/>
        <v>Non-Senior</v>
      </c>
    </row>
    <row r="4529" spans="1:25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280"/>
        <v>37-48 Months</v>
      </c>
      <c r="W4529">
        <f t="shared" si="281"/>
        <v>1</v>
      </c>
      <c r="X4529">
        <f t="shared" si="282"/>
        <v>80.45</v>
      </c>
      <c r="Y4529" t="str">
        <f t="shared" si="283"/>
        <v>Non-Senior</v>
      </c>
    </row>
    <row r="4530" spans="1:25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280"/>
        <v>37-48 Months</v>
      </c>
      <c r="W4530">
        <f t="shared" si="281"/>
        <v>0</v>
      </c>
      <c r="X4530">
        <f t="shared" si="282"/>
        <v>0</v>
      </c>
      <c r="Y4530" t="str">
        <f t="shared" si="283"/>
        <v>Non-Senior</v>
      </c>
    </row>
    <row r="4531" spans="1:25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280"/>
        <v>0-12 Months</v>
      </c>
      <c r="W4531">
        <f t="shared" si="281"/>
        <v>0</v>
      </c>
      <c r="X4531">
        <f t="shared" si="282"/>
        <v>0</v>
      </c>
      <c r="Y4531" t="str">
        <f t="shared" si="283"/>
        <v>Senior Citizen</v>
      </c>
    </row>
    <row r="4532" spans="1:25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7082</v>
      </c>
      <c r="J4532" t="s">
        <v>7084</v>
      </c>
      <c r="K4532" t="s">
        <v>46</v>
      </c>
      <c r="L4532" t="s">
        <v>7084</v>
      </c>
      <c r="M4532" t="s">
        <v>7084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280"/>
        <v>61-72 Months</v>
      </c>
      <c r="W4532">
        <f t="shared" si="281"/>
        <v>0</v>
      </c>
      <c r="X4532">
        <f t="shared" si="282"/>
        <v>0</v>
      </c>
      <c r="Y4532" t="str">
        <f t="shared" si="283"/>
        <v>Non-Senior</v>
      </c>
    </row>
    <row r="4533" spans="1:25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280"/>
        <v>0-12 Months</v>
      </c>
      <c r="W4533">
        <f t="shared" si="281"/>
        <v>1</v>
      </c>
      <c r="X4533">
        <f t="shared" si="282"/>
        <v>79.349999999999994</v>
      </c>
      <c r="Y4533" t="str">
        <f t="shared" si="283"/>
        <v>Non-Senior</v>
      </c>
    </row>
    <row r="4534" spans="1:25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280"/>
        <v>13-24 Months</v>
      </c>
      <c r="W4534">
        <f t="shared" si="281"/>
        <v>1</v>
      </c>
      <c r="X4534">
        <f t="shared" si="282"/>
        <v>79.75</v>
      </c>
      <c r="Y4534" t="str">
        <f t="shared" si="283"/>
        <v>Non-Senior</v>
      </c>
    </row>
    <row r="4535" spans="1:25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280"/>
        <v>61-72 Months</v>
      </c>
      <c r="W4535">
        <f t="shared" si="281"/>
        <v>0</v>
      </c>
      <c r="X4535">
        <f t="shared" si="282"/>
        <v>0</v>
      </c>
      <c r="Y4535" t="str">
        <f t="shared" si="283"/>
        <v>Non-Senior</v>
      </c>
    </row>
    <row r="4536" spans="1:25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280"/>
        <v>0-12 Months</v>
      </c>
      <c r="W4536">
        <f t="shared" si="281"/>
        <v>0</v>
      </c>
      <c r="X4536">
        <f t="shared" si="282"/>
        <v>0</v>
      </c>
      <c r="Y4536" t="str">
        <f t="shared" si="283"/>
        <v>Non-Senior</v>
      </c>
    </row>
    <row r="4537" spans="1:25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280"/>
        <v>25-36 Months</v>
      </c>
      <c r="W4537">
        <f t="shared" si="281"/>
        <v>1</v>
      </c>
      <c r="X4537">
        <f t="shared" si="282"/>
        <v>100.05</v>
      </c>
      <c r="Y4537" t="str">
        <f t="shared" si="283"/>
        <v>Non-Senior</v>
      </c>
    </row>
    <row r="4538" spans="1:25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280"/>
        <v>0-12 Months</v>
      </c>
      <c r="W4538">
        <f t="shared" si="281"/>
        <v>1</v>
      </c>
      <c r="X4538">
        <f t="shared" si="282"/>
        <v>69.349999999999994</v>
      </c>
      <c r="Y4538" t="str">
        <f t="shared" si="283"/>
        <v>Non-Senior</v>
      </c>
    </row>
    <row r="4539" spans="1:25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280"/>
        <v>13-24 Months</v>
      </c>
      <c r="W4539">
        <f t="shared" si="281"/>
        <v>0</v>
      </c>
      <c r="X4539">
        <f t="shared" si="282"/>
        <v>0</v>
      </c>
      <c r="Y4539" t="str">
        <f t="shared" si="283"/>
        <v>Non-Senior</v>
      </c>
    </row>
    <row r="4540" spans="1:25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280"/>
        <v>0-12 Months</v>
      </c>
      <c r="W4540">
        <f t="shared" si="281"/>
        <v>1</v>
      </c>
      <c r="X4540">
        <f t="shared" si="282"/>
        <v>85.8</v>
      </c>
      <c r="Y4540" t="str">
        <f t="shared" si="283"/>
        <v>Non-Senior</v>
      </c>
    </row>
    <row r="4541" spans="1:25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280"/>
        <v>61-72 Months</v>
      </c>
      <c r="W4541">
        <f t="shared" si="281"/>
        <v>1</v>
      </c>
      <c r="X4541">
        <f t="shared" si="282"/>
        <v>79.7</v>
      </c>
      <c r="Y4541" t="str">
        <f t="shared" si="283"/>
        <v>Non-Senior</v>
      </c>
    </row>
    <row r="4542" spans="1:25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7082</v>
      </c>
      <c r="J4542" t="s">
        <v>7084</v>
      </c>
      <c r="K4542" t="s">
        <v>46</v>
      </c>
      <c r="L4542" t="s">
        <v>7084</v>
      </c>
      <c r="M4542" t="s">
        <v>7084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280"/>
        <v>0-12 Months</v>
      </c>
      <c r="W4542">
        <f t="shared" si="281"/>
        <v>0</v>
      </c>
      <c r="X4542">
        <f t="shared" si="282"/>
        <v>0</v>
      </c>
      <c r="Y4542" t="str">
        <f t="shared" si="283"/>
        <v>Non-Senior</v>
      </c>
    </row>
    <row r="4543" spans="1:25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280"/>
        <v>0-12 Months</v>
      </c>
      <c r="W4543">
        <f t="shared" si="281"/>
        <v>1</v>
      </c>
      <c r="X4543">
        <f t="shared" si="282"/>
        <v>50.55</v>
      </c>
      <c r="Y4543" t="str">
        <f t="shared" si="283"/>
        <v>Senior Citizen</v>
      </c>
    </row>
    <row r="4544" spans="1:25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280"/>
        <v>25-36 Months</v>
      </c>
      <c r="W4544">
        <f t="shared" si="281"/>
        <v>0</v>
      </c>
      <c r="X4544">
        <f t="shared" si="282"/>
        <v>0</v>
      </c>
      <c r="Y4544" t="str">
        <f t="shared" si="283"/>
        <v>Senior Citizen</v>
      </c>
    </row>
    <row r="4545" spans="1:25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7082</v>
      </c>
      <c r="J4545" t="s">
        <v>7084</v>
      </c>
      <c r="K4545" t="s">
        <v>46</v>
      </c>
      <c r="L4545" t="s">
        <v>7084</v>
      </c>
      <c r="M4545" t="s">
        <v>7084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280"/>
        <v>37-48 Months</v>
      </c>
      <c r="W4545">
        <f t="shared" si="281"/>
        <v>0</v>
      </c>
      <c r="X4545">
        <f t="shared" si="282"/>
        <v>0</v>
      </c>
      <c r="Y4545" t="str">
        <f t="shared" si="283"/>
        <v>Non-Senior</v>
      </c>
    </row>
    <row r="4546" spans="1:25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si="280"/>
        <v>0-12 Months</v>
      </c>
      <c r="W4546">
        <f t="shared" si="281"/>
        <v>1</v>
      </c>
      <c r="X4546">
        <f t="shared" si="282"/>
        <v>80.55</v>
      </c>
      <c r="Y4546" t="str">
        <f t="shared" si="283"/>
        <v>Non-Senior</v>
      </c>
    </row>
    <row r="4547" spans="1:25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ref="V4547:V4610" si="284">IF(F4547&lt;=12,"0-12 Months",IF(F4547&lt;=24,"13-24 Months",IF(F4547&lt;=36,"25-36 Months",IF(F4547&lt;=48,"37-48 Months",IF(F4547&lt;=60,"49-60 Months","61-72 Months")))))</f>
        <v>0-12 Months</v>
      </c>
      <c r="W4547">
        <f t="shared" ref="W4547:W4610" si="285">IF(U4547="Yes",1,0)</f>
        <v>0</v>
      </c>
      <c r="X4547">
        <f t="shared" ref="X4547:X4610" si="286">IF(U4547="Yes",S4547,0)</f>
        <v>0</v>
      </c>
      <c r="Y4547" t="str">
        <f t="shared" ref="Y4547:Y4610" si="287">IF(C4547=1,"Senior Citizen","Non-Senior")</f>
        <v>Non-Senior</v>
      </c>
    </row>
    <row r="4548" spans="1:25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284"/>
        <v>0-12 Months</v>
      </c>
      <c r="W4548">
        <f t="shared" si="285"/>
        <v>1</v>
      </c>
      <c r="X4548">
        <f t="shared" si="286"/>
        <v>84.5</v>
      </c>
      <c r="Y4548" t="str">
        <f t="shared" si="287"/>
        <v>Non-Senior</v>
      </c>
    </row>
    <row r="4549" spans="1:25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284"/>
        <v>61-72 Months</v>
      </c>
      <c r="W4549">
        <f t="shared" si="285"/>
        <v>0</v>
      </c>
      <c r="X4549">
        <f t="shared" si="286"/>
        <v>0</v>
      </c>
      <c r="Y4549" t="str">
        <f t="shared" si="287"/>
        <v>Non-Senior</v>
      </c>
    </row>
    <row r="4550" spans="1:25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284"/>
        <v>13-24 Months</v>
      </c>
      <c r="W4550">
        <f t="shared" si="285"/>
        <v>1</v>
      </c>
      <c r="X4550">
        <f t="shared" si="286"/>
        <v>84.3</v>
      </c>
      <c r="Y4550" t="str">
        <f t="shared" si="287"/>
        <v>Non-Senior</v>
      </c>
    </row>
    <row r="4551" spans="1:25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284"/>
        <v>13-24 Months</v>
      </c>
      <c r="W4551">
        <f t="shared" si="285"/>
        <v>0</v>
      </c>
      <c r="X4551">
        <f t="shared" si="286"/>
        <v>0</v>
      </c>
      <c r="Y4551" t="str">
        <f t="shared" si="287"/>
        <v>Non-Senior</v>
      </c>
    </row>
    <row r="4552" spans="1:25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7082</v>
      </c>
      <c r="J4552" t="s">
        <v>7084</v>
      </c>
      <c r="K4552" t="s">
        <v>46</v>
      </c>
      <c r="L4552" t="s">
        <v>7084</v>
      </c>
      <c r="M4552" t="s">
        <v>7084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284"/>
        <v>61-72 Months</v>
      </c>
      <c r="W4552">
        <f t="shared" si="285"/>
        <v>0</v>
      </c>
      <c r="X4552">
        <f t="shared" si="286"/>
        <v>0</v>
      </c>
      <c r="Y4552" t="str">
        <f t="shared" si="287"/>
        <v>Non-Senior</v>
      </c>
    </row>
    <row r="4553" spans="1:25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284"/>
        <v>49-60 Months</v>
      </c>
      <c r="W4553">
        <f t="shared" si="285"/>
        <v>0</v>
      </c>
      <c r="X4553">
        <f t="shared" si="286"/>
        <v>0</v>
      </c>
      <c r="Y4553" t="str">
        <f t="shared" si="287"/>
        <v>Non-Senior</v>
      </c>
    </row>
    <row r="4554" spans="1:25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7082</v>
      </c>
      <c r="J4554" t="s">
        <v>7084</v>
      </c>
      <c r="K4554" t="s">
        <v>46</v>
      </c>
      <c r="L4554" t="s">
        <v>7084</v>
      </c>
      <c r="M4554" t="s">
        <v>7084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284"/>
        <v>0-12 Months</v>
      </c>
      <c r="W4554">
        <f t="shared" si="285"/>
        <v>0</v>
      </c>
      <c r="X4554">
        <f t="shared" si="286"/>
        <v>0</v>
      </c>
      <c r="Y4554" t="str">
        <f t="shared" si="287"/>
        <v>Non-Senior</v>
      </c>
    </row>
    <row r="4555" spans="1:25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284"/>
        <v>61-72 Months</v>
      </c>
      <c r="W4555">
        <f t="shared" si="285"/>
        <v>0</v>
      </c>
      <c r="X4555">
        <f t="shared" si="286"/>
        <v>0</v>
      </c>
      <c r="Y4555" t="str">
        <f t="shared" si="287"/>
        <v>Non-Senior</v>
      </c>
    </row>
    <row r="4556" spans="1:25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284"/>
        <v>13-24 Months</v>
      </c>
      <c r="W4556">
        <f t="shared" si="285"/>
        <v>0</v>
      </c>
      <c r="X4556">
        <f t="shared" si="286"/>
        <v>0</v>
      </c>
      <c r="Y4556" t="str">
        <f t="shared" si="287"/>
        <v>Non-Senior</v>
      </c>
    </row>
    <row r="4557" spans="1:25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7082</v>
      </c>
      <c r="J4557" t="s">
        <v>7084</v>
      </c>
      <c r="K4557" t="s">
        <v>46</v>
      </c>
      <c r="L4557" t="s">
        <v>7084</v>
      </c>
      <c r="M4557" t="s">
        <v>7084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284"/>
        <v>13-24 Months</v>
      </c>
      <c r="W4557">
        <f t="shared" si="285"/>
        <v>0</v>
      </c>
      <c r="X4557">
        <f t="shared" si="286"/>
        <v>0</v>
      </c>
      <c r="Y4557" t="str">
        <f t="shared" si="287"/>
        <v>Non-Senior</v>
      </c>
    </row>
    <row r="4558" spans="1:25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284"/>
        <v>0-12 Months</v>
      </c>
      <c r="W4558">
        <f t="shared" si="285"/>
        <v>1</v>
      </c>
      <c r="X4558">
        <f t="shared" si="286"/>
        <v>67.75</v>
      </c>
      <c r="Y4558" t="str">
        <f t="shared" si="287"/>
        <v>Non-Senior</v>
      </c>
    </row>
    <row r="4559" spans="1:25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284"/>
        <v>49-60 Months</v>
      </c>
      <c r="W4559">
        <f t="shared" si="285"/>
        <v>0</v>
      </c>
      <c r="X4559">
        <f t="shared" si="286"/>
        <v>0</v>
      </c>
      <c r="Y4559" t="str">
        <f t="shared" si="287"/>
        <v>Non-Senior</v>
      </c>
    </row>
    <row r="4560" spans="1:25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284"/>
        <v>25-36 Months</v>
      </c>
      <c r="W4560">
        <f t="shared" si="285"/>
        <v>1</v>
      </c>
      <c r="X4560">
        <f t="shared" si="286"/>
        <v>85.25</v>
      </c>
      <c r="Y4560" t="str">
        <f t="shared" si="287"/>
        <v>Senior Citizen</v>
      </c>
    </row>
    <row r="4561" spans="1:25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7082</v>
      </c>
      <c r="J4561" t="s">
        <v>7084</v>
      </c>
      <c r="K4561" t="s">
        <v>46</v>
      </c>
      <c r="L4561" t="s">
        <v>7084</v>
      </c>
      <c r="M4561" t="s">
        <v>7084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284"/>
        <v>0-12 Months</v>
      </c>
      <c r="W4561">
        <f t="shared" si="285"/>
        <v>0</v>
      </c>
      <c r="X4561">
        <f t="shared" si="286"/>
        <v>0</v>
      </c>
      <c r="Y4561" t="str">
        <f t="shared" si="287"/>
        <v>Non-Senior</v>
      </c>
    </row>
    <row r="4562" spans="1:25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284"/>
        <v>0-12 Months</v>
      </c>
      <c r="W4562">
        <f t="shared" si="285"/>
        <v>0</v>
      </c>
      <c r="X4562">
        <f t="shared" si="286"/>
        <v>0</v>
      </c>
      <c r="Y4562" t="str">
        <f t="shared" si="287"/>
        <v>Non-Senior</v>
      </c>
    </row>
    <row r="4563" spans="1:25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284"/>
        <v>0-12 Months</v>
      </c>
      <c r="W4563">
        <f t="shared" si="285"/>
        <v>0</v>
      </c>
      <c r="X4563">
        <f t="shared" si="286"/>
        <v>0</v>
      </c>
      <c r="Y4563" t="str">
        <f t="shared" si="287"/>
        <v>Non-Senior</v>
      </c>
    </row>
    <row r="4564" spans="1:25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284"/>
        <v>61-72 Months</v>
      </c>
      <c r="W4564">
        <f t="shared" si="285"/>
        <v>0</v>
      </c>
      <c r="X4564">
        <f t="shared" si="286"/>
        <v>0</v>
      </c>
      <c r="Y4564" t="str">
        <f t="shared" si="287"/>
        <v>Non-Senior</v>
      </c>
    </row>
    <row r="4565" spans="1:25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284"/>
        <v>0-12 Months</v>
      </c>
      <c r="W4565">
        <f t="shared" si="285"/>
        <v>1</v>
      </c>
      <c r="X4565">
        <f t="shared" si="286"/>
        <v>80.05</v>
      </c>
      <c r="Y4565" t="str">
        <f t="shared" si="287"/>
        <v>Non-Senior</v>
      </c>
    </row>
    <row r="4566" spans="1:25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7082</v>
      </c>
      <c r="J4566" t="s">
        <v>7084</v>
      </c>
      <c r="K4566" t="s">
        <v>46</v>
      </c>
      <c r="L4566" t="s">
        <v>7084</v>
      </c>
      <c r="M4566" t="s">
        <v>7084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284"/>
        <v>0-12 Months</v>
      </c>
      <c r="W4566">
        <f t="shared" si="285"/>
        <v>1</v>
      </c>
      <c r="X4566">
        <f t="shared" si="286"/>
        <v>20</v>
      </c>
      <c r="Y4566" t="str">
        <f t="shared" si="287"/>
        <v>Non-Senior</v>
      </c>
    </row>
    <row r="4567" spans="1:25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284"/>
        <v>61-72 Months</v>
      </c>
      <c r="W4567">
        <f t="shared" si="285"/>
        <v>0</v>
      </c>
      <c r="X4567">
        <f t="shared" si="286"/>
        <v>0</v>
      </c>
      <c r="Y4567" t="str">
        <f t="shared" si="287"/>
        <v>Non-Senior</v>
      </c>
    </row>
    <row r="4568" spans="1:25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284"/>
        <v>61-72 Months</v>
      </c>
      <c r="W4568">
        <f t="shared" si="285"/>
        <v>0</v>
      </c>
      <c r="X4568">
        <f t="shared" si="286"/>
        <v>0</v>
      </c>
      <c r="Y4568" t="str">
        <f t="shared" si="287"/>
        <v>Non-Senior</v>
      </c>
    </row>
    <row r="4569" spans="1:25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284"/>
        <v>25-36 Months</v>
      </c>
      <c r="W4569">
        <f t="shared" si="285"/>
        <v>0</v>
      </c>
      <c r="X4569">
        <f t="shared" si="286"/>
        <v>0</v>
      </c>
      <c r="Y4569" t="str">
        <f t="shared" si="287"/>
        <v>Non-Senior</v>
      </c>
    </row>
    <row r="4570" spans="1:25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284"/>
        <v>25-36 Months</v>
      </c>
      <c r="W4570">
        <f t="shared" si="285"/>
        <v>0</v>
      </c>
      <c r="X4570">
        <f t="shared" si="286"/>
        <v>0</v>
      </c>
      <c r="Y4570" t="str">
        <f t="shared" si="287"/>
        <v>Non-Senior</v>
      </c>
    </row>
    <row r="4571" spans="1:25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284"/>
        <v>13-24 Months</v>
      </c>
      <c r="W4571">
        <f t="shared" si="285"/>
        <v>1</v>
      </c>
      <c r="X4571">
        <f t="shared" si="286"/>
        <v>48.8</v>
      </c>
      <c r="Y4571" t="str">
        <f t="shared" si="287"/>
        <v>Non-Senior</v>
      </c>
    </row>
    <row r="4572" spans="1:25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7082</v>
      </c>
      <c r="J4572" t="s">
        <v>7084</v>
      </c>
      <c r="K4572" t="s">
        <v>46</v>
      </c>
      <c r="L4572" t="s">
        <v>7084</v>
      </c>
      <c r="M4572" t="s">
        <v>7084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284"/>
        <v>0-12 Months</v>
      </c>
      <c r="W4572">
        <f t="shared" si="285"/>
        <v>0</v>
      </c>
      <c r="X4572">
        <f t="shared" si="286"/>
        <v>0</v>
      </c>
      <c r="Y4572" t="str">
        <f t="shared" si="287"/>
        <v>Non-Senior</v>
      </c>
    </row>
    <row r="4573" spans="1:25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284"/>
        <v>13-24 Months</v>
      </c>
      <c r="W4573">
        <f t="shared" si="285"/>
        <v>0</v>
      </c>
      <c r="X4573">
        <f t="shared" si="286"/>
        <v>0</v>
      </c>
      <c r="Y4573" t="str">
        <f t="shared" si="287"/>
        <v>Non-Senior</v>
      </c>
    </row>
    <row r="4574" spans="1:25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284"/>
        <v>49-60 Months</v>
      </c>
      <c r="W4574">
        <f t="shared" si="285"/>
        <v>0</v>
      </c>
      <c r="X4574">
        <f t="shared" si="286"/>
        <v>0</v>
      </c>
      <c r="Y4574" t="str">
        <f t="shared" si="287"/>
        <v>Non-Senior</v>
      </c>
    </row>
    <row r="4575" spans="1:25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7082</v>
      </c>
      <c r="J4575" t="s">
        <v>7084</v>
      </c>
      <c r="K4575" t="s">
        <v>46</v>
      </c>
      <c r="L4575" t="s">
        <v>7084</v>
      </c>
      <c r="M4575" t="s">
        <v>7084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284"/>
        <v>61-72 Months</v>
      </c>
      <c r="W4575">
        <f t="shared" si="285"/>
        <v>0</v>
      </c>
      <c r="X4575">
        <f t="shared" si="286"/>
        <v>0</v>
      </c>
      <c r="Y4575" t="str">
        <f t="shared" si="287"/>
        <v>Non-Senior</v>
      </c>
    </row>
    <row r="4576" spans="1:25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284"/>
        <v>61-72 Months</v>
      </c>
      <c r="W4576">
        <f t="shared" si="285"/>
        <v>0</v>
      </c>
      <c r="X4576">
        <f t="shared" si="286"/>
        <v>0</v>
      </c>
      <c r="Y4576" t="str">
        <f t="shared" si="287"/>
        <v>Senior Citizen</v>
      </c>
    </row>
    <row r="4577" spans="1:25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7082</v>
      </c>
      <c r="J4577" t="s">
        <v>7084</v>
      </c>
      <c r="K4577" t="s">
        <v>46</v>
      </c>
      <c r="L4577" t="s">
        <v>7084</v>
      </c>
      <c r="M4577" t="s">
        <v>7084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284"/>
        <v>0-12 Months</v>
      </c>
      <c r="W4577">
        <f t="shared" si="285"/>
        <v>0</v>
      </c>
      <c r="X4577">
        <f t="shared" si="286"/>
        <v>0</v>
      </c>
      <c r="Y4577" t="str">
        <f t="shared" si="287"/>
        <v>Non-Senior</v>
      </c>
    </row>
    <row r="4578" spans="1:25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7082</v>
      </c>
      <c r="J4578" t="s">
        <v>7084</v>
      </c>
      <c r="K4578" t="s">
        <v>46</v>
      </c>
      <c r="L4578" t="s">
        <v>7084</v>
      </c>
      <c r="M4578" t="s">
        <v>7084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284"/>
        <v>13-24 Months</v>
      </c>
      <c r="W4578">
        <f t="shared" si="285"/>
        <v>0</v>
      </c>
      <c r="X4578">
        <f t="shared" si="286"/>
        <v>0</v>
      </c>
      <c r="Y4578" t="str">
        <f t="shared" si="287"/>
        <v>Non-Senior</v>
      </c>
    </row>
    <row r="4579" spans="1:25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284"/>
        <v>61-72 Months</v>
      </c>
      <c r="W4579">
        <f t="shared" si="285"/>
        <v>0</v>
      </c>
      <c r="X4579">
        <f t="shared" si="286"/>
        <v>0</v>
      </c>
      <c r="Y4579" t="str">
        <f t="shared" si="287"/>
        <v>Senior Citizen</v>
      </c>
    </row>
    <row r="4580" spans="1:25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284"/>
        <v>0-12 Months</v>
      </c>
      <c r="W4580">
        <f t="shared" si="285"/>
        <v>0</v>
      </c>
      <c r="X4580">
        <f t="shared" si="286"/>
        <v>0</v>
      </c>
      <c r="Y4580" t="str">
        <f t="shared" si="287"/>
        <v>Non-Senior</v>
      </c>
    </row>
    <row r="4581" spans="1:25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284"/>
        <v>25-36 Months</v>
      </c>
      <c r="W4581">
        <f t="shared" si="285"/>
        <v>0</v>
      </c>
      <c r="X4581">
        <f t="shared" si="286"/>
        <v>0</v>
      </c>
      <c r="Y4581" t="str">
        <f t="shared" si="287"/>
        <v>Non-Senior</v>
      </c>
    </row>
    <row r="4582" spans="1:25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7082</v>
      </c>
      <c r="J4582" t="s">
        <v>7084</v>
      </c>
      <c r="K4582" t="s">
        <v>46</v>
      </c>
      <c r="L4582" t="s">
        <v>7084</v>
      </c>
      <c r="M4582" t="s">
        <v>7084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284"/>
        <v>61-72 Months</v>
      </c>
      <c r="W4582">
        <f t="shared" si="285"/>
        <v>0</v>
      </c>
      <c r="X4582">
        <f t="shared" si="286"/>
        <v>0</v>
      </c>
      <c r="Y4582" t="str">
        <f t="shared" si="287"/>
        <v>Non-Senior</v>
      </c>
    </row>
    <row r="4583" spans="1:25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7082</v>
      </c>
      <c r="J4583" t="s">
        <v>7084</v>
      </c>
      <c r="K4583" t="s">
        <v>46</v>
      </c>
      <c r="L4583" t="s">
        <v>7084</v>
      </c>
      <c r="M4583" t="s">
        <v>7084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284"/>
        <v>49-60 Months</v>
      </c>
      <c r="W4583">
        <f t="shared" si="285"/>
        <v>0</v>
      </c>
      <c r="X4583">
        <f t="shared" si="286"/>
        <v>0</v>
      </c>
      <c r="Y4583" t="str">
        <f t="shared" si="287"/>
        <v>Non-Senior</v>
      </c>
    </row>
    <row r="4584" spans="1:25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284"/>
        <v>61-72 Months</v>
      </c>
      <c r="W4584">
        <f t="shared" si="285"/>
        <v>0</v>
      </c>
      <c r="X4584">
        <f t="shared" si="286"/>
        <v>0</v>
      </c>
      <c r="Y4584" t="str">
        <f t="shared" si="287"/>
        <v>Non-Senior</v>
      </c>
    </row>
    <row r="4585" spans="1:25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284"/>
        <v>61-72 Months</v>
      </c>
      <c r="W4585">
        <f t="shared" si="285"/>
        <v>0</v>
      </c>
      <c r="X4585">
        <f t="shared" si="286"/>
        <v>0</v>
      </c>
      <c r="Y4585" t="str">
        <f t="shared" si="287"/>
        <v>Non-Senior</v>
      </c>
    </row>
    <row r="4586" spans="1:25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284"/>
        <v>61-72 Months</v>
      </c>
      <c r="W4586">
        <f t="shared" si="285"/>
        <v>0</v>
      </c>
      <c r="X4586">
        <f t="shared" si="286"/>
        <v>0</v>
      </c>
      <c r="Y4586" t="str">
        <f t="shared" si="287"/>
        <v>Senior Citizen</v>
      </c>
    </row>
    <row r="4587" spans="1:25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284"/>
        <v>0-12 Months</v>
      </c>
      <c r="W4587">
        <f t="shared" si="285"/>
        <v>1</v>
      </c>
      <c r="X4587">
        <f t="shared" si="286"/>
        <v>85.05</v>
      </c>
      <c r="Y4587" t="str">
        <f t="shared" si="287"/>
        <v>Senior Citizen</v>
      </c>
    </row>
    <row r="4588" spans="1:25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284"/>
        <v>61-72 Months</v>
      </c>
      <c r="W4588">
        <f t="shared" si="285"/>
        <v>0</v>
      </c>
      <c r="X4588">
        <f t="shared" si="286"/>
        <v>0</v>
      </c>
      <c r="Y4588" t="str">
        <f t="shared" si="287"/>
        <v>Non-Senior</v>
      </c>
    </row>
    <row r="4589" spans="1:25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284"/>
        <v>25-36 Months</v>
      </c>
      <c r="W4589">
        <f t="shared" si="285"/>
        <v>0</v>
      </c>
      <c r="X4589">
        <f t="shared" si="286"/>
        <v>0</v>
      </c>
      <c r="Y4589" t="str">
        <f t="shared" si="287"/>
        <v>Non-Senior</v>
      </c>
    </row>
    <row r="4590" spans="1:25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284"/>
        <v>25-36 Months</v>
      </c>
      <c r="W4590">
        <f t="shared" si="285"/>
        <v>0</v>
      </c>
      <c r="X4590">
        <f t="shared" si="286"/>
        <v>0</v>
      </c>
      <c r="Y4590" t="str">
        <f t="shared" si="287"/>
        <v>Non-Senior</v>
      </c>
    </row>
    <row r="4591" spans="1:25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7082</v>
      </c>
      <c r="J4591" t="s">
        <v>7084</v>
      </c>
      <c r="K4591" t="s">
        <v>46</v>
      </c>
      <c r="L4591" t="s">
        <v>7084</v>
      </c>
      <c r="M4591" t="s">
        <v>7084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284"/>
        <v>0-12 Months</v>
      </c>
      <c r="W4591">
        <f t="shared" si="285"/>
        <v>0</v>
      </c>
      <c r="X4591">
        <f t="shared" si="286"/>
        <v>0</v>
      </c>
      <c r="Y4591" t="str">
        <f t="shared" si="287"/>
        <v>Non-Senior</v>
      </c>
    </row>
    <row r="4592" spans="1:25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284"/>
        <v>49-60 Months</v>
      </c>
      <c r="W4592">
        <f t="shared" si="285"/>
        <v>0</v>
      </c>
      <c r="X4592">
        <f t="shared" si="286"/>
        <v>0</v>
      </c>
      <c r="Y4592" t="str">
        <f t="shared" si="287"/>
        <v>Senior Citizen</v>
      </c>
    </row>
    <row r="4593" spans="1:25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7082</v>
      </c>
      <c r="J4593" t="s">
        <v>7084</v>
      </c>
      <c r="K4593" t="s">
        <v>46</v>
      </c>
      <c r="L4593" t="s">
        <v>7084</v>
      </c>
      <c r="M4593" t="s">
        <v>7084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284"/>
        <v>0-12 Months</v>
      </c>
      <c r="W4593">
        <f t="shared" si="285"/>
        <v>0</v>
      </c>
      <c r="X4593">
        <f t="shared" si="286"/>
        <v>0</v>
      </c>
      <c r="Y4593" t="str">
        <f t="shared" si="287"/>
        <v>Non-Senior</v>
      </c>
    </row>
    <row r="4594" spans="1:25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7082</v>
      </c>
      <c r="J4594" t="s">
        <v>7084</v>
      </c>
      <c r="K4594" t="s">
        <v>46</v>
      </c>
      <c r="L4594" t="s">
        <v>7084</v>
      </c>
      <c r="M4594" t="s">
        <v>7084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284"/>
        <v>37-48 Months</v>
      </c>
      <c r="W4594">
        <f t="shared" si="285"/>
        <v>0</v>
      </c>
      <c r="X4594">
        <f t="shared" si="286"/>
        <v>0</v>
      </c>
      <c r="Y4594" t="str">
        <f t="shared" si="287"/>
        <v>Non-Senior</v>
      </c>
    </row>
    <row r="4595" spans="1:25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7082</v>
      </c>
      <c r="J4595" t="s">
        <v>7084</v>
      </c>
      <c r="K4595" t="s">
        <v>46</v>
      </c>
      <c r="L4595" t="s">
        <v>7084</v>
      </c>
      <c r="M4595" t="s">
        <v>7084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284"/>
        <v>0-12 Months</v>
      </c>
      <c r="W4595">
        <f t="shared" si="285"/>
        <v>0</v>
      </c>
      <c r="X4595">
        <f t="shared" si="286"/>
        <v>0</v>
      </c>
      <c r="Y4595" t="str">
        <f t="shared" si="287"/>
        <v>Non-Senior</v>
      </c>
    </row>
    <row r="4596" spans="1:25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284"/>
        <v>13-24 Months</v>
      </c>
      <c r="W4596">
        <f t="shared" si="285"/>
        <v>1</v>
      </c>
      <c r="X4596">
        <f t="shared" si="286"/>
        <v>102.8</v>
      </c>
      <c r="Y4596" t="str">
        <f t="shared" si="287"/>
        <v>Non-Senior</v>
      </c>
    </row>
    <row r="4597" spans="1:25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284"/>
        <v>61-72 Months</v>
      </c>
      <c r="W4597">
        <f t="shared" si="285"/>
        <v>0</v>
      </c>
      <c r="X4597">
        <f t="shared" si="286"/>
        <v>0</v>
      </c>
      <c r="Y4597" t="str">
        <f t="shared" si="287"/>
        <v>Non-Senior</v>
      </c>
    </row>
    <row r="4598" spans="1:25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284"/>
        <v>13-24 Months</v>
      </c>
      <c r="W4598">
        <f t="shared" si="285"/>
        <v>0</v>
      </c>
      <c r="X4598">
        <f t="shared" si="286"/>
        <v>0</v>
      </c>
      <c r="Y4598" t="str">
        <f t="shared" si="287"/>
        <v>Non-Senior</v>
      </c>
    </row>
    <row r="4599" spans="1:25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284"/>
        <v>0-12 Months</v>
      </c>
      <c r="W4599">
        <f t="shared" si="285"/>
        <v>1</v>
      </c>
      <c r="X4599">
        <f t="shared" si="286"/>
        <v>99.95</v>
      </c>
      <c r="Y4599" t="str">
        <f t="shared" si="287"/>
        <v>Non-Senior</v>
      </c>
    </row>
    <row r="4600" spans="1:25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284"/>
        <v>13-24 Months</v>
      </c>
      <c r="W4600">
        <f t="shared" si="285"/>
        <v>0</v>
      </c>
      <c r="X4600">
        <f t="shared" si="286"/>
        <v>0</v>
      </c>
      <c r="Y4600" t="str">
        <f t="shared" si="287"/>
        <v>Non-Senior</v>
      </c>
    </row>
    <row r="4601" spans="1:25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284"/>
        <v>49-60 Months</v>
      </c>
      <c r="W4601">
        <f t="shared" si="285"/>
        <v>0</v>
      </c>
      <c r="X4601">
        <f t="shared" si="286"/>
        <v>0</v>
      </c>
      <c r="Y4601" t="str">
        <f t="shared" si="287"/>
        <v>Non-Senior</v>
      </c>
    </row>
    <row r="4602" spans="1:25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284"/>
        <v>49-60 Months</v>
      </c>
      <c r="W4602">
        <f t="shared" si="285"/>
        <v>0</v>
      </c>
      <c r="X4602">
        <f t="shared" si="286"/>
        <v>0</v>
      </c>
      <c r="Y4602" t="str">
        <f t="shared" si="287"/>
        <v>Non-Senior</v>
      </c>
    </row>
    <row r="4603" spans="1:25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284"/>
        <v>37-48 Months</v>
      </c>
      <c r="W4603">
        <f t="shared" si="285"/>
        <v>0</v>
      </c>
      <c r="X4603">
        <f t="shared" si="286"/>
        <v>0</v>
      </c>
      <c r="Y4603" t="str">
        <f t="shared" si="287"/>
        <v>Non-Senior</v>
      </c>
    </row>
    <row r="4604" spans="1:25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7082</v>
      </c>
      <c r="J4604" t="s">
        <v>7084</v>
      </c>
      <c r="K4604" t="s">
        <v>46</v>
      </c>
      <c r="L4604" t="s">
        <v>7084</v>
      </c>
      <c r="M4604" t="s">
        <v>7084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284"/>
        <v>61-72 Months</v>
      </c>
      <c r="W4604">
        <f t="shared" si="285"/>
        <v>0</v>
      </c>
      <c r="X4604">
        <f t="shared" si="286"/>
        <v>0</v>
      </c>
      <c r="Y4604" t="str">
        <f t="shared" si="287"/>
        <v>Non-Senior</v>
      </c>
    </row>
    <row r="4605" spans="1:25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284"/>
        <v>0-12 Months</v>
      </c>
      <c r="W4605">
        <f t="shared" si="285"/>
        <v>0</v>
      </c>
      <c r="X4605">
        <f t="shared" si="286"/>
        <v>0</v>
      </c>
      <c r="Y4605" t="str">
        <f t="shared" si="287"/>
        <v>Non-Senior</v>
      </c>
    </row>
    <row r="4606" spans="1:25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284"/>
        <v>61-72 Months</v>
      </c>
      <c r="W4606">
        <f t="shared" si="285"/>
        <v>0</v>
      </c>
      <c r="X4606">
        <f t="shared" si="286"/>
        <v>0</v>
      </c>
      <c r="Y4606" t="str">
        <f t="shared" si="287"/>
        <v>Senior Citizen</v>
      </c>
    </row>
    <row r="4607" spans="1:25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284"/>
        <v>61-72 Months</v>
      </c>
      <c r="W4607">
        <f t="shared" si="285"/>
        <v>0</v>
      </c>
      <c r="X4607">
        <f t="shared" si="286"/>
        <v>0</v>
      </c>
      <c r="Y4607" t="str">
        <f t="shared" si="287"/>
        <v>Non-Senior</v>
      </c>
    </row>
    <row r="4608" spans="1:25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7082</v>
      </c>
      <c r="J4608" t="s">
        <v>7084</v>
      </c>
      <c r="K4608" t="s">
        <v>46</v>
      </c>
      <c r="L4608" t="s">
        <v>7084</v>
      </c>
      <c r="M4608" t="s">
        <v>7084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284"/>
        <v>0-12 Months</v>
      </c>
      <c r="W4608">
        <f t="shared" si="285"/>
        <v>0</v>
      </c>
      <c r="X4608">
        <f t="shared" si="286"/>
        <v>0</v>
      </c>
      <c r="Y4608" t="str">
        <f t="shared" si="287"/>
        <v>Non-Senior</v>
      </c>
    </row>
    <row r="4609" spans="1:25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284"/>
        <v>0-12 Months</v>
      </c>
      <c r="W4609">
        <f t="shared" si="285"/>
        <v>0</v>
      </c>
      <c r="X4609">
        <f t="shared" si="286"/>
        <v>0</v>
      </c>
      <c r="Y4609" t="str">
        <f t="shared" si="287"/>
        <v>Non-Senior</v>
      </c>
    </row>
    <row r="4610" spans="1:25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si="284"/>
        <v>49-60 Months</v>
      </c>
      <c r="W4610">
        <f t="shared" si="285"/>
        <v>0</v>
      </c>
      <c r="X4610">
        <f t="shared" si="286"/>
        <v>0</v>
      </c>
      <c r="Y4610" t="str">
        <f t="shared" si="287"/>
        <v>Non-Senior</v>
      </c>
    </row>
    <row r="4611" spans="1:25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ref="V4611:V4674" si="288">IF(F4611&lt;=12,"0-12 Months",IF(F4611&lt;=24,"13-24 Months",IF(F4611&lt;=36,"25-36 Months",IF(F4611&lt;=48,"37-48 Months",IF(F4611&lt;=60,"49-60 Months","61-72 Months")))))</f>
        <v>25-36 Months</v>
      </c>
      <c r="W4611">
        <f t="shared" ref="W4611:W4674" si="289">IF(U4611="Yes",1,0)</f>
        <v>0</v>
      </c>
      <c r="X4611">
        <f t="shared" ref="X4611:X4674" si="290">IF(U4611="Yes",S4611,0)</f>
        <v>0</v>
      </c>
      <c r="Y4611" t="str">
        <f t="shared" ref="Y4611:Y4674" si="291">IF(C4611=1,"Senior Citizen","Non-Senior")</f>
        <v>Non-Senior</v>
      </c>
    </row>
    <row r="4612" spans="1:25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288"/>
        <v>61-72 Months</v>
      </c>
      <c r="W4612">
        <f t="shared" si="289"/>
        <v>1</v>
      </c>
      <c r="X4612">
        <f t="shared" si="290"/>
        <v>117.8</v>
      </c>
      <c r="Y4612" t="str">
        <f t="shared" si="291"/>
        <v>Non-Senior</v>
      </c>
    </row>
    <row r="4613" spans="1:25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7082</v>
      </c>
      <c r="J4613" t="s">
        <v>7084</v>
      </c>
      <c r="K4613" t="s">
        <v>46</v>
      </c>
      <c r="L4613" t="s">
        <v>7084</v>
      </c>
      <c r="M4613" t="s">
        <v>7084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288"/>
        <v>61-72 Months</v>
      </c>
      <c r="W4613">
        <f t="shared" si="289"/>
        <v>0</v>
      </c>
      <c r="X4613">
        <f t="shared" si="290"/>
        <v>0</v>
      </c>
      <c r="Y4613" t="str">
        <f t="shared" si="291"/>
        <v>Non-Senior</v>
      </c>
    </row>
    <row r="4614" spans="1:25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288"/>
        <v>61-72 Months</v>
      </c>
      <c r="W4614">
        <f t="shared" si="289"/>
        <v>0</v>
      </c>
      <c r="X4614">
        <f t="shared" si="290"/>
        <v>0</v>
      </c>
      <c r="Y4614" t="str">
        <f t="shared" si="291"/>
        <v>Non-Senior</v>
      </c>
    </row>
    <row r="4615" spans="1:25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288"/>
        <v>49-60 Months</v>
      </c>
      <c r="W4615">
        <f t="shared" si="289"/>
        <v>1</v>
      </c>
      <c r="X4615">
        <f t="shared" si="290"/>
        <v>79.5</v>
      </c>
      <c r="Y4615" t="str">
        <f t="shared" si="291"/>
        <v>Senior Citizen</v>
      </c>
    </row>
    <row r="4616" spans="1:25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7082</v>
      </c>
      <c r="J4616" t="s">
        <v>7084</v>
      </c>
      <c r="K4616" t="s">
        <v>46</v>
      </c>
      <c r="L4616" t="s">
        <v>7084</v>
      </c>
      <c r="M4616" t="s">
        <v>7084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288"/>
        <v>0-12 Months</v>
      </c>
      <c r="W4616">
        <f t="shared" si="289"/>
        <v>0</v>
      </c>
      <c r="X4616">
        <f t="shared" si="290"/>
        <v>0</v>
      </c>
      <c r="Y4616" t="str">
        <f t="shared" si="291"/>
        <v>Non-Senior</v>
      </c>
    </row>
    <row r="4617" spans="1:25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288"/>
        <v>61-72 Months</v>
      </c>
      <c r="W4617">
        <f t="shared" si="289"/>
        <v>0</v>
      </c>
      <c r="X4617">
        <f t="shared" si="290"/>
        <v>0</v>
      </c>
      <c r="Y4617" t="str">
        <f t="shared" si="291"/>
        <v>Non-Senior</v>
      </c>
    </row>
    <row r="4618" spans="1:25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288"/>
        <v>13-24 Months</v>
      </c>
      <c r="W4618">
        <f t="shared" si="289"/>
        <v>0</v>
      </c>
      <c r="X4618">
        <f t="shared" si="290"/>
        <v>0</v>
      </c>
      <c r="Y4618" t="str">
        <f t="shared" si="291"/>
        <v>Non-Senior</v>
      </c>
    </row>
    <row r="4619" spans="1:25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7082</v>
      </c>
      <c r="J4619" t="s">
        <v>7084</v>
      </c>
      <c r="K4619" t="s">
        <v>46</v>
      </c>
      <c r="L4619" t="s">
        <v>7084</v>
      </c>
      <c r="M4619" t="s">
        <v>7084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288"/>
        <v>0-12 Months</v>
      </c>
      <c r="W4619">
        <f t="shared" si="289"/>
        <v>0</v>
      </c>
      <c r="X4619">
        <f t="shared" si="290"/>
        <v>0</v>
      </c>
      <c r="Y4619" t="str">
        <f t="shared" si="291"/>
        <v>Non-Senior</v>
      </c>
    </row>
    <row r="4620" spans="1:25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288"/>
        <v>0-12 Months</v>
      </c>
      <c r="W4620">
        <f t="shared" si="289"/>
        <v>0</v>
      </c>
      <c r="X4620">
        <f t="shared" si="290"/>
        <v>0</v>
      </c>
      <c r="Y4620" t="str">
        <f t="shared" si="291"/>
        <v>Senior Citizen</v>
      </c>
    </row>
    <row r="4621" spans="1:25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288"/>
        <v>0-12 Months</v>
      </c>
      <c r="W4621">
        <f t="shared" si="289"/>
        <v>1</v>
      </c>
      <c r="X4621">
        <f t="shared" si="290"/>
        <v>79.650000000000006</v>
      </c>
      <c r="Y4621" t="str">
        <f t="shared" si="291"/>
        <v>Non-Senior</v>
      </c>
    </row>
    <row r="4622" spans="1:25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288"/>
        <v>61-72 Months</v>
      </c>
      <c r="W4622">
        <f t="shared" si="289"/>
        <v>0</v>
      </c>
      <c r="X4622">
        <f t="shared" si="290"/>
        <v>0</v>
      </c>
      <c r="Y4622" t="str">
        <f t="shared" si="291"/>
        <v>Non-Senior</v>
      </c>
    </row>
    <row r="4623" spans="1:25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288"/>
        <v>0-12 Months</v>
      </c>
      <c r="W4623">
        <f t="shared" si="289"/>
        <v>0</v>
      </c>
      <c r="X4623">
        <f t="shared" si="290"/>
        <v>0</v>
      </c>
      <c r="Y4623" t="str">
        <f t="shared" si="291"/>
        <v>Non-Senior</v>
      </c>
    </row>
    <row r="4624" spans="1:25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288"/>
        <v>49-60 Months</v>
      </c>
      <c r="W4624">
        <f t="shared" si="289"/>
        <v>0</v>
      </c>
      <c r="X4624">
        <f t="shared" si="290"/>
        <v>0</v>
      </c>
      <c r="Y4624" t="str">
        <f t="shared" si="291"/>
        <v>Non-Senior</v>
      </c>
    </row>
    <row r="4625" spans="1:25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288"/>
        <v>61-72 Months</v>
      </c>
      <c r="W4625">
        <f t="shared" si="289"/>
        <v>0</v>
      </c>
      <c r="X4625">
        <f t="shared" si="290"/>
        <v>0</v>
      </c>
      <c r="Y4625" t="str">
        <f t="shared" si="291"/>
        <v>Senior Citizen</v>
      </c>
    </row>
    <row r="4626" spans="1:25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288"/>
        <v>0-12 Months</v>
      </c>
      <c r="W4626">
        <f t="shared" si="289"/>
        <v>1</v>
      </c>
      <c r="X4626">
        <f t="shared" si="290"/>
        <v>94.7</v>
      </c>
      <c r="Y4626" t="str">
        <f t="shared" si="291"/>
        <v>Non-Senior</v>
      </c>
    </row>
    <row r="4627" spans="1:25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288"/>
        <v>0-12 Months</v>
      </c>
      <c r="W4627">
        <f t="shared" si="289"/>
        <v>0</v>
      </c>
      <c r="X4627">
        <f t="shared" si="290"/>
        <v>0</v>
      </c>
      <c r="Y4627" t="str">
        <f t="shared" si="291"/>
        <v>Senior Citizen</v>
      </c>
    </row>
    <row r="4628" spans="1:25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288"/>
        <v>61-72 Months</v>
      </c>
      <c r="W4628">
        <f t="shared" si="289"/>
        <v>0</v>
      </c>
      <c r="X4628">
        <f t="shared" si="290"/>
        <v>0</v>
      </c>
      <c r="Y4628" t="str">
        <f t="shared" si="291"/>
        <v>Senior Citizen</v>
      </c>
    </row>
    <row r="4629" spans="1:25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288"/>
        <v>49-60 Months</v>
      </c>
      <c r="W4629">
        <f t="shared" si="289"/>
        <v>0</v>
      </c>
      <c r="X4629">
        <f t="shared" si="290"/>
        <v>0</v>
      </c>
      <c r="Y4629" t="str">
        <f t="shared" si="291"/>
        <v>Non-Senior</v>
      </c>
    </row>
    <row r="4630" spans="1:25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288"/>
        <v>0-12 Months</v>
      </c>
      <c r="W4630">
        <f t="shared" si="289"/>
        <v>0</v>
      </c>
      <c r="X4630">
        <f t="shared" si="290"/>
        <v>0</v>
      </c>
      <c r="Y4630" t="str">
        <f t="shared" si="291"/>
        <v>Non-Senior</v>
      </c>
    </row>
    <row r="4631" spans="1:25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7082</v>
      </c>
      <c r="J4631" t="s">
        <v>7084</v>
      </c>
      <c r="K4631" t="s">
        <v>46</v>
      </c>
      <c r="L4631" t="s">
        <v>7084</v>
      </c>
      <c r="M4631" t="s">
        <v>7084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288"/>
        <v>13-24 Months</v>
      </c>
      <c r="W4631">
        <f t="shared" si="289"/>
        <v>0</v>
      </c>
      <c r="X4631">
        <f t="shared" si="290"/>
        <v>0</v>
      </c>
      <c r="Y4631" t="str">
        <f t="shared" si="291"/>
        <v>Non-Senior</v>
      </c>
    </row>
    <row r="4632" spans="1:25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288"/>
        <v>13-24 Months</v>
      </c>
      <c r="W4632">
        <f t="shared" si="289"/>
        <v>0</v>
      </c>
      <c r="X4632">
        <f t="shared" si="290"/>
        <v>0</v>
      </c>
      <c r="Y4632" t="str">
        <f t="shared" si="291"/>
        <v>Non-Senior</v>
      </c>
    </row>
    <row r="4633" spans="1:25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288"/>
        <v>0-12 Months</v>
      </c>
      <c r="W4633">
        <f t="shared" si="289"/>
        <v>1</v>
      </c>
      <c r="X4633">
        <f t="shared" si="290"/>
        <v>92.5</v>
      </c>
      <c r="Y4633" t="str">
        <f t="shared" si="291"/>
        <v>Non-Senior</v>
      </c>
    </row>
    <row r="4634" spans="1:25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7082</v>
      </c>
      <c r="J4634" t="s">
        <v>7084</v>
      </c>
      <c r="K4634" t="s">
        <v>46</v>
      </c>
      <c r="L4634" t="s">
        <v>7084</v>
      </c>
      <c r="M4634" t="s">
        <v>7084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288"/>
        <v>0-12 Months</v>
      </c>
      <c r="W4634">
        <f t="shared" si="289"/>
        <v>1</v>
      </c>
      <c r="X4634">
        <f t="shared" si="290"/>
        <v>19.45</v>
      </c>
      <c r="Y4634" t="str">
        <f t="shared" si="291"/>
        <v>Non-Senior</v>
      </c>
    </row>
    <row r="4635" spans="1:25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7082</v>
      </c>
      <c r="J4635" t="s">
        <v>7084</v>
      </c>
      <c r="K4635" t="s">
        <v>46</v>
      </c>
      <c r="L4635" t="s">
        <v>7084</v>
      </c>
      <c r="M4635" t="s">
        <v>7084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288"/>
        <v>61-72 Months</v>
      </c>
      <c r="W4635">
        <f t="shared" si="289"/>
        <v>0</v>
      </c>
      <c r="X4635">
        <f t="shared" si="290"/>
        <v>0</v>
      </c>
      <c r="Y4635" t="str">
        <f t="shared" si="291"/>
        <v>Non-Senior</v>
      </c>
    </row>
    <row r="4636" spans="1:25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7082</v>
      </c>
      <c r="J4636" t="s">
        <v>7084</v>
      </c>
      <c r="K4636" t="s">
        <v>46</v>
      </c>
      <c r="L4636" t="s">
        <v>7084</v>
      </c>
      <c r="M4636" t="s">
        <v>7084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288"/>
        <v>0-12 Months</v>
      </c>
      <c r="W4636">
        <f t="shared" si="289"/>
        <v>0</v>
      </c>
      <c r="X4636">
        <f t="shared" si="290"/>
        <v>0</v>
      </c>
      <c r="Y4636" t="str">
        <f t="shared" si="291"/>
        <v>Non-Senior</v>
      </c>
    </row>
    <row r="4637" spans="1:25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7082</v>
      </c>
      <c r="J4637" t="s">
        <v>7084</v>
      </c>
      <c r="K4637" t="s">
        <v>46</v>
      </c>
      <c r="L4637" t="s">
        <v>7084</v>
      </c>
      <c r="M4637" t="s">
        <v>7084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288"/>
        <v>37-48 Months</v>
      </c>
      <c r="W4637">
        <f t="shared" si="289"/>
        <v>0</v>
      </c>
      <c r="X4637">
        <f t="shared" si="290"/>
        <v>0</v>
      </c>
      <c r="Y4637" t="str">
        <f t="shared" si="291"/>
        <v>Non-Senior</v>
      </c>
    </row>
    <row r="4638" spans="1:25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7082</v>
      </c>
      <c r="J4638" t="s">
        <v>7084</v>
      </c>
      <c r="K4638" t="s">
        <v>46</v>
      </c>
      <c r="L4638" t="s">
        <v>7084</v>
      </c>
      <c r="M4638" t="s">
        <v>7084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288"/>
        <v>37-48 Months</v>
      </c>
      <c r="W4638">
        <f t="shared" si="289"/>
        <v>0</v>
      </c>
      <c r="X4638">
        <f t="shared" si="290"/>
        <v>0</v>
      </c>
      <c r="Y4638" t="str">
        <f t="shared" si="291"/>
        <v>Non-Senior</v>
      </c>
    </row>
    <row r="4639" spans="1:25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288"/>
        <v>61-72 Months</v>
      </c>
      <c r="W4639">
        <f t="shared" si="289"/>
        <v>0</v>
      </c>
      <c r="X4639">
        <f t="shared" si="290"/>
        <v>0</v>
      </c>
      <c r="Y4639" t="str">
        <f t="shared" si="291"/>
        <v>Senior Citizen</v>
      </c>
    </row>
    <row r="4640" spans="1:25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288"/>
        <v>0-12 Months</v>
      </c>
      <c r="W4640">
        <f t="shared" si="289"/>
        <v>1</v>
      </c>
      <c r="X4640">
        <f t="shared" si="290"/>
        <v>75.55</v>
      </c>
      <c r="Y4640" t="str">
        <f t="shared" si="291"/>
        <v>Non-Senior</v>
      </c>
    </row>
    <row r="4641" spans="1:25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288"/>
        <v>25-36 Months</v>
      </c>
      <c r="W4641">
        <f t="shared" si="289"/>
        <v>0</v>
      </c>
      <c r="X4641">
        <f t="shared" si="290"/>
        <v>0</v>
      </c>
      <c r="Y4641" t="str">
        <f t="shared" si="291"/>
        <v>Senior Citizen</v>
      </c>
    </row>
    <row r="4642" spans="1:25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288"/>
        <v>0-12 Months</v>
      </c>
      <c r="W4642">
        <f t="shared" si="289"/>
        <v>1</v>
      </c>
      <c r="X4642">
        <f t="shared" si="290"/>
        <v>70</v>
      </c>
      <c r="Y4642" t="str">
        <f t="shared" si="291"/>
        <v>Non-Senior</v>
      </c>
    </row>
    <row r="4643" spans="1:25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288"/>
        <v>0-12 Months</v>
      </c>
      <c r="W4643">
        <f t="shared" si="289"/>
        <v>0</v>
      </c>
      <c r="X4643">
        <f t="shared" si="290"/>
        <v>0</v>
      </c>
      <c r="Y4643" t="str">
        <f t="shared" si="291"/>
        <v>Non-Senior</v>
      </c>
    </row>
    <row r="4644" spans="1:25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288"/>
        <v>61-72 Months</v>
      </c>
      <c r="W4644">
        <f t="shared" si="289"/>
        <v>1</v>
      </c>
      <c r="X4644">
        <f t="shared" si="290"/>
        <v>74.8</v>
      </c>
      <c r="Y4644" t="str">
        <f t="shared" si="291"/>
        <v>Non-Senior</v>
      </c>
    </row>
    <row r="4645" spans="1:25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288"/>
        <v>0-12 Months</v>
      </c>
      <c r="W4645">
        <f t="shared" si="289"/>
        <v>0</v>
      </c>
      <c r="X4645">
        <f t="shared" si="290"/>
        <v>0</v>
      </c>
      <c r="Y4645" t="str">
        <f t="shared" si="291"/>
        <v>Non-Senior</v>
      </c>
    </row>
    <row r="4646" spans="1:25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288"/>
        <v>13-24 Months</v>
      </c>
      <c r="W4646">
        <f t="shared" si="289"/>
        <v>0</v>
      </c>
      <c r="X4646">
        <f t="shared" si="290"/>
        <v>0</v>
      </c>
      <c r="Y4646" t="str">
        <f t="shared" si="291"/>
        <v>Non-Senior</v>
      </c>
    </row>
    <row r="4647" spans="1:25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288"/>
        <v>25-36 Months</v>
      </c>
      <c r="W4647">
        <f t="shared" si="289"/>
        <v>1</v>
      </c>
      <c r="X4647">
        <f t="shared" si="290"/>
        <v>104.4</v>
      </c>
      <c r="Y4647" t="str">
        <f t="shared" si="291"/>
        <v>Non-Senior</v>
      </c>
    </row>
    <row r="4648" spans="1:25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288"/>
        <v>0-12 Months</v>
      </c>
      <c r="W4648">
        <f t="shared" si="289"/>
        <v>0</v>
      </c>
      <c r="X4648">
        <f t="shared" si="290"/>
        <v>0</v>
      </c>
      <c r="Y4648" t="str">
        <f t="shared" si="291"/>
        <v>Non-Senior</v>
      </c>
    </row>
    <row r="4649" spans="1:25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288"/>
        <v>0-12 Months</v>
      </c>
      <c r="W4649">
        <f t="shared" si="289"/>
        <v>0</v>
      </c>
      <c r="X4649">
        <f t="shared" si="290"/>
        <v>0</v>
      </c>
      <c r="Y4649" t="str">
        <f t="shared" si="291"/>
        <v>Non-Senior</v>
      </c>
    </row>
    <row r="4650" spans="1:25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288"/>
        <v>0-12 Months</v>
      </c>
      <c r="W4650">
        <f t="shared" si="289"/>
        <v>0</v>
      </c>
      <c r="X4650">
        <f t="shared" si="290"/>
        <v>0</v>
      </c>
      <c r="Y4650" t="str">
        <f t="shared" si="291"/>
        <v>Non-Senior</v>
      </c>
    </row>
    <row r="4651" spans="1:25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288"/>
        <v>61-72 Months</v>
      </c>
      <c r="W4651">
        <f t="shared" si="289"/>
        <v>0</v>
      </c>
      <c r="X4651">
        <f t="shared" si="290"/>
        <v>0</v>
      </c>
      <c r="Y4651" t="str">
        <f t="shared" si="291"/>
        <v>Non-Senior</v>
      </c>
    </row>
    <row r="4652" spans="1:25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7082</v>
      </c>
      <c r="J4652" t="s">
        <v>7084</v>
      </c>
      <c r="K4652" t="s">
        <v>46</v>
      </c>
      <c r="L4652" t="s">
        <v>7084</v>
      </c>
      <c r="M4652" t="s">
        <v>7084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288"/>
        <v>37-48 Months</v>
      </c>
      <c r="W4652">
        <f t="shared" si="289"/>
        <v>0</v>
      </c>
      <c r="X4652">
        <f t="shared" si="290"/>
        <v>0</v>
      </c>
      <c r="Y4652" t="str">
        <f t="shared" si="291"/>
        <v>Non-Senior</v>
      </c>
    </row>
    <row r="4653" spans="1:25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288"/>
        <v>13-24 Months</v>
      </c>
      <c r="W4653">
        <f t="shared" si="289"/>
        <v>1</v>
      </c>
      <c r="X4653">
        <f t="shared" si="290"/>
        <v>86.2</v>
      </c>
      <c r="Y4653" t="str">
        <f t="shared" si="291"/>
        <v>Non-Senior</v>
      </c>
    </row>
    <row r="4654" spans="1:25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7082</v>
      </c>
      <c r="J4654" t="s">
        <v>7084</v>
      </c>
      <c r="K4654" t="s">
        <v>46</v>
      </c>
      <c r="L4654" t="s">
        <v>7084</v>
      </c>
      <c r="M4654" t="s">
        <v>7084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288"/>
        <v>13-24 Months</v>
      </c>
      <c r="W4654">
        <f t="shared" si="289"/>
        <v>0</v>
      </c>
      <c r="X4654">
        <f t="shared" si="290"/>
        <v>0</v>
      </c>
      <c r="Y4654" t="str">
        <f t="shared" si="291"/>
        <v>Non-Senior</v>
      </c>
    </row>
    <row r="4655" spans="1:25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288"/>
        <v>25-36 Months</v>
      </c>
      <c r="W4655">
        <f t="shared" si="289"/>
        <v>1</v>
      </c>
      <c r="X4655">
        <f t="shared" si="290"/>
        <v>51.2</v>
      </c>
      <c r="Y4655" t="str">
        <f t="shared" si="291"/>
        <v>Non-Senior</v>
      </c>
    </row>
    <row r="4656" spans="1:25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7082</v>
      </c>
      <c r="J4656" t="s">
        <v>7084</v>
      </c>
      <c r="K4656" t="s">
        <v>46</v>
      </c>
      <c r="L4656" t="s">
        <v>7084</v>
      </c>
      <c r="M4656" t="s">
        <v>7084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288"/>
        <v>37-48 Months</v>
      </c>
      <c r="W4656">
        <f t="shared" si="289"/>
        <v>0</v>
      </c>
      <c r="X4656">
        <f t="shared" si="290"/>
        <v>0</v>
      </c>
      <c r="Y4656" t="str">
        <f t="shared" si="291"/>
        <v>Non-Senior</v>
      </c>
    </row>
    <row r="4657" spans="1:25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288"/>
        <v>25-36 Months</v>
      </c>
      <c r="W4657">
        <f t="shared" si="289"/>
        <v>0</v>
      </c>
      <c r="X4657">
        <f t="shared" si="290"/>
        <v>0</v>
      </c>
      <c r="Y4657" t="str">
        <f t="shared" si="291"/>
        <v>Non-Senior</v>
      </c>
    </row>
    <row r="4658" spans="1:25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288"/>
        <v>13-24 Months</v>
      </c>
      <c r="W4658">
        <f t="shared" si="289"/>
        <v>0</v>
      </c>
      <c r="X4658">
        <f t="shared" si="290"/>
        <v>0</v>
      </c>
      <c r="Y4658" t="str">
        <f t="shared" si="291"/>
        <v>Non-Senior</v>
      </c>
    </row>
    <row r="4659" spans="1:25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288"/>
        <v>37-48 Months</v>
      </c>
      <c r="W4659">
        <f t="shared" si="289"/>
        <v>0</v>
      </c>
      <c r="X4659">
        <f t="shared" si="290"/>
        <v>0</v>
      </c>
      <c r="Y4659" t="str">
        <f t="shared" si="291"/>
        <v>Non-Senior</v>
      </c>
    </row>
    <row r="4660" spans="1:25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288"/>
        <v>0-12 Months</v>
      </c>
      <c r="W4660">
        <f t="shared" si="289"/>
        <v>0</v>
      </c>
      <c r="X4660">
        <f t="shared" si="290"/>
        <v>0</v>
      </c>
      <c r="Y4660" t="str">
        <f t="shared" si="291"/>
        <v>Non-Senior</v>
      </c>
    </row>
    <row r="4661" spans="1:25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288"/>
        <v>61-72 Months</v>
      </c>
      <c r="W4661">
        <f t="shared" si="289"/>
        <v>0</v>
      </c>
      <c r="X4661">
        <f t="shared" si="290"/>
        <v>0</v>
      </c>
      <c r="Y4661" t="str">
        <f t="shared" si="291"/>
        <v>Non-Senior</v>
      </c>
    </row>
    <row r="4662" spans="1:25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7082</v>
      </c>
      <c r="J4662" t="s">
        <v>7084</v>
      </c>
      <c r="K4662" t="s">
        <v>46</v>
      </c>
      <c r="L4662" t="s">
        <v>7084</v>
      </c>
      <c r="M4662" t="s">
        <v>7084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288"/>
        <v>0-12 Months</v>
      </c>
      <c r="W4662">
        <f t="shared" si="289"/>
        <v>1</v>
      </c>
      <c r="X4662">
        <f t="shared" si="290"/>
        <v>19.5</v>
      </c>
      <c r="Y4662" t="str">
        <f t="shared" si="291"/>
        <v>Non-Senior</v>
      </c>
    </row>
    <row r="4663" spans="1:25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288"/>
        <v>61-72 Months</v>
      </c>
      <c r="W4663">
        <f t="shared" si="289"/>
        <v>0</v>
      </c>
      <c r="X4663">
        <f t="shared" si="290"/>
        <v>0</v>
      </c>
      <c r="Y4663" t="str">
        <f t="shared" si="291"/>
        <v>Non-Senior</v>
      </c>
    </row>
    <row r="4664" spans="1:25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7082</v>
      </c>
      <c r="J4664" t="s">
        <v>7084</v>
      </c>
      <c r="K4664" t="s">
        <v>46</v>
      </c>
      <c r="L4664" t="s">
        <v>7084</v>
      </c>
      <c r="M4664" t="s">
        <v>7084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288"/>
        <v>13-24 Months</v>
      </c>
      <c r="W4664">
        <f t="shared" si="289"/>
        <v>0</v>
      </c>
      <c r="X4664">
        <f t="shared" si="290"/>
        <v>0</v>
      </c>
      <c r="Y4664" t="str">
        <f t="shared" si="291"/>
        <v>Non-Senior</v>
      </c>
    </row>
    <row r="4665" spans="1:25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288"/>
        <v>0-12 Months</v>
      </c>
      <c r="W4665">
        <f t="shared" si="289"/>
        <v>1</v>
      </c>
      <c r="X4665">
        <f t="shared" si="290"/>
        <v>74.900000000000006</v>
      </c>
      <c r="Y4665" t="str">
        <f t="shared" si="291"/>
        <v>Senior Citizen</v>
      </c>
    </row>
    <row r="4666" spans="1:25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288"/>
        <v>0-12 Months</v>
      </c>
      <c r="W4666">
        <f t="shared" si="289"/>
        <v>1</v>
      </c>
      <c r="X4666">
        <f t="shared" si="290"/>
        <v>74.900000000000006</v>
      </c>
      <c r="Y4666" t="str">
        <f t="shared" si="291"/>
        <v>Non-Senior</v>
      </c>
    </row>
    <row r="4667" spans="1:25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288"/>
        <v>61-72 Months</v>
      </c>
      <c r="W4667">
        <f t="shared" si="289"/>
        <v>0</v>
      </c>
      <c r="X4667">
        <f t="shared" si="290"/>
        <v>0</v>
      </c>
      <c r="Y4667" t="str">
        <f t="shared" si="291"/>
        <v>Non-Senior</v>
      </c>
    </row>
    <row r="4668" spans="1:25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7082</v>
      </c>
      <c r="J4668" t="s">
        <v>7084</v>
      </c>
      <c r="K4668" t="s">
        <v>46</v>
      </c>
      <c r="L4668" t="s">
        <v>7084</v>
      </c>
      <c r="M4668" t="s">
        <v>7084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288"/>
        <v>25-36 Months</v>
      </c>
      <c r="W4668">
        <f t="shared" si="289"/>
        <v>0</v>
      </c>
      <c r="X4668">
        <f t="shared" si="290"/>
        <v>0</v>
      </c>
      <c r="Y4668" t="str">
        <f t="shared" si="291"/>
        <v>Non-Senior</v>
      </c>
    </row>
    <row r="4669" spans="1:25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7082</v>
      </c>
      <c r="J4669" t="s">
        <v>7084</v>
      </c>
      <c r="K4669" t="s">
        <v>46</v>
      </c>
      <c r="L4669" t="s">
        <v>7084</v>
      </c>
      <c r="M4669" t="s">
        <v>7084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288"/>
        <v>13-24 Months</v>
      </c>
      <c r="W4669">
        <f t="shared" si="289"/>
        <v>0</v>
      </c>
      <c r="X4669">
        <f t="shared" si="290"/>
        <v>0</v>
      </c>
      <c r="Y4669" t="str">
        <f t="shared" si="291"/>
        <v>Non-Senior</v>
      </c>
    </row>
    <row r="4670" spans="1:25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288"/>
        <v>0-12 Months</v>
      </c>
      <c r="W4670">
        <f t="shared" si="289"/>
        <v>0</v>
      </c>
      <c r="X4670">
        <f t="shared" si="290"/>
        <v>0</v>
      </c>
      <c r="Y4670" t="str">
        <f t="shared" si="291"/>
        <v>Non-Senior</v>
      </c>
    </row>
    <row r="4671" spans="1:25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7082</v>
      </c>
      <c r="J4671" t="s">
        <v>7084</v>
      </c>
      <c r="K4671" t="s">
        <v>46</v>
      </c>
      <c r="L4671" t="s">
        <v>7084</v>
      </c>
      <c r="M4671" t="s">
        <v>7084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288"/>
        <v>49-60 Months</v>
      </c>
      <c r="W4671">
        <f t="shared" si="289"/>
        <v>0</v>
      </c>
      <c r="X4671">
        <f t="shared" si="290"/>
        <v>0</v>
      </c>
      <c r="Y4671" t="str">
        <f t="shared" si="291"/>
        <v>Non-Senior</v>
      </c>
    </row>
    <row r="4672" spans="1:25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288"/>
        <v>37-48 Months</v>
      </c>
      <c r="W4672">
        <f t="shared" si="289"/>
        <v>0</v>
      </c>
      <c r="X4672">
        <f t="shared" si="290"/>
        <v>0</v>
      </c>
      <c r="Y4672" t="str">
        <f t="shared" si="291"/>
        <v>Non-Senior</v>
      </c>
    </row>
    <row r="4673" spans="1:25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288"/>
        <v>25-36 Months</v>
      </c>
      <c r="W4673">
        <f t="shared" si="289"/>
        <v>1</v>
      </c>
      <c r="X4673">
        <f t="shared" si="290"/>
        <v>100.25</v>
      </c>
      <c r="Y4673" t="str">
        <f t="shared" si="291"/>
        <v>Non-Senior</v>
      </c>
    </row>
    <row r="4674" spans="1:25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si="288"/>
        <v>13-24 Months</v>
      </c>
      <c r="W4674">
        <f t="shared" si="289"/>
        <v>0</v>
      </c>
      <c r="X4674">
        <f t="shared" si="290"/>
        <v>0</v>
      </c>
      <c r="Y4674" t="str">
        <f t="shared" si="291"/>
        <v>Non-Senior</v>
      </c>
    </row>
    <row r="4675" spans="1:25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ref="V4675:V4738" si="292">IF(F4675&lt;=12,"0-12 Months",IF(F4675&lt;=24,"13-24 Months",IF(F4675&lt;=36,"25-36 Months",IF(F4675&lt;=48,"37-48 Months",IF(F4675&lt;=60,"49-60 Months","61-72 Months")))))</f>
        <v>25-36 Months</v>
      </c>
      <c r="W4675">
        <f t="shared" ref="W4675:W4738" si="293">IF(U4675="Yes",1,0)</f>
        <v>1</v>
      </c>
      <c r="X4675">
        <f t="shared" ref="X4675:X4738" si="294">IF(U4675="Yes",S4675,0)</f>
        <v>102.8</v>
      </c>
      <c r="Y4675" t="str">
        <f t="shared" ref="Y4675:Y4738" si="295">IF(C4675=1,"Senior Citizen","Non-Senior")</f>
        <v>Senior Citizen</v>
      </c>
    </row>
    <row r="4676" spans="1:25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292"/>
        <v>25-36 Months</v>
      </c>
      <c r="W4676">
        <f t="shared" si="293"/>
        <v>0</v>
      </c>
      <c r="X4676">
        <f t="shared" si="294"/>
        <v>0</v>
      </c>
      <c r="Y4676" t="str">
        <f t="shared" si="295"/>
        <v>Non-Senior</v>
      </c>
    </row>
    <row r="4677" spans="1:25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292"/>
        <v>37-48 Months</v>
      </c>
      <c r="W4677">
        <f t="shared" si="293"/>
        <v>1</v>
      </c>
      <c r="X4677">
        <f t="shared" si="294"/>
        <v>100</v>
      </c>
      <c r="Y4677" t="str">
        <f t="shared" si="295"/>
        <v>Non-Senior</v>
      </c>
    </row>
    <row r="4678" spans="1:25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7082</v>
      </c>
      <c r="J4678" t="s">
        <v>7084</v>
      </c>
      <c r="K4678" t="s">
        <v>46</v>
      </c>
      <c r="L4678" t="s">
        <v>7084</v>
      </c>
      <c r="M4678" t="s">
        <v>7084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292"/>
        <v>13-24 Months</v>
      </c>
      <c r="W4678">
        <f t="shared" si="293"/>
        <v>0</v>
      </c>
      <c r="X4678">
        <f t="shared" si="294"/>
        <v>0</v>
      </c>
      <c r="Y4678" t="str">
        <f t="shared" si="295"/>
        <v>Non-Senior</v>
      </c>
    </row>
    <row r="4679" spans="1:25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292"/>
        <v>0-12 Months</v>
      </c>
      <c r="W4679">
        <f t="shared" si="293"/>
        <v>1</v>
      </c>
      <c r="X4679">
        <f t="shared" si="294"/>
        <v>99.85</v>
      </c>
      <c r="Y4679" t="str">
        <f t="shared" si="295"/>
        <v>Non-Senior</v>
      </c>
    </row>
    <row r="4680" spans="1:25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292"/>
        <v>0-12 Months</v>
      </c>
      <c r="W4680">
        <f t="shared" si="293"/>
        <v>1</v>
      </c>
      <c r="X4680">
        <f t="shared" si="294"/>
        <v>94.2</v>
      </c>
      <c r="Y4680" t="str">
        <f t="shared" si="295"/>
        <v>Non-Senior</v>
      </c>
    </row>
    <row r="4681" spans="1:25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292"/>
        <v>61-72 Months</v>
      </c>
      <c r="W4681">
        <f t="shared" si="293"/>
        <v>0</v>
      </c>
      <c r="X4681">
        <f t="shared" si="294"/>
        <v>0</v>
      </c>
      <c r="Y4681" t="str">
        <f t="shared" si="295"/>
        <v>Non-Senior</v>
      </c>
    </row>
    <row r="4682" spans="1:25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292"/>
        <v>13-24 Months</v>
      </c>
      <c r="W4682">
        <f t="shared" si="293"/>
        <v>0</v>
      </c>
      <c r="X4682">
        <f t="shared" si="294"/>
        <v>0</v>
      </c>
      <c r="Y4682" t="str">
        <f t="shared" si="295"/>
        <v>Senior Citizen</v>
      </c>
    </row>
    <row r="4683" spans="1:25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292"/>
        <v>0-12 Months</v>
      </c>
      <c r="W4683">
        <f t="shared" si="293"/>
        <v>1</v>
      </c>
      <c r="X4683">
        <f t="shared" si="294"/>
        <v>83.85</v>
      </c>
      <c r="Y4683" t="str">
        <f t="shared" si="295"/>
        <v>Senior Citizen</v>
      </c>
    </row>
    <row r="4684" spans="1:25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292"/>
        <v>25-36 Months</v>
      </c>
      <c r="W4684">
        <f t="shared" si="293"/>
        <v>1</v>
      </c>
      <c r="X4684">
        <f t="shared" si="294"/>
        <v>88.3</v>
      </c>
      <c r="Y4684" t="str">
        <f t="shared" si="295"/>
        <v>Senior Citizen</v>
      </c>
    </row>
    <row r="4685" spans="1:25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292"/>
        <v>13-24 Months</v>
      </c>
      <c r="W4685">
        <f t="shared" si="293"/>
        <v>0</v>
      </c>
      <c r="X4685">
        <f t="shared" si="294"/>
        <v>0</v>
      </c>
      <c r="Y4685" t="str">
        <f t="shared" si="295"/>
        <v>Non-Senior</v>
      </c>
    </row>
    <row r="4686" spans="1:25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292"/>
        <v>61-72 Months</v>
      </c>
      <c r="W4686">
        <f t="shared" si="293"/>
        <v>1</v>
      </c>
      <c r="X4686">
        <f t="shared" si="294"/>
        <v>104.05</v>
      </c>
      <c r="Y4686" t="str">
        <f t="shared" si="295"/>
        <v>Non-Senior</v>
      </c>
    </row>
    <row r="4687" spans="1:25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292"/>
        <v>37-48 Months</v>
      </c>
      <c r="W4687">
        <f t="shared" si="293"/>
        <v>0</v>
      </c>
      <c r="X4687">
        <f t="shared" si="294"/>
        <v>0</v>
      </c>
      <c r="Y4687" t="str">
        <f t="shared" si="295"/>
        <v>Non-Senior</v>
      </c>
    </row>
    <row r="4688" spans="1:25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292"/>
        <v>61-72 Months</v>
      </c>
      <c r="W4688">
        <f t="shared" si="293"/>
        <v>0</v>
      </c>
      <c r="X4688">
        <f t="shared" si="294"/>
        <v>0</v>
      </c>
      <c r="Y4688" t="str">
        <f t="shared" si="295"/>
        <v>Senior Citizen</v>
      </c>
    </row>
    <row r="4689" spans="1:25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292"/>
        <v>13-24 Months</v>
      </c>
      <c r="W4689">
        <f t="shared" si="293"/>
        <v>1</v>
      </c>
      <c r="X4689">
        <f t="shared" si="294"/>
        <v>94.7</v>
      </c>
      <c r="Y4689" t="str">
        <f t="shared" si="295"/>
        <v>Non-Senior</v>
      </c>
    </row>
    <row r="4690" spans="1:25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292"/>
        <v>61-72 Months</v>
      </c>
      <c r="W4690">
        <f t="shared" si="293"/>
        <v>0</v>
      </c>
      <c r="X4690">
        <f t="shared" si="294"/>
        <v>0</v>
      </c>
      <c r="Y4690" t="str">
        <f t="shared" si="295"/>
        <v>Senior Citizen</v>
      </c>
    </row>
    <row r="4691" spans="1:25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7082</v>
      </c>
      <c r="J4691" t="s">
        <v>7084</v>
      </c>
      <c r="K4691" t="s">
        <v>46</v>
      </c>
      <c r="L4691" t="s">
        <v>7084</v>
      </c>
      <c r="M4691" t="s">
        <v>7084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292"/>
        <v>0-12 Months</v>
      </c>
      <c r="W4691">
        <f t="shared" si="293"/>
        <v>0</v>
      </c>
      <c r="X4691">
        <f t="shared" si="294"/>
        <v>0</v>
      </c>
      <c r="Y4691" t="str">
        <f t="shared" si="295"/>
        <v>Non-Senior</v>
      </c>
    </row>
    <row r="4692" spans="1:25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292"/>
        <v>25-36 Months</v>
      </c>
      <c r="W4692">
        <f t="shared" si="293"/>
        <v>0</v>
      </c>
      <c r="X4692">
        <f t="shared" si="294"/>
        <v>0</v>
      </c>
      <c r="Y4692" t="str">
        <f t="shared" si="295"/>
        <v>Non-Senior</v>
      </c>
    </row>
    <row r="4693" spans="1:25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292"/>
        <v>49-60 Months</v>
      </c>
      <c r="W4693">
        <f t="shared" si="293"/>
        <v>1</v>
      </c>
      <c r="X4693">
        <f t="shared" si="294"/>
        <v>100.65</v>
      </c>
      <c r="Y4693" t="str">
        <f t="shared" si="295"/>
        <v>Senior Citizen</v>
      </c>
    </row>
    <row r="4694" spans="1:25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292"/>
        <v>13-24 Months</v>
      </c>
      <c r="W4694">
        <f t="shared" si="293"/>
        <v>0</v>
      </c>
      <c r="X4694">
        <f t="shared" si="294"/>
        <v>0</v>
      </c>
      <c r="Y4694" t="str">
        <f t="shared" si="295"/>
        <v>Non-Senior</v>
      </c>
    </row>
    <row r="4695" spans="1:25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7082</v>
      </c>
      <c r="J4695" t="s">
        <v>7084</v>
      </c>
      <c r="K4695" t="s">
        <v>46</v>
      </c>
      <c r="L4695" t="s">
        <v>7084</v>
      </c>
      <c r="M4695" t="s">
        <v>7084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292"/>
        <v>49-60 Months</v>
      </c>
      <c r="W4695">
        <f t="shared" si="293"/>
        <v>0</v>
      </c>
      <c r="X4695">
        <f t="shared" si="294"/>
        <v>0</v>
      </c>
      <c r="Y4695" t="str">
        <f t="shared" si="295"/>
        <v>Non-Senior</v>
      </c>
    </row>
    <row r="4696" spans="1:25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7082</v>
      </c>
      <c r="J4696" t="s">
        <v>7084</v>
      </c>
      <c r="K4696" t="s">
        <v>46</v>
      </c>
      <c r="L4696" t="s">
        <v>7084</v>
      </c>
      <c r="M4696" t="s">
        <v>7084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292"/>
        <v>13-24 Months</v>
      </c>
      <c r="W4696">
        <f t="shared" si="293"/>
        <v>0</v>
      </c>
      <c r="X4696">
        <f t="shared" si="294"/>
        <v>0</v>
      </c>
      <c r="Y4696" t="str">
        <f t="shared" si="295"/>
        <v>Non-Senior</v>
      </c>
    </row>
    <row r="4697" spans="1:25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7082</v>
      </c>
      <c r="J4697" t="s">
        <v>7084</v>
      </c>
      <c r="K4697" t="s">
        <v>46</v>
      </c>
      <c r="L4697" t="s">
        <v>7084</v>
      </c>
      <c r="M4697" t="s">
        <v>7084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292"/>
        <v>25-36 Months</v>
      </c>
      <c r="W4697">
        <f t="shared" si="293"/>
        <v>0</v>
      </c>
      <c r="X4697">
        <f t="shared" si="294"/>
        <v>0</v>
      </c>
      <c r="Y4697" t="str">
        <f t="shared" si="295"/>
        <v>Non-Senior</v>
      </c>
    </row>
    <row r="4698" spans="1:25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292"/>
        <v>49-60 Months</v>
      </c>
      <c r="W4698">
        <f t="shared" si="293"/>
        <v>0</v>
      </c>
      <c r="X4698">
        <f t="shared" si="294"/>
        <v>0</v>
      </c>
      <c r="Y4698" t="str">
        <f t="shared" si="295"/>
        <v>Non-Senior</v>
      </c>
    </row>
    <row r="4699" spans="1:25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292"/>
        <v>61-72 Months</v>
      </c>
      <c r="W4699">
        <f t="shared" si="293"/>
        <v>0</v>
      </c>
      <c r="X4699">
        <f t="shared" si="294"/>
        <v>0</v>
      </c>
      <c r="Y4699" t="str">
        <f t="shared" si="295"/>
        <v>Non-Senior</v>
      </c>
    </row>
    <row r="4700" spans="1:25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292"/>
        <v>61-72 Months</v>
      </c>
      <c r="W4700">
        <f t="shared" si="293"/>
        <v>1</v>
      </c>
      <c r="X4700">
        <f t="shared" si="294"/>
        <v>80.55</v>
      </c>
      <c r="Y4700" t="str">
        <f t="shared" si="295"/>
        <v>Senior Citizen</v>
      </c>
    </row>
    <row r="4701" spans="1:25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292"/>
        <v>49-60 Months</v>
      </c>
      <c r="W4701">
        <f t="shared" si="293"/>
        <v>0</v>
      </c>
      <c r="X4701">
        <f t="shared" si="294"/>
        <v>0</v>
      </c>
      <c r="Y4701" t="str">
        <f t="shared" si="295"/>
        <v>Non-Senior</v>
      </c>
    </row>
    <row r="4702" spans="1:25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292"/>
        <v>0-12 Months</v>
      </c>
      <c r="W4702">
        <f t="shared" si="293"/>
        <v>0</v>
      </c>
      <c r="X4702">
        <f t="shared" si="294"/>
        <v>0</v>
      </c>
      <c r="Y4702" t="str">
        <f t="shared" si="295"/>
        <v>Non-Senior</v>
      </c>
    </row>
    <row r="4703" spans="1:25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292"/>
        <v>13-24 Months</v>
      </c>
      <c r="W4703">
        <f t="shared" si="293"/>
        <v>0</v>
      </c>
      <c r="X4703">
        <f t="shared" si="294"/>
        <v>0</v>
      </c>
      <c r="Y4703" t="str">
        <f t="shared" si="295"/>
        <v>Senior Citizen</v>
      </c>
    </row>
    <row r="4704" spans="1:25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292"/>
        <v>49-60 Months</v>
      </c>
      <c r="W4704">
        <f t="shared" si="293"/>
        <v>0</v>
      </c>
      <c r="X4704">
        <f t="shared" si="294"/>
        <v>0</v>
      </c>
      <c r="Y4704" t="str">
        <f t="shared" si="295"/>
        <v>Senior Citizen</v>
      </c>
    </row>
    <row r="4705" spans="1:25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292"/>
        <v>13-24 Months</v>
      </c>
      <c r="W4705">
        <f t="shared" si="293"/>
        <v>1</v>
      </c>
      <c r="X4705">
        <f t="shared" si="294"/>
        <v>78.849999999999994</v>
      </c>
      <c r="Y4705" t="str">
        <f t="shared" si="295"/>
        <v>Senior Citizen</v>
      </c>
    </row>
    <row r="4706" spans="1:25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292"/>
        <v>0-12 Months</v>
      </c>
      <c r="W4706">
        <f t="shared" si="293"/>
        <v>0</v>
      </c>
      <c r="X4706">
        <f t="shared" si="294"/>
        <v>0</v>
      </c>
      <c r="Y4706" t="str">
        <f t="shared" si="295"/>
        <v>Non-Senior</v>
      </c>
    </row>
    <row r="4707" spans="1:25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292"/>
        <v>0-12 Months</v>
      </c>
      <c r="W4707">
        <f t="shared" si="293"/>
        <v>0</v>
      </c>
      <c r="X4707">
        <f t="shared" si="294"/>
        <v>0</v>
      </c>
      <c r="Y4707" t="str">
        <f t="shared" si="295"/>
        <v>Non-Senior</v>
      </c>
    </row>
    <row r="4708" spans="1:25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292"/>
        <v>0-12 Months</v>
      </c>
      <c r="W4708">
        <f t="shared" si="293"/>
        <v>1</v>
      </c>
      <c r="X4708">
        <f t="shared" si="294"/>
        <v>44.45</v>
      </c>
      <c r="Y4708" t="str">
        <f t="shared" si="295"/>
        <v>Non-Senior</v>
      </c>
    </row>
    <row r="4709" spans="1:25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292"/>
        <v>49-60 Months</v>
      </c>
      <c r="W4709">
        <f t="shared" si="293"/>
        <v>0</v>
      </c>
      <c r="X4709">
        <f t="shared" si="294"/>
        <v>0</v>
      </c>
      <c r="Y4709" t="str">
        <f t="shared" si="295"/>
        <v>Non-Senior</v>
      </c>
    </row>
    <row r="4710" spans="1:25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292"/>
        <v>49-60 Months</v>
      </c>
      <c r="W4710">
        <f t="shared" si="293"/>
        <v>0</v>
      </c>
      <c r="X4710">
        <f t="shared" si="294"/>
        <v>0</v>
      </c>
      <c r="Y4710" t="str">
        <f t="shared" si="295"/>
        <v>Non-Senior</v>
      </c>
    </row>
    <row r="4711" spans="1:25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292"/>
        <v>49-60 Months</v>
      </c>
      <c r="W4711">
        <f t="shared" si="293"/>
        <v>0</v>
      </c>
      <c r="X4711">
        <f t="shared" si="294"/>
        <v>0</v>
      </c>
      <c r="Y4711" t="str">
        <f t="shared" si="295"/>
        <v>Senior Citizen</v>
      </c>
    </row>
    <row r="4712" spans="1:25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292"/>
        <v>0-12 Months</v>
      </c>
      <c r="W4712">
        <f t="shared" si="293"/>
        <v>0</v>
      </c>
      <c r="X4712">
        <f t="shared" si="294"/>
        <v>0</v>
      </c>
      <c r="Y4712" t="str">
        <f t="shared" si="295"/>
        <v>Non-Senior</v>
      </c>
    </row>
    <row r="4713" spans="1:25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7082</v>
      </c>
      <c r="J4713" t="s">
        <v>7084</v>
      </c>
      <c r="K4713" t="s">
        <v>46</v>
      </c>
      <c r="L4713" t="s">
        <v>7084</v>
      </c>
      <c r="M4713" t="s">
        <v>7084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292"/>
        <v>25-36 Months</v>
      </c>
      <c r="W4713">
        <f t="shared" si="293"/>
        <v>0</v>
      </c>
      <c r="X4713">
        <f t="shared" si="294"/>
        <v>0</v>
      </c>
      <c r="Y4713" t="str">
        <f t="shared" si="295"/>
        <v>Non-Senior</v>
      </c>
    </row>
    <row r="4714" spans="1:25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292"/>
        <v>49-60 Months</v>
      </c>
      <c r="W4714">
        <f t="shared" si="293"/>
        <v>0</v>
      </c>
      <c r="X4714">
        <f t="shared" si="294"/>
        <v>0</v>
      </c>
      <c r="Y4714" t="str">
        <f t="shared" si="295"/>
        <v>Non-Senior</v>
      </c>
    </row>
    <row r="4715" spans="1:25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292"/>
        <v>49-60 Months</v>
      </c>
      <c r="W4715">
        <f t="shared" si="293"/>
        <v>0</v>
      </c>
      <c r="X4715">
        <f t="shared" si="294"/>
        <v>0</v>
      </c>
      <c r="Y4715" t="str">
        <f t="shared" si="295"/>
        <v>Non-Senior</v>
      </c>
    </row>
    <row r="4716" spans="1:25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292"/>
        <v>61-72 Months</v>
      </c>
      <c r="W4716">
        <f t="shared" si="293"/>
        <v>0</v>
      </c>
      <c r="X4716">
        <f t="shared" si="294"/>
        <v>0</v>
      </c>
      <c r="Y4716" t="str">
        <f t="shared" si="295"/>
        <v>Non-Senior</v>
      </c>
    </row>
    <row r="4717" spans="1:25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292"/>
        <v>61-72 Months</v>
      </c>
      <c r="W4717">
        <f t="shared" si="293"/>
        <v>0</v>
      </c>
      <c r="X4717">
        <f t="shared" si="294"/>
        <v>0</v>
      </c>
      <c r="Y4717" t="str">
        <f t="shared" si="295"/>
        <v>Non-Senior</v>
      </c>
    </row>
    <row r="4718" spans="1:25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292"/>
        <v>61-72 Months</v>
      </c>
      <c r="W4718">
        <f t="shared" si="293"/>
        <v>0</v>
      </c>
      <c r="X4718">
        <f t="shared" si="294"/>
        <v>0</v>
      </c>
      <c r="Y4718" t="str">
        <f t="shared" si="295"/>
        <v>Non-Senior</v>
      </c>
    </row>
    <row r="4719" spans="1:25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292"/>
        <v>37-48 Months</v>
      </c>
      <c r="W4719">
        <f t="shared" si="293"/>
        <v>0</v>
      </c>
      <c r="X4719">
        <f t="shared" si="294"/>
        <v>0</v>
      </c>
      <c r="Y4719" t="str">
        <f t="shared" si="295"/>
        <v>Non-Senior</v>
      </c>
    </row>
    <row r="4720" spans="1:25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7082</v>
      </c>
      <c r="J4720" t="s">
        <v>7084</v>
      </c>
      <c r="K4720" t="s">
        <v>46</v>
      </c>
      <c r="L4720" t="s">
        <v>7084</v>
      </c>
      <c r="M4720" t="s">
        <v>7084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292"/>
        <v>13-24 Months</v>
      </c>
      <c r="W4720">
        <f t="shared" si="293"/>
        <v>0</v>
      </c>
      <c r="X4720">
        <f t="shared" si="294"/>
        <v>0</v>
      </c>
      <c r="Y4720" t="str">
        <f t="shared" si="295"/>
        <v>Non-Senior</v>
      </c>
    </row>
    <row r="4721" spans="1:25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292"/>
        <v>25-36 Months</v>
      </c>
      <c r="W4721">
        <f t="shared" si="293"/>
        <v>1</v>
      </c>
      <c r="X4721">
        <f t="shared" si="294"/>
        <v>84.9</v>
      </c>
      <c r="Y4721" t="str">
        <f t="shared" si="295"/>
        <v>Non-Senior</v>
      </c>
    </row>
    <row r="4722" spans="1:25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292"/>
        <v>61-72 Months</v>
      </c>
      <c r="W4722">
        <f t="shared" si="293"/>
        <v>0</v>
      </c>
      <c r="X4722">
        <f t="shared" si="294"/>
        <v>0</v>
      </c>
      <c r="Y4722" t="str">
        <f t="shared" si="295"/>
        <v>Senior Citizen</v>
      </c>
    </row>
    <row r="4723" spans="1:25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7082</v>
      </c>
      <c r="J4723" t="s">
        <v>7084</v>
      </c>
      <c r="K4723" t="s">
        <v>46</v>
      </c>
      <c r="L4723" t="s">
        <v>7084</v>
      </c>
      <c r="M4723" t="s">
        <v>7084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292"/>
        <v>0-12 Months</v>
      </c>
      <c r="W4723">
        <f t="shared" si="293"/>
        <v>1</v>
      </c>
      <c r="X4723">
        <f t="shared" si="294"/>
        <v>20.25</v>
      </c>
      <c r="Y4723" t="str">
        <f t="shared" si="295"/>
        <v>Non-Senior</v>
      </c>
    </row>
    <row r="4724" spans="1:25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292"/>
        <v>49-60 Months</v>
      </c>
      <c r="W4724">
        <f t="shared" si="293"/>
        <v>0</v>
      </c>
      <c r="X4724">
        <f t="shared" si="294"/>
        <v>0</v>
      </c>
      <c r="Y4724" t="str">
        <f t="shared" si="295"/>
        <v>Non-Senior</v>
      </c>
    </row>
    <row r="4725" spans="1:25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292"/>
        <v>0-12 Months</v>
      </c>
      <c r="W4725">
        <f t="shared" si="293"/>
        <v>1</v>
      </c>
      <c r="X4725">
        <f t="shared" si="294"/>
        <v>74.349999999999994</v>
      </c>
      <c r="Y4725" t="str">
        <f t="shared" si="295"/>
        <v>Non-Senior</v>
      </c>
    </row>
    <row r="4726" spans="1:25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292"/>
        <v>49-60 Months</v>
      </c>
      <c r="W4726">
        <f t="shared" si="293"/>
        <v>0</v>
      </c>
      <c r="X4726">
        <f t="shared" si="294"/>
        <v>0</v>
      </c>
      <c r="Y4726" t="str">
        <f t="shared" si="295"/>
        <v>Non-Senior</v>
      </c>
    </row>
    <row r="4727" spans="1:25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292"/>
        <v>0-12 Months</v>
      </c>
      <c r="W4727">
        <f t="shared" si="293"/>
        <v>1</v>
      </c>
      <c r="X4727">
        <f t="shared" si="294"/>
        <v>62.05</v>
      </c>
      <c r="Y4727" t="str">
        <f t="shared" si="295"/>
        <v>Non-Senior</v>
      </c>
    </row>
    <row r="4728" spans="1:25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292"/>
        <v>61-72 Months</v>
      </c>
      <c r="W4728">
        <f t="shared" si="293"/>
        <v>0</v>
      </c>
      <c r="X4728">
        <f t="shared" si="294"/>
        <v>0</v>
      </c>
      <c r="Y4728" t="str">
        <f t="shared" si="295"/>
        <v>Non-Senior</v>
      </c>
    </row>
    <row r="4729" spans="1:25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7082</v>
      </c>
      <c r="J4729" t="s">
        <v>7084</v>
      </c>
      <c r="K4729" t="s">
        <v>46</v>
      </c>
      <c r="L4729" t="s">
        <v>7084</v>
      </c>
      <c r="M4729" t="s">
        <v>7084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292"/>
        <v>49-60 Months</v>
      </c>
      <c r="W4729">
        <f t="shared" si="293"/>
        <v>0</v>
      </c>
      <c r="X4729">
        <f t="shared" si="294"/>
        <v>0</v>
      </c>
      <c r="Y4729" t="str">
        <f t="shared" si="295"/>
        <v>Non-Senior</v>
      </c>
    </row>
    <row r="4730" spans="1:25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292"/>
        <v>37-48 Months</v>
      </c>
      <c r="W4730">
        <f t="shared" si="293"/>
        <v>0</v>
      </c>
      <c r="X4730">
        <f t="shared" si="294"/>
        <v>0</v>
      </c>
      <c r="Y4730" t="str">
        <f t="shared" si="295"/>
        <v>Non-Senior</v>
      </c>
    </row>
    <row r="4731" spans="1:25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292"/>
        <v>61-72 Months</v>
      </c>
      <c r="W4731">
        <f t="shared" si="293"/>
        <v>0</v>
      </c>
      <c r="X4731">
        <f t="shared" si="294"/>
        <v>0</v>
      </c>
      <c r="Y4731" t="str">
        <f t="shared" si="295"/>
        <v>Non-Senior</v>
      </c>
    </row>
    <row r="4732" spans="1:25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292"/>
        <v>25-36 Months</v>
      </c>
      <c r="W4732">
        <f t="shared" si="293"/>
        <v>0</v>
      </c>
      <c r="X4732">
        <f t="shared" si="294"/>
        <v>0</v>
      </c>
      <c r="Y4732" t="str">
        <f t="shared" si="295"/>
        <v>Senior Citizen</v>
      </c>
    </row>
    <row r="4733" spans="1:25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7082</v>
      </c>
      <c r="J4733" t="s">
        <v>7084</v>
      </c>
      <c r="K4733" t="s">
        <v>46</v>
      </c>
      <c r="L4733" t="s">
        <v>7084</v>
      </c>
      <c r="M4733" t="s">
        <v>7084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292"/>
        <v>13-24 Months</v>
      </c>
      <c r="W4733">
        <f t="shared" si="293"/>
        <v>0</v>
      </c>
      <c r="X4733">
        <f t="shared" si="294"/>
        <v>0</v>
      </c>
      <c r="Y4733" t="str">
        <f t="shared" si="295"/>
        <v>Non-Senior</v>
      </c>
    </row>
    <row r="4734" spans="1:25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7082</v>
      </c>
      <c r="J4734" t="s">
        <v>7084</v>
      </c>
      <c r="K4734" t="s">
        <v>46</v>
      </c>
      <c r="L4734" t="s">
        <v>7084</v>
      </c>
      <c r="M4734" t="s">
        <v>7084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292"/>
        <v>61-72 Months</v>
      </c>
      <c r="W4734">
        <f t="shared" si="293"/>
        <v>0</v>
      </c>
      <c r="X4734">
        <f t="shared" si="294"/>
        <v>0</v>
      </c>
      <c r="Y4734" t="str">
        <f t="shared" si="295"/>
        <v>Non-Senior</v>
      </c>
    </row>
    <row r="4735" spans="1:25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292"/>
        <v>0-12 Months</v>
      </c>
      <c r="W4735">
        <f t="shared" si="293"/>
        <v>0</v>
      </c>
      <c r="X4735">
        <f t="shared" si="294"/>
        <v>0</v>
      </c>
      <c r="Y4735" t="str">
        <f t="shared" si="295"/>
        <v>Non-Senior</v>
      </c>
    </row>
    <row r="4736" spans="1:25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292"/>
        <v>37-48 Months</v>
      </c>
      <c r="W4736">
        <f t="shared" si="293"/>
        <v>1</v>
      </c>
      <c r="X4736">
        <f t="shared" si="294"/>
        <v>80</v>
      </c>
      <c r="Y4736" t="str">
        <f t="shared" si="295"/>
        <v>Non-Senior</v>
      </c>
    </row>
    <row r="4737" spans="1:25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292"/>
        <v>37-48 Months</v>
      </c>
      <c r="W4737">
        <f t="shared" si="293"/>
        <v>0</v>
      </c>
      <c r="X4737">
        <f t="shared" si="294"/>
        <v>0</v>
      </c>
      <c r="Y4737" t="str">
        <f t="shared" si="295"/>
        <v>Non-Senior</v>
      </c>
    </row>
    <row r="4738" spans="1:25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si="292"/>
        <v>49-60 Months</v>
      </c>
      <c r="W4738">
        <f t="shared" si="293"/>
        <v>0</v>
      </c>
      <c r="X4738">
        <f t="shared" si="294"/>
        <v>0</v>
      </c>
      <c r="Y4738" t="str">
        <f t="shared" si="295"/>
        <v>Non-Senior</v>
      </c>
    </row>
    <row r="4739" spans="1:25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ref="V4739:V4802" si="296">IF(F4739&lt;=12,"0-12 Months",IF(F4739&lt;=24,"13-24 Months",IF(F4739&lt;=36,"25-36 Months",IF(F4739&lt;=48,"37-48 Months",IF(F4739&lt;=60,"49-60 Months","61-72 Months")))))</f>
        <v>61-72 Months</v>
      </c>
      <c r="W4739">
        <f t="shared" ref="W4739:W4802" si="297">IF(U4739="Yes",1,0)</f>
        <v>0</v>
      </c>
      <c r="X4739">
        <f t="shared" ref="X4739:X4802" si="298">IF(U4739="Yes",S4739,0)</f>
        <v>0</v>
      </c>
      <c r="Y4739" t="str">
        <f t="shared" ref="Y4739:Y4802" si="299">IF(C4739=1,"Senior Citizen","Non-Senior")</f>
        <v>Non-Senior</v>
      </c>
    </row>
    <row r="4740" spans="1:25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296"/>
        <v>0-12 Months</v>
      </c>
      <c r="W4740">
        <f t="shared" si="297"/>
        <v>1</v>
      </c>
      <c r="X4740">
        <f t="shared" si="298"/>
        <v>104.1</v>
      </c>
      <c r="Y4740" t="str">
        <f t="shared" si="299"/>
        <v>Non-Senior</v>
      </c>
    </row>
    <row r="4741" spans="1:25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296"/>
        <v>0-12 Months</v>
      </c>
      <c r="W4741">
        <f t="shared" si="297"/>
        <v>0</v>
      </c>
      <c r="X4741">
        <f t="shared" si="298"/>
        <v>0</v>
      </c>
      <c r="Y4741" t="str">
        <f t="shared" si="299"/>
        <v>Non-Senior</v>
      </c>
    </row>
    <row r="4742" spans="1:25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296"/>
        <v>13-24 Months</v>
      </c>
      <c r="W4742">
        <f t="shared" si="297"/>
        <v>1</v>
      </c>
      <c r="X4742">
        <f t="shared" si="298"/>
        <v>39.1</v>
      </c>
      <c r="Y4742" t="str">
        <f t="shared" si="299"/>
        <v>Senior Citizen</v>
      </c>
    </row>
    <row r="4743" spans="1:25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296"/>
        <v>13-24 Months</v>
      </c>
      <c r="W4743">
        <f t="shared" si="297"/>
        <v>0</v>
      </c>
      <c r="X4743">
        <f t="shared" si="298"/>
        <v>0</v>
      </c>
      <c r="Y4743" t="str">
        <f t="shared" si="299"/>
        <v>Senior Citizen</v>
      </c>
    </row>
    <row r="4744" spans="1:25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7082</v>
      </c>
      <c r="J4744" t="s">
        <v>7084</v>
      </c>
      <c r="K4744" t="s">
        <v>46</v>
      </c>
      <c r="L4744" t="s">
        <v>7084</v>
      </c>
      <c r="M4744" t="s">
        <v>7084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296"/>
        <v>61-72 Months</v>
      </c>
      <c r="W4744">
        <f t="shared" si="297"/>
        <v>0</v>
      </c>
      <c r="X4744">
        <f t="shared" si="298"/>
        <v>0</v>
      </c>
      <c r="Y4744" t="str">
        <f t="shared" si="299"/>
        <v>Non-Senior</v>
      </c>
    </row>
    <row r="4745" spans="1:25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296"/>
        <v>49-60 Months</v>
      </c>
      <c r="W4745">
        <f t="shared" si="297"/>
        <v>0</v>
      </c>
      <c r="X4745">
        <f t="shared" si="298"/>
        <v>0</v>
      </c>
      <c r="Y4745" t="str">
        <f t="shared" si="299"/>
        <v>Non-Senior</v>
      </c>
    </row>
    <row r="4746" spans="1:25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7082</v>
      </c>
      <c r="J4746" t="s">
        <v>7084</v>
      </c>
      <c r="K4746" t="s">
        <v>46</v>
      </c>
      <c r="L4746" t="s">
        <v>7084</v>
      </c>
      <c r="M4746" t="s">
        <v>7084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296"/>
        <v>61-72 Months</v>
      </c>
      <c r="W4746">
        <f t="shared" si="297"/>
        <v>0</v>
      </c>
      <c r="X4746">
        <f t="shared" si="298"/>
        <v>0</v>
      </c>
      <c r="Y4746" t="str">
        <f t="shared" si="299"/>
        <v>Senior Citizen</v>
      </c>
    </row>
    <row r="4747" spans="1:25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296"/>
        <v>25-36 Months</v>
      </c>
      <c r="W4747">
        <f t="shared" si="297"/>
        <v>0</v>
      </c>
      <c r="X4747">
        <f t="shared" si="298"/>
        <v>0</v>
      </c>
      <c r="Y4747" t="str">
        <f t="shared" si="299"/>
        <v>Non-Senior</v>
      </c>
    </row>
    <row r="4748" spans="1:25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296"/>
        <v>0-12 Months</v>
      </c>
      <c r="W4748">
        <f t="shared" si="297"/>
        <v>1</v>
      </c>
      <c r="X4748">
        <f t="shared" si="298"/>
        <v>76.5</v>
      </c>
      <c r="Y4748" t="str">
        <f t="shared" si="299"/>
        <v>Non-Senior</v>
      </c>
    </row>
    <row r="4749" spans="1:25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7082</v>
      </c>
      <c r="J4749" t="s">
        <v>7084</v>
      </c>
      <c r="K4749" t="s">
        <v>46</v>
      </c>
      <c r="L4749" t="s">
        <v>7084</v>
      </c>
      <c r="M4749" t="s">
        <v>7084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296"/>
        <v>25-36 Months</v>
      </c>
      <c r="W4749">
        <f t="shared" si="297"/>
        <v>0</v>
      </c>
      <c r="X4749">
        <f t="shared" si="298"/>
        <v>0</v>
      </c>
      <c r="Y4749" t="str">
        <f t="shared" si="299"/>
        <v>Non-Senior</v>
      </c>
    </row>
    <row r="4750" spans="1:25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7082</v>
      </c>
      <c r="J4750" t="s">
        <v>7084</v>
      </c>
      <c r="K4750" t="s">
        <v>46</v>
      </c>
      <c r="L4750" t="s">
        <v>7084</v>
      </c>
      <c r="M4750" t="s">
        <v>7084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296"/>
        <v>13-24 Months</v>
      </c>
      <c r="W4750">
        <f t="shared" si="297"/>
        <v>0</v>
      </c>
      <c r="X4750">
        <f t="shared" si="298"/>
        <v>0</v>
      </c>
      <c r="Y4750" t="str">
        <f t="shared" si="299"/>
        <v>Non-Senior</v>
      </c>
    </row>
    <row r="4751" spans="1:25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296"/>
        <v>0-12 Months</v>
      </c>
      <c r="W4751">
        <f t="shared" si="297"/>
        <v>1</v>
      </c>
      <c r="X4751">
        <f t="shared" si="298"/>
        <v>49.2</v>
      </c>
      <c r="Y4751" t="str">
        <f t="shared" si="299"/>
        <v>Non-Senior</v>
      </c>
    </row>
    <row r="4752" spans="1:25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296"/>
        <v>0-12 Months</v>
      </c>
      <c r="W4752">
        <f t="shared" si="297"/>
        <v>0</v>
      </c>
      <c r="X4752">
        <f t="shared" si="298"/>
        <v>0</v>
      </c>
      <c r="Y4752" t="str">
        <f t="shared" si="299"/>
        <v>Non-Senior</v>
      </c>
    </row>
    <row r="4753" spans="1:25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7082</v>
      </c>
      <c r="J4753" t="s">
        <v>7084</v>
      </c>
      <c r="K4753" t="s">
        <v>46</v>
      </c>
      <c r="L4753" t="s">
        <v>7084</v>
      </c>
      <c r="M4753" t="s">
        <v>7084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296"/>
        <v>0-12 Months</v>
      </c>
      <c r="W4753">
        <f t="shared" si="297"/>
        <v>1</v>
      </c>
      <c r="X4753">
        <f t="shared" si="298"/>
        <v>23.15</v>
      </c>
      <c r="Y4753" t="str">
        <f t="shared" si="299"/>
        <v>Non-Senior</v>
      </c>
    </row>
    <row r="4754" spans="1:25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7082</v>
      </c>
      <c r="J4754" t="s">
        <v>7084</v>
      </c>
      <c r="K4754" t="s">
        <v>46</v>
      </c>
      <c r="L4754" t="s">
        <v>7084</v>
      </c>
      <c r="M4754" t="s">
        <v>7084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296"/>
        <v>13-24 Months</v>
      </c>
      <c r="W4754">
        <f t="shared" si="297"/>
        <v>0</v>
      </c>
      <c r="X4754">
        <f t="shared" si="298"/>
        <v>0</v>
      </c>
      <c r="Y4754" t="str">
        <f t="shared" si="299"/>
        <v>Non-Senior</v>
      </c>
    </row>
    <row r="4755" spans="1:25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296"/>
        <v>0-12 Months</v>
      </c>
      <c r="W4755">
        <f t="shared" si="297"/>
        <v>1</v>
      </c>
      <c r="X4755">
        <f t="shared" si="298"/>
        <v>80.849999999999994</v>
      </c>
      <c r="Y4755" t="str">
        <f t="shared" si="299"/>
        <v>Non-Senior</v>
      </c>
    </row>
    <row r="4756" spans="1:25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7082</v>
      </c>
      <c r="J4756" t="s">
        <v>7084</v>
      </c>
      <c r="K4756" t="s">
        <v>46</v>
      </c>
      <c r="L4756" t="s">
        <v>7084</v>
      </c>
      <c r="M4756" t="s">
        <v>7084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296"/>
        <v>61-72 Months</v>
      </c>
      <c r="W4756">
        <f t="shared" si="297"/>
        <v>0</v>
      </c>
      <c r="X4756">
        <f t="shared" si="298"/>
        <v>0</v>
      </c>
      <c r="Y4756" t="str">
        <f t="shared" si="299"/>
        <v>Non-Senior</v>
      </c>
    </row>
    <row r="4757" spans="1:25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296"/>
        <v>25-36 Months</v>
      </c>
      <c r="W4757">
        <f t="shared" si="297"/>
        <v>0</v>
      </c>
      <c r="X4757">
        <f t="shared" si="298"/>
        <v>0</v>
      </c>
      <c r="Y4757" t="str">
        <f t="shared" si="299"/>
        <v>Non-Senior</v>
      </c>
    </row>
    <row r="4758" spans="1:25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296"/>
        <v>25-36 Months</v>
      </c>
      <c r="W4758">
        <f t="shared" si="297"/>
        <v>0</v>
      </c>
      <c r="X4758">
        <f t="shared" si="298"/>
        <v>0</v>
      </c>
      <c r="Y4758" t="str">
        <f t="shared" si="299"/>
        <v>Non-Senior</v>
      </c>
    </row>
    <row r="4759" spans="1:25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296"/>
        <v>0-12 Months</v>
      </c>
      <c r="W4759">
        <f t="shared" si="297"/>
        <v>1</v>
      </c>
      <c r="X4759">
        <f t="shared" si="298"/>
        <v>60.1</v>
      </c>
      <c r="Y4759" t="str">
        <f t="shared" si="299"/>
        <v>Non-Senior</v>
      </c>
    </row>
    <row r="4760" spans="1:25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7082</v>
      </c>
      <c r="J4760" t="s">
        <v>7084</v>
      </c>
      <c r="K4760" t="s">
        <v>46</v>
      </c>
      <c r="L4760" t="s">
        <v>7084</v>
      </c>
      <c r="M4760" t="s">
        <v>7084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296"/>
        <v>49-60 Months</v>
      </c>
      <c r="W4760">
        <f t="shared" si="297"/>
        <v>0</v>
      </c>
      <c r="X4760">
        <f t="shared" si="298"/>
        <v>0</v>
      </c>
      <c r="Y4760" t="str">
        <f t="shared" si="299"/>
        <v>Non-Senior</v>
      </c>
    </row>
    <row r="4761" spans="1:25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296"/>
        <v>0-12 Months</v>
      </c>
      <c r="W4761">
        <f t="shared" si="297"/>
        <v>1</v>
      </c>
      <c r="X4761">
        <f t="shared" si="298"/>
        <v>78.95</v>
      </c>
      <c r="Y4761" t="str">
        <f t="shared" si="299"/>
        <v>Non-Senior</v>
      </c>
    </row>
    <row r="4762" spans="1:25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296"/>
        <v>61-72 Months</v>
      </c>
      <c r="W4762">
        <f t="shared" si="297"/>
        <v>0</v>
      </c>
      <c r="X4762">
        <f t="shared" si="298"/>
        <v>0</v>
      </c>
      <c r="Y4762" t="str">
        <f t="shared" si="299"/>
        <v>Non-Senior</v>
      </c>
    </row>
    <row r="4763" spans="1:25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7082</v>
      </c>
      <c r="J4763" t="s">
        <v>7084</v>
      </c>
      <c r="K4763" t="s">
        <v>46</v>
      </c>
      <c r="L4763" t="s">
        <v>7084</v>
      </c>
      <c r="M4763" t="s">
        <v>7084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296"/>
        <v>61-72 Months</v>
      </c>
      <c r="W4763">
        <f t="shared" si="297"/>
        <v>0</v>
      </c>
      <c r="X4763">
        <f t="shared" si="298"/>
        <v>0</v>
      </c>
      <c r="Y4763" t="str">
        <f t="shared" si="299"/>
        <v>Non-Senior</v>
      </c>
    </row>
    <row r="4764" spans="1:25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296"/>
        <v>25-36 Months</v>
      </c>
      <c r="W4764">
        <f t="shared" si="297"/>
        <v>0</v>
      </c>
      <c r="X4764">
        <f t="shared" si="298"/>
        <v>0</v>
      </c>
      <c r="Y4764" t="str">
        <f t="shared" si="299"/>
        <v>Senior Citizen</v>
      </c>
    </row>
    <row r="4765" spans="1:25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296"/>
        <v>49-60 Months</v>
      </c>
      <c r="W4765">
        <f t="shared" si="297"/>
        <v>0</v>
      </c>
      <c r="X4765">
        <f t="shared" si="298"/>
        <v>0</v>
      </c>
      <c r="Y4765" t="str">
        <f t="shared" si="299"/>
        <v>Non-Senior</v>
      </c>
    </row>
    <row r="4766" spans="1:25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296"/>
        <v>0-12 Months</v>
      </c>
      <c r="W4766">
        <f t="shared" si="297"/>
        <v>1</v>
      </c>
      <c r="X4766">
        <f t="shared" si="298"/>
        <v>45.15</v>
      </c>
      <c r="Y4766" t="str">
        <f t="shared" si="299"/>
        <v>Non-Senior</v>
      </c>
    </row>
    <row r="4767" spans="1:25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296"/>
        <v>37-48 Months</v>
      </c>
      <c r="W4767">
        <f t="shared" si="297"/>
        <v>0</v>
      </c>
      <c r="X4767">
        <f t="shared" si="298"/>
        <v>0</v>
      </c>
      <c r="Y4767" t="str">
        <f t="shared" si="299"/>
        <v>Non-Senior</v>
      </c>
    </row>
    <row r="4768" spans="1:25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296"/>
        <v>61-72 Months</v>
      </c>
      <c r="W4768">
        <f t="shared" si="297"/>
        <v>0</v>
      </c>
      <c r="X4768">
        <f t="shared" si="298"/>
        <v>0</v>
      </c>
      <c r="Y4768" t="str">
        <f t="shared" si="299"/>
        <v>Non-Senior</v>
      </c>
    </row>
    <row r="4769" spans="1:25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7082</v>
      </c>
      <c r="J4769" t="s">
        <v>7084</v>
      </c>
      <c r="K4769" t="s">
        <v>46</v>
      </c>
      <c r="L4769" t="s">
        <v>7084</v>
      </c>
      <c r="M4769" t="s">
        <v>7084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296"/>
        <v>0-12 Months</v>
      </c>
      <c r="W4769">
        <f t="shared" si="297"/>
        <v>0</v>
      </c>
      <c r="X4769">
        <f t="shared" si="298"/>
        <v>0</v>
      </c>
      <c r="Y4769" t="str">
        <f t="shared" si="299"/>
        <v>Non-Senior</v>
      </c>
    </row>
    <row r="4770" spans="1:25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7082</v>
      </c>
      <c r="J4770" t="s">
        <v>7084</v>
      </c>
      <c r="K4770" t="s">
        <v>46</v>
      </c>
      <c r="L4770" t="s">
        <v>7084</v>
      </c>
      <c r="M4770" t="s">
        <v>7084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296"/>
        <v>61-72 Months</v>
      </c>
      <c r="W4770">
        <f t="shared" si="297"/>
        <v>0</v>
      </c>
      <c r="X4770">
        <f t="shared" si="298"/>
        <v>0</v>
      </c>
      <c r="Y4770" t="str">
        <f t="shared" si="299"/>
        <v>Senior Citizen</v>
      </c>
    </row>
    <row r="4771" spans="1:25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7082</v>
      </c>
      <c r="J4771" t="s">
        <v>7084</v>
      </c>
      <c r="K4771" t="s">
        <v>46</v>
      </c>
      <c r="L4771" t="s">
        <v>7084</v>
      </c>
      <c r="M4771" t="s">
        <v>7084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296"/>
        <v>25-36 Months</v>
      </c>
      <c r="W4771">
        <f t="shared" si="297"/>
        <v>0</v>
      </c>
      <c r="X4771">
        <f t="shared" si="298"/>
        <v>0</v>
      </c>
      <c r="Y4771" t="str">
        <f t="shared" si="299"/>
        <v>Non-Senior</v>
      </c>
    </row>
    <row r="4772" spans="1:25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7082</v>
      </c>
      <c r="J4772" t="s">
        <v>7084</v>
      </c>
      <c r="K4772" t="s">
        <v>46</v>
      </c>
      <c r="L4772" t="s">
        <v>7084</v>
      </c>
      <c r="M4772" t="s">
        <v>7084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296"/>
        <v>0-12 Months</v>
      </c>
      <c r="W4772">
        <f t="shared" si="297"/>
        <v>0</v>
      </c>
      <c r="X4772">
        <f t="shared" si="298"/>
        <v>0</v>
      </c>
      <c r="Y4772" t="str">
        <f t="shared" si="299"/>
        <v>Non-Senior</v>
      </c>
    </row>
    <row r="4773" spans="1:25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296"/>
        <v>0-12 Months</v>
      </c>
      <c r="W4773">
        <f t="shared" si="297"/>
        <v>1</v>
      </c>
      <c r="X4773">
        <f t="shared" si="298"/>
        <v>79.400000000000006</v>
      </c>
      <c r="Y4773" t="str">
        <f t="shared" si="299"/>
        <v>Non-Senior</v>
      </c>
    </row>
    <row r="4774" spans="1:25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296"/>
        <v>61-72 Months</v>
      </c>
      <c r="W4774">
        <f t="shared" si="297"/>
        <v>0</v>
      </c>
      <c r="X4774">
        <f t="shared" si="298"/>
        <v>0</v>
      </c>
      <c r="Y4774" t="str">
        <f t="shared" si="299"/>
        <v>Non-Senior</v>
      </c>
    </row>
    <row r="4775" spans="1:25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296"/>
        <v>37-48 Months</v>
      </c>
      <c r="W4775">
        <f t="shared" si="297"/>
        <v>1</v>
      </c>
      <c r="X4775">
        <f t="shared" si="298"/>
        <v>53.95</v>
      </c>
      <c r="Y4775" t="str">
        <f t="shared" si="299"/>
        <v>Non-Senior</v>
      </c>
    </row>
    <row r="4776" spans="1:25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296"/>
        <v>49-60 Months</v>
      </c>
      <c r="W4776">
        <f t="shared" si="297"/>
        <v>0</v>
      </c>
      <c r="X4776">
        <f t="shared" si="298"/>
        <v>0</v>
      </c>
      <c r="Y4776" t="str">
        <f t="shared" si="299"/>
        <v>Non-Senior</v>
      </c>
    </row>
    <row r="4777" spans="1:25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296"/>
        <v>13-24 Months</v>
      </c>
      <c r="W4777">
        <f t="shared" si="297"/>
        <v>1</v>
      </c>
      <c r="X4777">
        <f t="shared" si="298"/>
        <v>99.3</v>
      </c>
      <c r="Y4777" t="str">
        <f t="shared" si="299"/>
        <v>Non-Senior</v>
      </c>
    </row>
    <row r="4778" spans="1:25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296"/>
        <v>0-12 Months</v>
      </c>
      <c r="W4778">
        <f t="shared" si="297"/>
        <v>0</v>
      </c>
      <c r="X4778">
        <f t="shared" si="298"/>
        <v>0</v>
      </c>
      <c r="Y4778" t="str">
        <f t="shared" si="299"/>
        <v>Non-Senior</v>
      </c>
    </row>
    <row r="4779" spans="1:25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296"/>
        <v>0-12 Months</v>
      </c>
      <c r="W4779">
        <f t="shared" si="297"/>
        <v>0</v>
      </c>
      <c r="X4779">
        <f t="shared" si="298"/>
        <v>0</v>
      </c>
      <c r="Y4779" t="str">
        <f t="shared" si="299"/>
        <v>Non-Senior</v>
      </c>
    </row>
    <row r="4780" spans="1:25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7082</v>
      </c>
      <c r="J4780" t="s">
        <v>7084</v>
      </c>
      <c r="K4780" t="s">
        <v>46</v>
      </c>
      <c r="L4780" t="s">
        <v>7084</v>
      </c>
      <c r="M4780" t="s">
        <v>7084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296"/>
        <v>61-72 Months</v>
      </c>
      <c r="W4780">
        <f t="shared" si="297"/>
        <v>0</v>
      </c>
      <c r="X4780">
        <f t="shared" si="298"/>
        <v>0</v>
      </c>
      <c r="Y4780" t="str">
        <f t="shared" si="299"/>
        <v>Non-Senior</v>
      </c>
    </row>
    <row r="4781" spans="1:25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296"/>
        <v>13-24 Months</v>
      </c>
      <c r="W4781">
        <f t="shared" si="297"/>
        <v>0</v>
      </c>
      <c r="X4781">
        <f t="shared" si="298"/>
        <v>0</v>
      </c>
      <c r="Y4781" t="str">
        <f t="shared" si="299"/>
        <v>Non-Senior</v>
      </c>
    </row>
    <row r="4782" spans="1:25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296"/>
        <v>0-12 Months</v>
      </c>
      <c r="W4782">
        <f t="shared" si="297"/>
        <v>0</v>
      </c>
      <c r="X4782">
        <f t="shared" si="298"/>
        <v>0</v>
      </c>
      <c r="Y4782" t="str">
        <f t="shared" si="299"/>
        <v>Non-Senior</v>
      </c>
    </row>
    <row r="4783" spans="1:25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7082</v>
      </c>
      <c r="J4783" t="s">
        <v>7084</v>
      </c>
      <c r="K4783" t="s">
        <v>46</v>
      </c>
      <c r="L4783" t="s">
        <v>7084</v>
      </c>
      <c r="M4783" t="s">
        <v>7084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296"/>
        <v>49-60 Months</v>
      </c>
      <c r="W4783">
        <f t="shared" si="297"/>
        <v>0</v>
      </c>
      <c r="X4783">
        <f t="shared" si="298"/>
        <v>0</v>
      </c>
      <c r="Y4783" t="str">
        <f t="shared" si="299"/>
        <v>Non-Senior</v>
      </c>
    </row>
    <row r="4784" spans="1:25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296"/>
        <v>0-12 Months</v>
      </c>
      <c r="W4784">
        <f t="shared" si="297"/>
        <v>0</v>
      </c>
      <c r="X4784">
        <f t="shared" si="298"/>
        <v>0</v>
      </c>
      <c r="Y4784" t="str">
        <f t="shared" si="299"/>
        <v>Non-Senior</v>
      </c>
    </row>
    <row r="4785" spans="1:25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296"/>
        <v>61-72 Months</v>
      </c>
      <c r="W4785">
        <f t="shared" si="297"/>
        <v>0</v>
      </c>
      <c r="X4785">
        <f t="shared" si="298"/>
        <v>0</v>
      </c>
      <c r="Y4785" t="str">
        <f t="shared" si="299"/>
        <v>Senior Citizen</v>
      </c>
    </row>
    <row r="4786" spans="1:25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7082</v>
      </c>
      <c r="J4786" t="s">
        <v>7084</v>
      </c>
      <c r="K4786" t="s">
        <v>46</v>
      </c>
      <c r="L4786" t="s">
        <v>7084</v>
      </c>
      <c r="M4786" t="s">
        <v>7084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296"/>
        <v>0-12 Months</v>
      </c>
      <c r="W4786">
        <f t="shared" si="297"/>
        <v>0</v>
      </c>
      <c r="X4786">
        <f t="shared" si="298"/>
        <v>0</v>
      </c>
      <c r="Y4786" t="str">
        <f t="shared" si="299"/>
        <v>Non-Senior</v>
      </c>
    </row>
    <row r="4787" spans="1:25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296"/>
        <v>13-24 Months</v>
      </c>
      <c r="W4787">
        <f t="shared" si="297"/>
        <v>1</v>
      </c>
      <c r="X4787">
        <f t="shared" si="298"/>
        <v>80.650000000000006</v>
      </c>
      <c r="Y4787" t="str">
        <f t="shared" si="299"/>
        <v>Non-Senior</v>
      </c>
    </row>
    <row r="4788" spans="1:25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296"/>
        <v>61-72 Months</v>
      </c>
      <c r="W4788">
        <f t="shared" si="297"/>
        <v>0</v>
      </c>
      <c r="X4788">
        <f t="shared" si="298"/>
        <v>0</v>
      </c>
      <c r="Y4788" t="str">
        <f t="shared" si="299"/>
        <v>Non-Senior</v>
      </c>
    </row>
    <row r="4789" spans="1:25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296"/>
        <v>0-12 Months</v>
      </c>
      <c r="W4789">
        <f t="shared" si="297"/>
        <v>0</v>
      </c>
      <c r="X4789">
        <f t="shared" si="298"/>
        <v>0</v>
      </c>
      <c r="Y4789" t="str">
        <f t="shared" si="299"/>
        <v>Non-Senior</v>
      </c>
    </row>
    <row r="4790" spans="1:25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296"/>
        <v>49-60 Months</v>
      </c>
      <c r="W4790">
        <f t="shared" si="297"/>
        <v>0</v>
      </c>
      <c r="X4790">
        <f t="shared" si="298"/>
        <v>0</v>
      </c>
      <c r="Y4790" t="str">
        <f t="shared" si="299"/>
        <v>Non-Senior</v>
      </c>
    </row>
    <row r="4791" spans="1:25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296"/>
        <v>0-12 Months</v>
      </c>
      <c r="W4791">
        <f t="shared" si="297"/>
        <v>1</v>
      </c>
      <c r="X4791">
        <f t="shared" si="298"/>
        <v>71.099999999999994</v>
      </c>
      <c r="Y4791" t="str">
        <f t="shared" si="299"/>
        <v>Non-Senior</v>
      </c>
    </row>
    <row r="4792" spans="1:25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296"/>
        <v>25-36 Months</v>
      </c>
      <c r="W4792">
        <f t="shared" si="297"/>
        <v>0</v>
      </c>
      <c r="X4792">
        <f t="shared" si="298"/>
        <v>0</v>
      </c>
      <c r="Y4792" t="str">
        <f t="shared" si="299"/>
        <v>Senior Citizen</v>
      </c>
    </row>
    <row r="4793" spans="1:25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7082</v>
      </c>
      <c r="J4793" t="s">
        <v>7084</v>
      </c>
      <c r="K4793" t="s">
        <v>46</v>
      </c>
      <c r="L4793" t="s">
        <v>7084</v>
      </c>
      <c r="M4793" t="s">
        <v>7084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296"/>
        <v>0-12 Months</v>
      </c>
      <c r="W4793">
        <f t="shared" si="297"/>
        <v>0</v>
      </c>
      <c r="X4793">
        <f t="shared" si="298"/>
        <v>0</v>
      </c>
      <c r="Y4793" t="str">
        <f t="shared" si="299"/>
        <v>Non-Senior</v>
      </c>
    </row>
    <row r="4794" spans="1:25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296"/>
        <v>61-72 Months</v>
      </c>
      <c r="W4794">
        <f t="shared" si="297"/>
        <v>1</v>
      </c>
      <c r="X4794">
        <f t="shared" si="298"/>
        <v>106.25</v>
      </c>
      <c r="Y4794" t="str">
        <f t="shared" si="299"/>
        <v>Senior Citizen</v>
      </c>
    </row>
    <row r="4795" spans="1:25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296"/>
        <v>49-60 Months</v>
      </c>
      <c r="W4795">
        <f t="shared" si="297"/>
        <v>0</v>
      </c>
      <c r="X4795">
        <f t="shared" si="298"/>
        <v>0</v>
      </c>
      <c r="Y4795" t="str">
        <f t="shared" si="299"/>
        <v>Non-Senior</v>
      </c>
    </row>
    <row r="4796" spans="1:25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7082</v>
      </c>
      <c r="J4796" t="s">
        <v>7084</v>
      </c>
      <c r="K4796" t="s">
        <v>46</v>
      </c>
      <c r="L4796" t="s">
        <v>7084</v>
      </c>
      <c r="M4796" t="s">
        <v>7084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296"/>
        <v>0-12 Months</v>
      </c>
      <c r="W4796">
        <f t="shared" si="297"/>
        <v>0</v>
      </c>
      <c r="X4796">
        <f t="shared" si="298"/>
        <v>0</v>
      </c>
      <c r="Y4796" t="str">
        <f t="shared" si="299"/>
        <v>Non-Senior</v>
      </c>
    </row>
    <row r="4797" spans="1:25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7082</v>
      </c>
      <c r="J4797" t="s">
        <v>7084</v>
      </c>
      <c r="K4797" t="s">
        <v>46</v>
      </c>
      <c r="L4797" t="s">
        <v>7084</v>
      </c>
      <c r="M4797" t="s">
        <v>7084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296"/>
        <v>49-60 Months</v>
      </c>
      <c r="W4797">
        <f t="shared" si="297"/>
        <v>1</v>
      </c>
      <c r="X4797">
        <f t="shared" si="298"/>
        <v>20.8</v>
      </c>
      <c r="Y4797" t="str">
        <f t="shared" si="299"/>
        <v>Non-Senior</v>
      </c>
    </row>
    <row r="4798" spans="1:25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296"/>
        <v>49-60 Months</v>
      </c>
      <c r="W4798">
        <f t="shared" si="297"/>
        <v>0</v>
      </c>
      <c r="X4798">
        <f t="shared" si="298"/>
        <v>0</v>
      </c>
      <c r="Y4798" t="str">
        <f t="shared" si="299"/>
        <v>Non-Senior</v>
      </c>
    </row>
    <row r="4799" spans="1:25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296"/>
        <v>61-72 Months</v>
      </c>
      <c r="W4799">
        <f t="shared" si="297"/>
        <v>0</v>
      </c>
      <c r="X4799">
        <f t="shared" si="298"/>
        <v>0</v>
      </c>
      <c r="Y4799" t="str">
        <f t="shared" si="299"/>
        <v>Non-Senior</v>
      </c>
    </row>
    <row r="4800" spans="1:25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296"/>
        <v>25-36 Months</v>
      </c>
      <c r="W4800">
        <f t="shared" si="297"/>
        <v>0</v>
      </c>
      <c r="X4800">
        <f t="shared" si="298"/>
        <v>0</v>
      </c>
      <c r="Y4800" t="str">
        <f t="shared" si="299"/>
        <v>Senior Citizen</v>
      </c>
    </row>
    <row r="4801" spans="1:25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7082</v>
      </c>
      <c r="J4801" t="s">
        <v>7084</v>
      </c>
      <c r="K4801" t="s">
        <v>46</v>
      </c>
      <c r="L4801" t="s">
        <v>7084</v>
      </c>
      <c r="M4801" t="s">
        <v>7084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296"/>
        <v>0-12 Months</v>
      </c>
      <c r="W4801">
        <f t="shared" si="297"/>
        <v>0</v>
      </c>
      <c r="X4801">
        <f t="shared" si="298"/>
        <v>0</v>
      </c>
      <c r="Y4801" t="str">
        <f t="shared" si="299"/>
        <v>Non-Senior</v>
      </c>
    </row>
    <row r="4802" spans="1:25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si="296"/>
        <v>0-12 Months</v>
      </c>
      <c r="W4802">
        <f t="shared" si="297"/>
        <v>1</v>
      </c>
      <c r="X4802">
        <f t="shared" si="298"/>
        <v>94</v>
      </c>
      <c r="Y4802" t="str">
        <f t="shared" si="299"/>
        <v>Senior Citizen</v>
      </c>
    </row>
    <row r="4803" spans="1:25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ref="V4803:V4866" si="300">IF(F4803&lt;=12,"0-12 Months",IF(F4803&lt;=24,"13-24 Months",IF(F4803&lt;=36,"25-36 Months",IF(F4803&lt;=48,"37-48 Months",IF(F4803&lt;=60,"49-60 Months","61-72 Months")))))</f>
        <v>61-72 Months</v>
      </c>
      <c r="W4803">
        <f t="shared" ref="W4803:W4866" si="301">IF(U4803="Yes",1,0)</f>
        <v>0</v>
      </c>
      <c r="X4803">
        <f t="shared" ref="X4803:X4866" si="302">IF(U4803="Yes",S4803,0)</f>
        <v>0</v>
      </c>
      <c r="Y4803" t="str">
        <f t="shared" ref="Y4803:Y4866" si="303">IF(C4803=1,"Senior Citizen","Non-Senior")</f>
        <v>Non-Senior</v>
      </c>
    </row>
    <row r="4804" spans="1:25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300"/>
        <v>25-36 Months</v>
      </c>
      <c r="W4804">
        <f t="shared" si="301"/>
        <v>0</v>
      </c>
      <c r="X4804">
        <f t="shared" si="302"/>
        <v>0</v>
      </c>
      <c r="Y4804" t="str">
        <f t="shared" si="303"/>
        <v>Non-Senior</v>
      </c>
    </row>
    <row r="4805" spans="1:25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300"/>
        <v>37-48 Months</v>
      </c>
      <c r="W4805">
        <f t="shared" si="301"/>
        <v>0</v>
      </c>
      <c r="X4805">
        <f t="shared" si="302"/>
        <v>0</v>
      </c>
      <c r="Y4805" t="str">
        <f t="shared" si="303"/>
        <v>Non-Senior</v>
      </c>
    </row>
    <row r="4806" spans="1:25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300"/>
        <v>61-72 Months</v>
      </c>
      <c r="W4806">
        <f t="shared" si="301"/>
        <v>0</v>
      </c>
      <c r="X4806">
        <f t="shared" si="302"/>
        <v>0</v>
      </c>
      <c r="Y4806" t="str">
        <f t="shared" si="303"/>
        <v>Non-Senior</v>
      </c>
    </row>
    <row r="4807" spans="1:25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7082</v>
      </c>
      <c r="J4807" t="s">
        <v>7084</v>
      </c>
      <c r="K4807" t="s">
        <v>46</v>
      </c>
      <c r="L4807" t="s">
        <v>7084</v>
      </c>
      <c r="M4807" t="s">
        <v>7084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300"/>
        <v>49-60 Months</v>
      </c>
      <c r="W4807">
        <f t="shared" si="301"/>
        <v>0</v>
      </c>
      <c r="X4807">
        <f t="shared" si="302"/>
        <v>0</v>
      </c>
      <c r="Y4807" t="str">
        <f t="shared" si="303"/>
        <v>Non-Senior</v>
      </c>
    </row>
    <row r="4808" spans="1:25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7082</v>
      </c>
      <c r="J4808" t="s">
        <v>7084</v>
      </c>
      <c r="K4808" t="s">
        <v>46</v>
      </c>
      <c r="L4808" t="s">
        <v>7084</v>
      </c>
      <c r="M4808" t="s">
        <v>7084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300"/>
        <v>61-72 Months</v>
      </c>
      <c r="W4808">
        <f t="shared" si="301"/>
        <v>0</v>
      </c>
      <c r="X4808">
        <f t="shared" si="302"/>
        <v>0</v>
      </c>
      <c r="Y4808" t="str">
        <f t="shared" si="303"/>
        <v>Non-Senior</v>
      </c>
    </row>
    <row r="4809" spans="1:25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300"/>
        <v>25-36 Months</v>
      </c>
      <c r="W4809">
        <f t="shared" si="301"/>
        <v>0</v>
      </c>
      <c r="X4809">
        <f t="shared" si="302"/>
        <v>0</v>
      </c>
      <c r="Y4809" t="str">
        <f t="shared" si="303"/>
        <v>Non-Senior</v>
      </c>
    </row>
    <row r="4810" spans="1:25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300"/>
        <v>49-60 Months</v>
      </c>
      <c r="W4810">
        <f t="shared" si="301"/>
        <v>0</v>
      </c>
      <c r="X4810">
        <f t="shared" si="302"/>
        <v>0</v>
      </c>
      <c r="Y4810" t="str">
        <f t="shared" si="303"/>
        <v>Non-Senior</v>
      </c>
    </row>
    <row r="4811" spans="1:25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7082</v>
      </c>
      <c r="J4811" t="s">
        <v>7084</v>
      </c>
      <c r="K4811" t="s">
        <v>46</v>
      </c>
      <c r="L4811" t="s">
        <v>7084</v>
      </c>
      <c r="M4811" t="s">
        <v>7084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300"/>
        <v>0-12 Months</v>
      </c>
      <c r="W4811">
        <f t="shared" si="301"/>
        <v>0</v>
      </c>
      <c r="X4811">
        <f t="shared" si="302"/>
        <v>0</v>
      </c>
      <c r="Y4811" t="str">
        <f t="shared" si="303"/>
        <v>Non-Senior</v>
      </c>
    </row>
    <row r="4812" spans="1:25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300"/>
        <v>13-24 Months</v>
      </c>
      <c r="W4812">
        <f t="shared" si="301"/>
        <v>1</v>
      </c>
      <c r="X4812">
        <f t="shared" si="302"/>
        <v>89.85</v>
      </c>
      <c r="Y4812" t="str">
        <f t="shared" si="303"/>
        <v>Senior Citizen</v>
      </c>
    </row>
    <row r="4813" spans="1:25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300"/>
        <v>0-12 Months</v>
      </c>
      <c r="W4813">
        <f t="shared" si="301"/>
        <v>1</v>
      </c>
      <c r="X4813">
        <f t="shared" si="302"/>
        <v>46</v>
      </c>
      <c r="Y4813" t="str">
        <f t="shared" si="303"/>
        <v>Non-Senior</v>
      </c>
    </row>
    <row r="4814" spans="1:25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300"/>
        <v>0-12 Months</v>
      </c>
      <c r="W4814">
        <f t="shared" si="301"/>
        <v>1</v>
      </c>
      <c r="X4814">
        <f t="shared" si="302"/>
        <v>66.25</v>
      </c>
      <c r="Y4814" t="str">
        <f t="shared" si="303"/>
        <v>Non-Senior</v>
      </c>
    </row>
    <row r="4815" spans="1:25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300"/>
        <v>37-48 Months</v>
      </c>
      <c r="W4815">
        <f t="shared" si="301"/>
        <v>0</v>
      </c>
      <c r="X4815">
        <f t="shared" si="302"/>
        <v>0</v>
      </c>
      <c r="Y4815" t="str">
        <f t="shared" si="303"/>
        <v>Non-Senior</v>
      </c>
    </row>
    <row r="4816" spans="1:25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300"/>
        <v>13-24 Months</v>
      </c>
      <c r="W4816">
        <f t="shared" si="301"/>
        <v>1</v>
      </c>
      <c r="X4816">
        <f t="shared" si="302"/>
        <v>90</v>
      </c>
      <c r="Y4816" t="str">
        <f t="shared" si="303"/>
        <v>Non-Senior</v>
      </c>
    </row>
    <row r="4817" spans="1:25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300"/>
        <v>37-48 Months</v>
      </c>
      <c r="W4817">
        <f t="shared" si="301"/>
        <v>1</v>
      </c>
      <c r="X4817">
        <f t="shared" si="302"/>
        <v>70.45</v>
      </c>
      <c r="Y4817" t="str">
        <f t="shared" si="303"/>
        <v>Non-Senior</v>
      </c>
    </row>
    <row r="4818" spans="1:25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300"/>
        <v>49-60 Months</v>
      </c>
      <c r="W4818">
        <f t="shared" si="301"/>
        <v>0</v>
      </c>
      <c r="X4818">
        <f t="shared" si="302"/>
        <v>0</v>
      </c>
      <c r="Y4818" t="str">
        <f t="shared" si="303"/>
        <v>Non-Senior</v>
      </c>
    </row>
    <row r="4819" spans="1:25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7082</v>
      </c>
      <c r="J4819" t="s">
        <v>7084</v>
      </c>
      <c r="K4819" t="s">
        <v>46</v>
      </c>
      <c r="L4819" t="s">
        <v>7084</v>
      </c>
      <c r="M4819" t="s">
        <v>7084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300"/>
        <v>0-12 Months</v>
      </c>
      <c r="W4819">
        <f t="shared" si="301"/>
        <v>0</v>
      </c>
      <c r="X4819">
        <f t="shared" si="302"/>
        <v>0</v>
      </c>
      <c r="Y4819" t="str">
        <f t="shared" si="303"/>
        <v>Non-Senior</v>
      </c>
    </row>
    <row r="4820" spans="1:25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300"/>
        <v>61-72 Months</v>
      </c>
      <c r="W4820">
        <f t="shared" si="301"/>
        <v>0</v>
      </c>
      <c r="X4820">
        <f t="shared" si="302"/>
        <v>0</v>
      </c>
      <c r="Y4820" t="str">
        <f t="shared" si="303"/>
        <v>Senior Citizen</v>
      </c>
    </row>
    <row r="4821" spans="1:25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7082</v>
      </c>
      <c r="J4821" t="s">
        <v>7084</v>
      </c>
      <c r="K4821" t="s">
        <v>46</v>
      </c>
      <c r="L4821" t="s">
        <v>7084</v>
      </c>
      <c r="M4821" t="s">
        <v>7084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300"/>
        <v>49-60 Months</v>
      </c>
      <c r="W4821">
        <f t="shared" si="301"/>
        <v>1</v>
      </c>
      <c r="X4821">
        <f t="shared" si="302"/>
        <v>19.75</v>
      </c>
      <c r="Y4821" t="str">
        <f t="shared" si="303"/>
        <v>Non-Senior</v>
      </c>
    </row>
    <row r="4822" spans="1:25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300"/>
        <v>49-60 Months</v>
      </c>
      <c r="W4822">
        <f t="shared" si="301"/>
        <v>0</v>
      </c>
      <c r="X4822">
        <f t="shared" si="302"/>
        <v>0</v>
      </c>
      <c r="Y4822" t="str">
        <f t="shared" si="303"/>
        <v>Non-Senior</v>
      </c>
    </row>
    <row r="4823" spans="1:25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300"/>
        <v>49-60 Months</v>
      </c>
      <c r="W4823">
        <f t="shared" si="301"/>
        <v>0</v>
      </c>
      <c r="X4823">
        <f t="shared" si="302"/>
        <v>0</v>
      </c>
      <c r="Y4823" t="str">
        <f t="shared" si="303"/>
        <v>Non-Senior</v>
      </c>
    </row>
    <row r="4824" spans="1:25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300"/>
        <v>61-72 Months</v>
      </c>
      <c r="W4824">
        <f t="shared" si="301"/>
        <v>0</v>
      </c>
      <c r="X4824">
        <f t="shared" si="302"/>
        <v>0</v>
      </c>
      <c r="Y4824" t="str">
        <f t="shared" si="303"/>
        <v>Non-Senior</v>
      </c>
    </row>
    <row r="4825" spans="1:25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300"/>
        <v>0-12 Months</v>
      </c>
      <c r="W4825">
        <f t="shared" si="301"/>
        <v>1</v>
      </c>
      <c r="X4825">
        <f t="shared" si="302"/>
        <v>53.95</v>
      </c>
      <c r="Y4825" t="str">
        <f t="shared" si="303"/>
        <v>Non-Senior</v>
      </c>
    </row>
    <row r="4826" spans="1:25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300"/>
        <v>61-72 Months</v>
      </c>
      <c r="W4826">
        <f t="shared" si="301"/>
        <v>0</v>
      </c>
      <c r="X4826">
        <f t="shared" si="302"/>
        <v>0</v>
      </c>
      <c r="Y4826" t="str">
        <f t="shared" si="303"/>
        <v>Senior Citizen</v>
      </c>
    </row>
    <row r="4827" spans="1:25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300"/>
        <v>13-24 Months</v>
      </c>
      <c r="W4827">
        <f t="shared" si="301"/>
        <v>0</v>
      </c>
      <c r="X4827">
        <f t="shared" si="302"/>
        <v>0</v>
      </c>
      <c r="Y4827" t="str">
        <f t="shared" si="303"/>
        <v>Non-Senior</v>
      </c>
    </row>
    <row r="4828" spans="1:25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300"/>
        <v>0-12 Months</v>
      </c>
      <c r="W4828">
        <f t="shared" si="301"/>
        <v>1</v>
      </c>
      <c r="X4828">
        <f t="shared" si="302"/>
        <v>105.5</v>
      </c>
      <c r="Y4828" t="str">
        <f t="shared" si="303"/>
        <v>Senior Citizen</v>
      </c>
    </row>
    <row r="4829" spans="1:25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300"/>
        <v>13-24 Months</v>
      </c>
      <c r="W4829">
        <f t="shared" si="301"/>
        <v>1</v>
      </c>
      <c r="X4829">
        <f t="shared" si="302"/>
        <v>81</v>
      </c>
      <c r="Y4829" t="str">
        <f t="shared" si="303"/>
        <v>Non-Senior</v>
      </c>
    </row>
    <row r="4830" spans="1:25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300"/>
        <v>37-48 Months</v>
      </c>
      <c r="W4830">
        <f t="shared" si="301"/>
        <v>0</v>
      </c>
      <c r="X4830">
        <f t="shared" si="302"/>
        <v>0</v>
      </c>
      <c r="Y4830" t="str">
        <f t="shared" si="303"/>
        <v>Non-Senior</v>
      </c>
    </row>
    <row r="4831" spans="1:25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300"/>
        <v>0-12 Months</v>
      </c>
      <c r="W4831">
        <f t="shared" si="301"/>
        <v>0</v>
      </c>
      <c r="X4831">
        <f t="shared" si="302"/>
        <v>0</v>
      </c>
      <c r="Y4831" t="str">
        <f t="shared" si="303"/>
        <v>Non-Senior</v>
      </c>
    </row>
    <row r="4832" spans="1:25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300"/>
        <v>49-60 Months</v>
      </c>
      <c r="W4832">
        <f t="shared" si="301"/>
        <v>0</v>
      </c>
      <c r="X4832">
        <f t="shared" si="302"/>
        <v>0</v>
      </c>
      <c r="Y4832" t="str">
        <f t="shared" si="303"/>
        <v>Non-Senior</v>
      </c>
    </row>
    <row r="4833" spans="1:25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300"/>
        <v>13-24 Months</v>
      </c>
      <c r="W4833">
        <f t="shared" si="301"/>
        <v>0</v>
      </c>
      <c r="X4833">
        <f t="shared" si="302"/>
        <v>0</v>
      </c>
      <c r="Y4833" t="str">
        <f t="shared" si="303"/>
        <v>Non-Senior</v>
      </c>
    </row>
    <row r="4834" spans="1:25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300"/>
        <v>25-36 Months</v>
      </c>
      <c r="W4834">
        <f t="shared" si="301"/>
        <v>0</v>
      </c>
      <c r="X4834">
        <f t="shared" si="302"/>
        <v>0</v>
      </c>
      <c r="Y4834" t="str">
        <f t="shared" si="303"/>
        <v>Non-Senior</v>
      </c>
    </row>
    <row r="4835" spans="1:25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7082</v>
      </c>
      <c r="J4835" t="s">
        <v>7084</v>
      </c>
      <c r="K4835" t="s">
        <v>46</v>
      </c>
      <c r="L4835" t="s">
        <v>7084</v>
      </c>
      <c r="M4835" t="s">
        <v>7084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300"/>
        <v>37-48 Months</v>
      </c>
      <c r="W4835">
        <f t="shared" si="301"/>
        <v>0</v>
      </c>
      <c r="X4835">
        <f t="shared" si="302"/>
        <v>0</v>
      </c>
      <c r="Y4835" t="str">
        <f t="shared" si="303"/>
        <v>Non-Senior</v>
      </c>
    </row>
    <row r="4836" spans="1:25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7082</v>
      </c>
      <c r="J4836" t="s">
        <v>7084</v>
      </c>
      <c r="K4836" t="s">
        <v>46</v>
      </c>
      <c r="L4836" t="s">
        <v>7084</v>
      </c>
      <c r="M4836" t="s">
        <v>7084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300"/>
        <v>61-72 Months</v>
      </c>
      <c r="W4836">
        <f t="shared" si="301"/>
        <v>0</v>
      </c>
      <c r="X4836">
        <f t="shared" si="302"/>
        <v>0</v>
      </c>
      <c r="Y4836" t="str">
        <f t="shared" si="303"/>
        <v>Non-Senior</v>
      </c>
    </row>
    <row r="4837" spans="1:25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300"/>
        <v>61-72 Months</v>
      </c>
      <c r="W4837">
        <f t="shared" si="301"/>
        <v>0</v>
      </c>
      <c r="X4837">
        <f t="shared" si="302"/>
        <v>0</v>
      </c>
      <c r="Y4837" t="str">
        <f t="shared" si="303"/>
        <v>Non-Senior</v>
      </c>
    </row>
    <row r="4838" spans="1:25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300"/>
        <v>25-36 Months</v>
      </c>
      <c r="W4838">
        <f t="shared" si="301"/>
        <v>0</v>
      </c>
      <c r="X4838">
        <f t="shared" si="302"/>
        <v>0</v>
      </c>
      <c r="Y4838" t="str">
        <f t="shared" si="303"/>
        <v>Non-Senior</v>
      </c>
    </row>
    <row r="4839" spans="1:25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300"/>
        <v>0-12 Months</v>
      </c>
      <c r="W4839">
        <f t="shared" si="301"/>
        <v>1</v>
      </c>
      <c r="X4839">
        <f t="shared" si="302"/>
        <v>69.8</v>
      </c>
      <c r="Y4839" t="str">
        <f t="shared" si="303"/>
        <v>Non-Senior</v>
      </c>
    </row>
    <row r="4840" spans="1:25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300"/>
        <v>61-72 Months</v>
      </c>
      <c r="W4840">
        <f t="shared" si="301"/>
        <v>0</v>
      </c>
      <c r="X4840">
        <f t="shared" si="302"/>
        <v>0</v>
      </c>
      <c r="Y4840" t="str">
        <f t="shared" si="303"/>
        <v>Non-Senior</v>
      </c>
    </row>
    <row r="4841" spans="1:25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300"/>
        <v>0-12 Months</v>
      </c>
      <c r="W4841">
        <f t="shared" si="301"/>
        <v>1</v>
      </c>
      <c r="X4841">
        <f t="shared" si="302"/>
        <v>73.75</v>
      </c>
      <c r="Y4841" t="str">
        <f t="shared" si="303"/>
        <v>Senior Citizen</v>
      </c>
    </row>
    <row r="4842" spans="1:25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300"/>
        <v>37-48 Months</v>
      </c>
      <c r="W4842">
        <f t="shared" si="301"/>
        <v>0</v>
      </c>
      <c r="X4842">
        <f t="shared" si="302"/>
        <v>0</v>
      </c>
      <c r="Y4842" t="str">
        <f t="shared" si="303"/>
        <v>Senior Citizen</v>
      </c>
    </row>
    <row r="4843" spans="1:25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300"/>
        <v>13-24 Months</v>
      </c>
      <c r="W4843">
        <f t="shared" si="301"/>
        <v>0</v>
      </c>
      <c r="X4843">
        <f t="shared" si="302"/>
        <v>0</v>
      </c>
      <c r="Y4843" t="str">
        <f t="shared" si="303"/>
        <v>Non-Senior</v>
      </c>
    </row>
    <row r="4844" spans="1:25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300"/>
        <v>0-12 Months</v>
      </c>
      <c r="W4844">
        <f t="shared" si="301"/>
        <v>1</v>
      </c>
      <c r="X4844">
        <f t="shared" si="302"/>
        <v>54.55</v>
      </c>
      <c r="Y4844" t="str">
        <f t="shared" si="303"/>
        <v>Senior Citizen</v>
      </c>
    </row>
    <row r="4845" spans="1:25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7082</v>
      </c>
      <c r="J4845" t="s">
        <v>7084</v>
      </c>
      <c r="K4845" t="s">
        <v>46</v>
      </c>
      <c r="L4845" t="s">
        <v>7084</v>
      </c>
      <c r="M4845" t="s">
        <v>7084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300"/>
        <v>61-72 Months</v>
      </c>
      <c r="W4845">
        <f t="shared" si="301"/>
        <v>0</v>
      </c>
      <c r="X4845">
        <f t="shared" si="302"/>
        <v>0</v>
      </c>
      <c r="Y4845" t="str">
        <f t="shared" si="303"/>
        <v>Non-Senior</v>
      </c>
    </row>
    <row r="4846" spans="1:25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7082</v>
      </c>
      <c r="J4846" t="s">
        <v>7084</v>
      </c>
      <c r="K4846" t="s">
        <v>46</v>
      </c>
      <c r="L4846" t="s">
        <v>7084</v>
      </c>
      <c r="M4846" t="s">
        <v>7084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300"/>
        <v>37-48 Months</v>
      </c>
      <c r="W4846">
        <f t="shared" si="301"/>
        <v>0</v>
      </c>
      <c r="X4846">
        <f t="shared" si="302"/>
        <v>0</v>
      </c>
      <c r="Y4846" t="str">
        <f t="shared" si="303"/>
        <v>Non-Senior</v>
      </c>
    </row>
    <row r="4847" spans="1:25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300"/>
        <v>13-24 Months</v>
      </c>
      <c r="W4847">
        <f t="shared" si="301"/>
        <v>0</v>
      </c>
      <c r="X4847">
        <f t="shared" si="302"/>
        <v>0</v>
      </c>
      <c r="Y4847" t="str">
        <f t="shared" si="303"/>
        <v>Non-Senior</v>
      </c>
    </row>
    <row r="4848" spans="1:25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300"/>
        <v>0-12 Months</v>
      </c>
      <c r="W4848">
        <f t="shared" si="301"/>
        <v>0</v>
      </c>
      <c r="X4848">
        <f t="shared" si="302"/>
        <v>0</v>
      </c>
      <c r="Y4848" t="str">
        <f t="shared" si="303"/>
        <v>Non-Senior</v>
      </c>
    </row>
    <row r="4849" spans="1:25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300"/>
        <v>37-48 Months</v>
      </c>
      <c r="W4849">
        <f t="shared" si="301"/>
        <v>1</v>
      </c>
      <c r="X4849">
        <f t="shared" si="302"/>
        <v>76.25</v>
      </c>
      <c r="Y4849" t="str">
        <f t="shared" si="303"/>
        <v>Senior Citizen</v>
      </c>
    </row>
    <row r="4850" spans="1:25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300"/>
        <v>0-12 Months</v>
      </c>
      <c r="W4850">
        <f t="shared" si="301"/>
        <v>1</v>
      </c>
      <c r="X4850">
        <f t="shared" si="302"/>
        <v>93.9</v>
      </c>
      <c r="Y4850" t="str">
        <f t="shared" si="303"/>
        <v>Non-Senior</v>
      </c>
    </row>
    <row r="4851" spans="1:25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300"/>
        <v>37-48 Months</v>
      </c>
      <c r="W4851">
        <f t="shared" si="301"/>
        <v>0</v>
      </c>
      <c r="X4851">
        <f t="shared" si="302"/>
        <v>0</v>
      </c>
      <c r="Y4851" t="str">
        <f t="shared" si="303"/>
        <v>Non-Senior</v>
      </c>
    </row>
    <row r="4852" spans="1:25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300"/>
        <v>49-60 Months</v>
      </c>
      <c r="W4852">
        <f t="shared" si="301"/>
        <v>0</v>
      </c>
      <c r="X4852">
        <f t="shared" si="302"/>
        <v>0</v>
      </c>
      <c r="Y4852" t="str">
        <f t="shared" si="303"/>
        <v>Non-Senior</v>
      </c>
    </row>
    <row r="4853" spans="1:25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300"/>
        <v>0-12 Months</v>
      </c>
      <c r="W4853">
        <f t="shared" si="301"/>
        <v>1</v>
      </c>
      <c r="X4853">
        <f t="shared" si="302"/>
        <v>70.400000000000006</v>
      </c>
      <c r="Y4853" t="str">
        <f t="shared" si="303"/>
        <v>Senior Citizen</v>
      </c>
    </row>
    <row r="4854" spans="1:25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7082</v>
      </c>
      <c r="J4854" t="s">
        <v>7084</v>
      </c>
      <c r="K4854" t="s">
        <v>46</v>
      </c>
      <c r="L4854" t="s">
        <v>7084</v>
      </c>
      <c r="M4854" t="s">
        <v>7084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300"/>
        <v>61-72 Months</v>
      </c>
      <c r="W4854">
        <f t="shared" si="301"/>
        <v>0</v>
      </c>
      <c r="X4854">
        <f t="shared" si="302"/>
        <v>0</v>
      </c>
      <c r="Y4854" t="str">
        <f t="shared" si="303"/>
        <v>Senior Citizen</v>
      </c>
    </row>
    <row r="4855" spans="1:25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300"/>
        <v>49-60 Months</v>
      </c>
      <c r="W4855">
        <f t="shared" si="301"/>
        <v>0</v>
      </c>
      <c r="X4855">
        <f t="shared" si="302"/>
        <v>0</v>
      </c>
      <c r="Y4855" t="str">
        <f t="shared" si="303"/>
        <v>Non-Senior</v>
      </c>
    </row>
    <row r="4856" spans="1:25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300"/>
        <v>13-24 Months</v>
      </c>
      <c r="W4856">
        <f t="shared" si="301"/>
        <v>0</v>
      </c>
      <c r="X4856">
        <f t="shared" si="302"/>
        <v>0</v>
      </c>
      <c r="Y4856" t="str">
        <f t="shared" si="303"/>
        <v>Non-Senior</v>
      </c>
    </row>
    <row r="4857" spans="1:25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300"/>
        <v>61-72 Months</v>
      </c>
      <c r="W4857">
        <f t="shared" si="301"/>
        <v>0</v>
      </c>
      <c r="X4857">
        <f t="shared" si="302"/>
        <v>0</v>
      </c>
      <c r="Y4857" t="str">
        <f t="shared" si="303"/>
        <v>Non-Senior</v>
      </c>
    </row>
    <row r="4858" spans="1:25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300"/>
        <v>25-36 Months</v>
      </c>
      <c r="W4858">
        <f t="shared" si="301"/>
        <v>1</v>
      </c>
      <c r="X4858">
        <f t="shared" si="302"/>
        <v>91.15</v>
      </c>
      <c r="Y4858" t="str">
        <f t="shared" si="303"/>
        <v>Non-Senior</v>
      </c>
    </row>
    <row r="4859" spans="1:25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300"/>
        <v>13-24 Months</v>
      </c>
      <c r="W4859">
        <f t="shared" si="301"/>
        <v>0</v>
      </c>
      <c r="X4859">
        <f t="shared" si="302"/>
        <v>0</v>
      </c>
      <c r="Y4859" t="str">
        <f t="shared" si="303"/>
        <v>Non-Senior</v>
      </c>
    </row>
    <row r="4860" spans="1:25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300"/>
        <v>49-60 Months</v>
      </c>
      <c r="W4860">
        <f t="shared" si="301"/>
        <v>0</v>
      </c>
      <c r="X4860">
        <f t="shared" si="302"/>
        <v>0</v>
      </c>
      <c r="Y4860" t="str">
        <f t="shared" si="303"/>
        <v>Non-Senior</v>
      </c>
    </row>
    <row r="4861" spans="1:25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300"/>
        <v>61-72 Months</v>
      </c>
      <c r="W4861">
        <f t="shared" si="301"/>
        <v>0</v>
      </c>
      <c r="X4861">
        <f t="shared" si="302"/>
        <v>0</v>
      </c>
      <c r="Y4861" t="str">
        <f t="shared" si="303"/>
        <v>Senior Citizen</v>
      </c>
    </row>
    <row r="4862" spans="1:25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300"/>
        <v>13-24 Months</v>
      </c>
      <c r="W4862">
        <f t="shared" si="301"/>
        <v>0</v>
      </c>
      <c r="X4862">
        <f t="shared" si="302"/>
        <v>0</v>
      </c>
      <c r="Y4862" t="str">
        <f t="shared" si="303"/>
        <v>Non-Senior</v>
      </c>
    </row>
    <row r="4863" spans="1:25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300"/>
        <v>37-48 Months</v>
      </c>
      <c r="W4863">
        <f t="shared" si="301"/>
        <v>0</v>
      </c>
      <c r="X4863">
        <f t="shared" si="302"/>
        <v>0</v>
      </c>
      <c r="Y4863" t="str">
        <f t="shared" si="303"/>
        <v>Senior Citizen</v>
      </c>
    </row>
    <row r="4864" spans="1:25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300"/>
        <v>0-12 Months</v>
      </c>
      <c r="W4864">
        <f t="shared" si="301"/>
        <v>1</v>
      </c>
      <c r="X4864">
        <f t="shared" si="302"/>
        <v>70.95</v>
      </c>
      <c r="Y4864" t="str">
        <f t="shared" si="303"/>
        <v>Non-Senior</v>
      </c>
    </row>
    <row r="4865" spans="1:25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7082</v>
      </c>
      <c r="J4865" t="s">
        <v>7084</v>
      </c>
      <c r="K4865" t="s">
        <v>46</v>
      </c>
      <c r="L4865" t="s">
        <v>7084</v>
      </c>
      <c r="M4865" t="s">
        <v>7084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300"/>
        <v>49-60 Months</v>
      </c>
      <c r="W4865">
        <f t="shared" si="301"/>
        <v>0</v>
      </c>
      <c r="X4865">
        <f t="shared" si="302"/>
        <v>0</v>
      </c>
      <c r="Y4865" t="str">
        <f t="shared" si="303"/>
        <v>Non-Senior</v>
      </c>
    </row>
    <row r="4866" spans="1:25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si="300"/>
        <v>61-72 Months</v>
      </c>
      <c r="W4866">
        <f t="shared" si="301"/>
        <v>0</v>
      </c>
      <c r="X4866">
        <f t="shared" si="302"/>
        <v>0</v>
      </c>
      <c r="Y4866" t="str">
        <f t="shared" si="303"/>
        <v>Non-Senior</v>
      </c>
    </row>
    <row r="4867" spans="1:25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ref="V4867:V4930" si="304">IF(F4867&lt;=12,"0-12 Months",IF(F4867&lt;=24,"13-24 Months",IF(F4867&lt;=36,"25-36 Months",IF(F4867&lt;=48,"37-48 Months",IF(F4867&lt;=60,"49-60 Months","61-72 Months")))))</f>
        <v>0-12 Months</v>
      </c>
      <c r="W4867">
        <f t="shared" ref="W4867:W4930" si="305">IF(U4867="Yes",1,0)</f>
        <v>0</v>
      </c>
      <c r="X4867">
        <f t="shared" ref="X4867:X4930" si="306">IF(U4867="Yes",S4867,0)</f>
        <v>0</v>
      </c>
      <c r="Y4867" t="str">
        <f t="shared" ref="Y4867:Y4930" si="307">IF(C4867=1,"Senior Citizen","Non-Senior")</f>
        <v>Non-Senior</v>
      </c>
    </row>
    <row r="4868" spans="1:25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304"/>
        <v>13-24 Months</v>
      </c>
      <c r="W4868">
        <f t="shared" si="305"/>
        <v>0</v>
      </c>
      <c r="X4868">
        <f t="shared" si="306"/>
        <v>0</v>
      </c>
      <c r="Y4868" t="str">
        <f t="shared" si="307"/>
        <v>Non-Senior</v>
      </c>
    </row>
    <row r="4869" spans="1:25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304"/>
        <v>25-36 Months</v>
      </c>
      <c r="W4869">
        <f t="shared" si="305"/>
        <v>0</v>
      </c>
      <c r="X4869">
        <f t="shared" si="306"/>
        <v>0</v>
      </c>
      <c r="Y4869" t="str">
        <f t="shared" si="307"/>
        <v>Non-Senior</v>
      </c>
    </row>
    <row r="4870" spans="1:25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304"/>
        <v>37-48 Months</v>
      </c>
      <c r="W4870">
        <f t="shared" si="305"/>
        <v>1</v>
      </c>
      <c r="X4870">
        <f t="shared" si="306"/>
        <v>99.5</v>
      </c>
      <c r="Y4870" t="str">
        <f t="shared" si="307"/>
        <v>Non-Senior</v>
      </c>
    </row>
    <row r="4871" spans="1:25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304"/>
        <v>13-24 Months</v>
      </c>
      <c r="W4871">
        <f t="shared" si="305"/>
        <v>0</v>
      </c>
      <c r="X4871">
        <f t="shared" si="306"/>
        <v>0</v>
      </c>
      <c r="Y4871" t="str">
        <f t="shared" si="307"/>
        <v>Non-Senior</v>
      </c>
    </row>
    <row r="4872" spans="1:25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304"/>
        <v>37-48 Months</v>
      </c>
      <c r="W4872">
        <f t="shared" si="305"/>
        <v>0</v>
      </c>
      <c r="X4872">
        <f t="shared" si="306"/>
        <v>0</v>
      </c>
      <c r="Y4872" t="str">
        <f t="shared" si="307"/>
        <v>Non-Senior</v>
      </c>
    </row>
    <row r="4873" spans="1:25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304"/>
        <v>49-60 Months</v>
      </c>
      <c r="W4873">
        <f t="shared" si="305"/>
        <v>0</v>
      </c>
      <c r="X4873">
        <f t="shared" si="306"/>
        <v>0</v>
      </c>
      <c r="Y4873" t="str">
        <f t="shared" si="307"/>
        <v>Non-Senior</v>
      </c>
    </row>
    <row r="4874" spans="1:25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304"/>
        <v>61-72 Months</v>
      </c>
      <c r="W4874">
        <f t="shared" si="305"/>
        <v>0</v>
      </c>
      <c r="X4874">
        <f t="shared" si="306"/>
        <v>0</v>
      </c>
      <c r="Y4874" t="str">
        <f t="shared" si="307"/>
        <v>Non-Senior</v>
      </c>
    </row>
    <row r="4875" spans="1:25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7082</v>
      </c>
      <c r="J4875" t="s">
        <v>7084</v>
      </c>
      <c r="K4875" t="s">
        <v>46</v>
      </c>
      <c r="L4875" t="s">
        <v>7084</v>
      </c>
      <c r="M4875" t="s">
        <v>7084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304"/>
        <v>0-12 Months</v>
      </c>
      <c r="W4875">
        <f t="shared" si="305"/>
        <v>0</v>
      </c>
      <c r="X4875">
        <f t="shared" si="306"/>
        <v>0</v>
      </c>
      <c r="Y4875" t="str">
        <f t="shared" si="307"/>
        <v>Non-Senior</v>
      </c>
    </row>
    <row r="4876" spans="1:25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304"/>
        <v>37-48 Months</v>
      </c>
      <c r="W4876">
        <f t="shared" si="305"/>
        <v>1</v>
      </c>
      <c r="X4876">
        <f t="shared" si="306"/>
        <v>83.9</v>
      </c>
      <c r="Y4876" t="str">
        <f t="shared" si="307"/>
        <v>Non-Senior</v>
      </c>
    </row>
    <row r="4877" spans="1:25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304"/>
        <v>37-48 Months</v>
      </c>
      <c r="W4877">
        <f t="shared" si="305"/>
        <v>1</v>
      </c>
      <c r="X4877">
        <f t="shared" si="306"/>
        <v>117.45</v>
      </c>
      <c r="Y4877" t="str">
        <f t="shared" si="307"/>
        <v>Senior Citizen</v>
      </c>
    </row>
    <row r="4878" spans="1:25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304"/>
        <v>0-12 Months</v>
      </c>
      <c r="W4878">
        <f t="shared" si="305"/>
        <v>1</v>
      </c>
      <c r="X4878">
        <f t="shared" si="306"/>
        <v>104.4</v>
      </c>
      <c r="Y4878" t="str">
        <f t="shared" si="307"/>
        <v>Non-Senior</v>
      </c>
    </row>
    <row r="4879" spans="1:25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304"/>
        <v>25-36 Months</v>
      </c>
      <c r="W4879">
        <f t="shared" si="305"/>
        <v>0</v>
      </c>
      <c r="X4879">
        <f t="shared" si="306"/>
        <v>0</v>
      </c>
      <c r="Y4879" t="str">
        <f t="shared" si="307"/>
        <v>Non-Senior</v>
      </c>
    </row>
    <row r="4880" spans="1:25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304"/>
        <v>25-36 Months</v>
      </c>
      <c r="W4880">
        <f t="shared" si="305"/>
        <v>0</v>
      </c>
      <c r="X4880">
        <f t="shared" si="306"/>
        <v>0</v>
      </c>
      <c r="Y4880" t="str">
        <f t="shared" si="307"/>
        <v>Non-Senior</v>
      </c>
    </row>
    <row r="4881" spans="1:25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304"/>
        <v>37-48 Months</v>
      </c>
      <c r="W4881">
        <f t="shared" si="305"/>
        <v>0</v>
      </c>
      <c r="X4881">
        <f t="shared" si="306"/>
        <v>0</v>
      </c>
      <c r="Y4881" t="str">
        <f t="shared" si="307"/>
        <v>Senior Citizen</v>
      </c>
    </row>
    <row r="4882" spans="1:25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7082</v>
      </c>
      <c r="J4882" t="s">
        <v>7084</v>
      </c>
      <c r="K4882" t="s">
        <v>46</v>
      </c>
      <c r="L4882" t="s">
        <v>7084</v>
      </c>
      <c r="M4882" t="s">
        <v>7084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304"/>
        <v>49-60 Months</v>
      </c>
      <c r="W4882">
        <f t="shared" si="305"/>
        <v>0</v>
      </c>
      <c r="X4882">
        <f t="shared" si="306"/>
        <v>0</v>
      </c>
      <c r="Y4882" t="str">
        <f t="shared" si="307"/>
        <v>Non-Senior</v>
      </c>
    </row>
    <row r="4883" spans="1:25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304"/>
        <v>25-36 Months</v>
      </c>
      <c r="W4883">
        <f t="shared" si="305"/>
        <v>0</v>
      </c>
      <c r="X4883">
        <f t="shared" si="306"/>
        <v>0</v>
      </c>
      <c r="Y4883" t="str">
        <f t="shared" si="307"/>
        <v>Non-Senior</v>
      </c>
    </row>
    <row r="4884" spans="1:25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304"/>
        <v>61-72 Months</v>
      </c>
      <c r="W4884">
        <f t="shared" si="305"/>
        <v>0</v>
      </c>
      <c r="X4884">
        <f t="shared" si="306"/>
        <v>0</v>
      </c>
      <c r="Y4884" t="str">
        <f t="shared" si="307"/>
        <v>Non-Senior</v>
      </c>
    </row>
    <row r="4885" spans="1:25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304"/>
        <v>0-12 Months</v>
      </c>
      <c r="W4885">
        <f t="shared" si="305"/>
        <v>1</v>
      </c>
      <c r="X4885">
        <f t="shared" si="306"/>
        <v>29.4</v>
      </c>
      <c r="Y4885" t="str">
        <f t="shared" si="307"/>
        <v>Senior Citizen</v>
      </c>
    </row>
    <row r="4886" spans="1:25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304"/>
        <v>37-48 Months</v>
      </c>
      <c r="W4886">
        <f t="shared" si="305"/>
        <v>0</v>
      </c>
      <c r="X4886">
        <f t="shared" si="306"/>
        <v>0</v>
      </c>
      <c r="Y4886" t="str">
        <f t="shared" si="307"/>
        <v>Non-Senior</v>
      </c>
    </row>
    <row r="4887" spans="1:25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304"/>
        <v>61-72 Months</v>
      </c>
      <c r="W4887">
        <f t="shared" si="305"/>
        <v>0</v>
      </c>
      <c r="X4887">
        <f t="shared" si="306"/>
        <v>0</v>
      </c>
      <c r="Y4887" t="str">
        <f t="shared" si="307"/>
        <v>Senior Citizen</v>
      </c>
    </row>
    <row r="4888" spans="1:25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7082</v>
      </c>
      <c r="J4888" t="s">
        <v>7084</v>
      </c>
      <c r="K4888" t="s">
        <v>46</v>
      </c>
      <c r="L4888" t="s">
        <v>7084</v>
      </c>
      <c r="M4888" t="s">
        <v>7084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304"/>
        <v>0-12 Months</v>
      </c>
      <c r="W4888">
        <f t="shared" si="305"/>
        <v>0</v>
      </c>
      <c r="X4888">
        <f t="shared" si="306"/>
        <v>0</v>
      </c>
      <c r="Y4888" t="str">
        <f t="shared" si="307"/>
        <v>Non-Senior</v>
      </c>
    </row>
    <row r="4889" spans="1:25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7082</v>
      </c>
      <c r="J4889" t="s">
        <v>7084</v>
      </c>
      <c r="K4889" t="s">
        <v>46</v>
      </c>
      <c r="L4889" t="s">
        <v>7084</v>
      </c>
      <c r="M4889" t="s">
        <v>7084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304"/>
        <v>37-48 Months</v>
      </c>
      <c r="W4889">
        <f t="shared" si="305"/>
        <v>0</v>
      </c>
      <c r="X4889">
        <f t="shared" si="306"/>
        <v>0</v>
      </c>
      <c r="Y4889" t="str">
        <f t="shared" si="307"/>
        <v>Non-Senior</v>
      </c>
    </row>
    <row r="4890" spans="1:25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304"/>
        <v>37-48 Months</v>
      </c>
      <c r="W4890">
        <f t="shared" si="305"/>
        <v>0</v>
      </c>
      <c r="X4890">
        <f t="shared" si="306"/>
        <v>0</v>
      </c>
      <c r="Y4890" t="str">
        <f t="shared" si="307"/>
        <v>Non-Senior</v>
      </c>
    </row>
    <row r="4891" spans="1:25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304"/>
        <v>37-48 Months</v>
      </c>
      <c r="W4891">
        <f t="shared" si="305"/>
        <v>0</v>
      </c>
      <c r="X4891">
        <f t="shared" si="306"/>
        <v>0</v>
      </c>
      <c r="Y4891" t="str">
        <f t="shared" si="307"/>
        <v>Non-Senior</v>
      </c>
    </row>
    <row r="4892" spans="1:25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304"/>
        <v>49-60 Months</v>
      </c>
      <c r="W4892">
        <f t="shared" si="305"/>
        <v>0</v>
      </c>
      <c r="X4892">
        <f t="shared" si="306"/>
        <v>0</v>
      </c>
      <c r="Y4892" t="str">
        <f t="shared" si="307"/>
        <v>Non-Senior</v>
      </c>
    </row>
    <row r="4893" spans="1:25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304"/>
        <v>0-12 Months</v>
      </c>
      <c r="W4893">
        <f t="shared" si="305"/>
        <v>0</v>
      </c>
      <c r="X4893">
        <f t="shared" si="306"/>
        <v>0</v>
      </c>
      <c r="Y4893" t="str">
        <f t="shared" si="307"/>
        <v>Non-Senior</v>
      </c>
    </row>
    <row r="4894" spans="1:25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304"/>
        <v>13-24 Months</v>
      </c>
      <c r="W4894">
        <f t="shared" si="305"/>
        <v>0</v>
      </c>
      <c r="X4894">
        <f t="shared" si="306"/>
        <v>0</v>
      </c>
      <c r="Y4894" t="str">
        <f t="shared" si="307"/>
        <v>Senior Citizen</v>
      </c>
    </row>
    <row r="4895" spans="1:25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304"/>
        <v>0-12 Months</v>
      </c>
      <c r="W4895">
        <f t="shared" si="305"/>
        <v>1</v>
      </c>
      <c r="X4895">
        <f t="shared" si="306"/>
        <v>44.65</v>
      </c>
      <c r="Y4895" t="str">
        <f t="shared" si="307"/>
        <v>Non-Senior</v>
      </c>
    </row>
    <row r="4896" spans="1:25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304"/>
        <v>49-60 Months</v>
      </c>
      <c r="W4896">
        <f t="shared" si="305"/>
        <v>0</v>
      </c>
      <c r="X4896">
        <f t="shared" si="306"/>
        <v>0</v>
      </c>
      <c r="Y4896" t="str">
        <f t="shared" si="307"/>
        <v>Senior Citizen</v>
      </c>
    </row>
    <row r="4897" spans="1:25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304"/>
        <v>37-48 Months</v>
      </c>
      <c r="W4897">
        <f t="shared" si="305"/>
        <v>0</v>
      </c>
      <c r="X4897">
        <f t="shared" si="306"/>
        <v>0</v>
      </c>
      <c r="Y4897" t="str">
        <f t="shared" si="307"/>
        <v>Senior Citizen</v>
      </c>
    </row>
    <row r="4898" spans="1:25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304"/>
        <v>13-24 Months</v>
      </c>
      <c r="W4898">
        <f t="shared" si="305"/>
        <v>0</v>
      </c>
      <c r="X4898">
        <f t="shared" si="306"/>
        <v>0</v>
      </c>
      <c r="Y4898" t="str">
        <f t="shared" si="307"/>
        <v>Non-Senior</v>
      </c>
    </row>
    <row r="4899" spans="1:25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304"/>
        <v>13-24 Months</v>
      </c>
      <c r="W4899">
        <f t="shared" si="305"/>
        <v>0</v>
      </c>
      <c r="X4899">
        <f t="shared" si="306"/>
        <v>0</v>
      </c>
      <c r="Y4899" t="str">
        <f t="shared" si="307"/>
        <v>Non-Senior</v>
      </c>
    </row>
    <row r="4900" spans="1:25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304"/>
        <v>0-12 Months</v>
      </c>
      <c r="W4900">
        <f t="shared" si="305"/>
        <v>1</v>
      </c>
      <c r="X4900">
        <f t="shared" si="306"/>
        <v>25.25</v>
      </c>
      <c r="Y4900" t="str">
        <f t="shared" si="307"/>
        <v>Non-Senior</v>
      </c>
    </row>
    <row r="4901" spans="1:25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304"/>
        <v>0-12 Months</v>
      </c>
      <c r="W4901">
        <f t="shared" si="305"/>
        <v>1</v>
      </c>
      <c r="X4901">
        <f t="shared" si="306"/>
        <v>84.05</v>
      </c>
      <c r="Y4901" t="str">
        <f t="shared" si="307"/>
        <v>Non-Senior</v>
      </c>
    </row>
    <row r="4902" spans="1:25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304"/>
        <v>37-48 Months</v>
      </c>
      <c r="W4902">
        <f t="shared" si="305"/>
        <v>1</v>
      </c>
      <c r="X4902">
        <f t="shared" si="306"/>
        <v>85.7</v>
      </c>
      <c r="Y4902" t="str">
        <f t="shared" si="307"/>
        <v>Senior Citizen</v>
      </c>
    </row>
    <row r="4903" spans="1:25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304"/>
        <v>0-12 Months</v>
      </c>
      <c r="W4903">
        <f t="shared" si="305"/>
        <v>1</v>
      </c>
      <c r="X4903">
        <f t="shared" si="306"/>
        <v>74.7</v>
      </c>
      <c r="Y4903" t="str">
        <f t="shared" si="307"/>
        <v>Non-Senior</v>
      </c>
    </row>
    <row r="4904" spans="1:25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304"/>
        <v>13-24 Months</v>
      </c>
      <c r="W4904">
        <f t="shared" si="305"/>
        <v>0</v>
      </c>
      <c r="X4904">
        <f t="shared" si="306"/>
        <v>0</v>
      </c>
      <c r="Y4904" t="str">
        <f t="shared" si="307"/>
        <v>Non-Senior</v>
      </c>
    </row>
    <row r="4905" spans="1:25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304"/>
        <v>0-12 Months</v>
      </c>
      <c r="W4905">
        <f t="shared" si="305"/>
        <v>1</v>
      </c>
      <c r="X4905">
        <f t="shared" si="306"/>
        <v>90.8</v>
      </c>
      <c r="Y4905" t="str">
        <f t="shared" si="307"/>
        <v>Non-Senior</v>
      </c>
    </row>
    <row r="4906" spans="1:25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304"/>
        <v>25-36 Months</v>
      </c>
      <c r="W4906">
        <f t="shared" si="305"/>
        <v>0</v>
      </c>
      <c r="X4906">
        <f t="shared" si="306"/>
        <v>0</v>
      </c>
      <c r="Y4906" t="str">
        <f t="shared" si="307"/>
        <v>Non-Senior</v>
      </c>
    </row>
    <row r="4907" spans="1:25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7082</v>
      </c>
      <c r="J4907" t="s">
        <v>7084</v>
      </c>
      <c r="K4907" t="s">
        <v>46</v>
      </c>
      <c r="L4907" t="s">
        <v>7084</v>
      </c>
      <c r="M4907" t="s">
        <v>7084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304"/>
        <v>49-60 Months</v>
      </c>
      <c r="W4907">
        <f t="shared" si="305"/>
        <v>0</v>
      </c>
      <c r="X4907">
        <f t="shared" si="306"/>
        <v>0</v>
      </c>
      <c r="Y4907" t="str">
        <f t="shared" si="307"/>
        <v>Non-Senior</v>
      </c>
    </row>
    <row r="4908" spans="1:25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304"/>
        <v>61-72 Months</v>
      </c>
      <c r="W4908">
        <f t="shared" si="305"/>
        <v>0</v>
      </c>
      <c r="X4908">
        <f t="shared" si="306"/>
        <v>0</v>
      </c>
      <c r="Y4908" t="str">
        <f t="shared" si="307"/>
        <v>Non-Senior</v>
      </c>
    </row>
    <row r="4909" spans="1:25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7082</v>
      </c>
      <c r="J4909" t="s">
        <v>7084</v>
      </c>
      <c r="K4909" t="s">
        <v>46</v>
      </c>
      <c r="L4909" t="s">
        <v>7084</v>
      </c>
      <c r="M4909" t="s">
        <v>7084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304"/>
        <v>61-72 Months</v>
      </c>
      <c r="W4909">
        <f t="shared" si="305"/>
        <v>0</v>
      </c>
      <c r="X4909">
        <f t="shared" si="306"/>
        <v>0</v>
      </c>
      <c r="Y4909" t="str">
        <f t="shared" si="307"/>
        <v>Non-Senior</v>
      </c>
    </row>
    <row r="4910" spans="1:25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304"/>
        <v>25-36 Months</v>
      </c>
      <c r="W4910">
        <f t="shared" si="305"/>
        <v>1</v>
      </c>
      <c r="X4910">
        <f t="shared" si="306"/>
        <v>106.15</v>
      </c>
      <c r="Y4910" t="str">
        <f t="shared" si="307"/>
        <v>Senior Citizen</v>
      </c>
    </row>
    <row r="4911" spans="1:25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304"/>
        <v>49-60 Months</v>
      </c>
      <c r="W4911">
        <f t="shared" si="305"/>
        <v>0</v>
      </c>
      <c r="X4911">
        <f t="shared" si="306"/>
        <v>0</v>
      </c>
      <c r="Y4911" t="str">
        <f t="shared" si="307"/>
        <v>Non-Senior</v>
      </c>
    </row>
    <row r="4912" spans="1:25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304"/>
        <v>25-36 Months</v>
      </c>
      <c r="W4912">
        <f t="shared" si="305"/>
        <v>1</v>
      </c>
      <c r="X4912">
        <f t="shared" si="306"/>
        <v>85.35</v>
      </c>
      <c r="Y4912" t="str">
        <f t="shared" si="307"/>
        <v>Non-Senior</v>
      </c>
    </row>
    <row r="4913" spans="1:25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304"/>
        <v>61-72 Months</v>
      </c>
      <c r="W4913">
        <f t="shared" si="305"/>
        <v>0</v>
      </c>
      <c r="X4913">
        <f t="shared" si="306"/>
        <v>0</v>
      </c>
      <c r="Y4913" t="str">
        <f t="shared" si="307"/>
        <v>Senior Citizen</v>
      </c>
    </row>
    <row r="4914" spans="1:25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304"/>
        <v>25-36 Months</v>
      </c>
      <c r="W4914">
        <f t="shared" si="305"/>
        <v>1</v>
      </c>
      <c r="X4914">
        <f t="shared" si="306"/>
        <v>90.85</v>
      </c>
      <c r="Y4914" t="str">
        <f t="shared" si="307"/>
        <v>Senior Citizen</v>
      </c>
    </row>
    <row r="4915" spans="1:25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304"/>
        <v>13-24 Months</v>
      </c>
      <c r="W4915">
        <f t="shared" si="305"/>
        <v>0</v>
      </c>
      <c r="X4915">
        <f t="shared" si="306"/>
        <v>0</v>
      </c>
      <c r="Y4915" t="str">
        <f t="shared" si="307"/>
        <v>Non-Senior</v>
      </c>
    </row>
    <row r="4916" spans="1:25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304"/>
        <v>61-72 Months</v>
      </c>
      <c r="W4916">
        <f t="shared" si="305"/>
        <v>0</v>
      </c>
      <c r="X4916">
        <f t="shared" si="306"/>
        <v>0</v>
      </c>
      <c r="Y4916" t="str">
        <f t="shared" si="307"/>
        <v>Non-Senior</v>
      </c>
    </row>
    <row r="4917" spans="1:25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304"/>
        <v>13-24 Months</v>
      </c>
      <c r="W4917">
        <f t="shared" si="305"/>
        <v>0</v>
      </c>
      <c r="X4917">
        <f t="shared" si="306"/>
        <v>0</v>
      </c>
      <c r="Y4917" t="str">
        <f t="shared" si="307"/>
        <v>Non-Senior</v>
      </c>
    </row>
    <row r="4918" spans="1:25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304"/>
        <v>0-12 Months</v>
      </c>
      <c r="W4918">
        <f t="shared" si="305"/>
        <v>0</v>
      </c>
      <c r="X4918">
        <f t="shared" si="306"/>
        <v>0</v>
      </c>
      <c r="Y4918" t="str">
        <f t="shared" si="307"/>
        <v>Non-Senior</v>
      </c>
    </row>
    <row r="4919" spans="1:25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7082</v>
      </c>
      <c r="J4919" t="s">
        <v>7084</v>
      </c>
      <c r="K4919" t="s">
        <v>46</v>
      </c>
      <c r="L4919" t="s">
        <v>7084</v>
      </c>
      <c r="M4919" t="s">
        <v>7084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304"/>
        <v>13-24 Months</v>
      </c>
      <c r="W4919">
        <f t="shared" si="305"/>
        <v>0</v>
      </c>
      <c r="X4919">
        <f t="shared" si="306"/>
        <v>0</v>
      </c>
      <c r="Y4919" t="str">
        <f t="shared" si="307"/>
        <v>Non-Senior</v>
      </c>
    </row>
    <row r="4920" spans="1:25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7082</v>
      </c>
      <c r="J4920" t="s">
        <v>7084</v>
      </c>
      <c r="K4920" t="s">
        <v>46</v>
      </c>
      <c r="L4920" t="s">
        <v>7084</v>
      </c>
      <c r="M4920" t="s">
        <v>7084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304"/>
        <v>49-60 Months</v>
      </c>
      <c r="W4920">
        <f t="shared" si="305"/>
        <v>0</v>
      </c>
      <c r="X4920">
        <f t="shared" si="306"/>
        <v>0</v>
      </c>
      <c r="Y4920" t="str">
        <f t="shared" si="307"/>
        <v>Non-Senior</v>
      </c>
    </row>
    <row r="4921" spans="1:25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304"/>
        <v>61-72 Months</v>
      </c>
      <c r="W4921">
        <f t="shared" si="305"/>
        <v>0</v>
      </c>
      <c r="X4921">
        <f t="shared" si="306"/>
        <v>0</v>
      </c>
      <c r="Y4921" t="str">
        <f t="shared" si="307"/>
        <v>Non-Senior</v>
      </c>
    </row>
    <row r="4922" spans="1:25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7082</v>
      </c>
      <c r="J4922" t="s">
        <v>7084</v>
      </c>
      <c r="K4922" t="s">
        <v>46</v>
      </c>
      <c r="L4922" t="s">
        <v>7084</v>
      </c>
      <c r="M4922" t="s">
        <v>7084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304"/>
        <v>61-72 Months</v>
      </c>
      <c r="W4922">
        <f t="shared" si="305"/>
        <v>0</v>
      </c>
      <c r="X4922">
        <f t="shared" si="306"/>
        <v>0</v>
      </c>
      <c r="Y4922" t="str">
        <f t="shared" si="307"/>
        <v>Non-Senior</v>
      </c>
    </row>
    <row r="4923" spans="1:25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304"/>
        <v>37-48 Months</v>
      </c>
      <c r="W4923">
        <f t="shared" si="305"/>
        <v>0</v>
      </c>
      <c r="X4923">
        <f t="shared" si="306"/>
        <v>0</v>
      </c>
      <c r="Y4923" t="str">
        <f t="shared" si="307"/>
        <v>Non-Senior</v>
      </c>
    </row>
    <row r="4924" spans="1:25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304"/>
        <v>61-72 Months</v>
      </c>
      <c r="W4924">
        <f t="shared" si="305"/>
        <v>0</v>
      </c>
      <c r="X4924">
        <f t="shared" si="306"/>
        <v>0</v>
      </c>
      <c r="Y4924" t="str">
        <f t="shared" si="307"/>
        <v>Non-Senior</v>
      </c>
    </row>
    <row r="4925" spans="1:25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304"/>
        <v>49-60 Months</v>
      </c>
      <c r="W4925">
        <f t="shared" si="305"/>
        <v>0</v>
      </c>
      <c r="X4925">
        <f t="shared" si="306"/>
        <v>0</v>
      </c>
      <c r="Y4925" t="str">
        <f t="shared" si="307"/>
        <v>Non-Senior</v>
      </c>
    </row>
    <row r="4926" spans="1:25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304"/>
        <v>0-12 Months</v>
      </c>
      <c r="W4926">
        <f t="shared" si="305"/>
        <v>1</v>
      </c>
      <c r="X4926">
        <f t="shared" si="306"/>
        <v>35.75</v>
      </c>
      <c r="Y4926" t="str">
        <f t="shared" si="307"/>
        <v>Non-Senior</v>
      </c>
    </row>
    <row r="4927" spans="1:25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304"/>
        <v>61-72 Months</v>
      </c>
      <c r="W4927">
        <f t="shared" si="305"/>
        <v>0</v>
      </c>
      <c r="X4927">
        <f t="shared" si="306"/>
        <v>0</v>
      </c>
      <c r="Y4927" t="str">
        <f t="shared" si="307"/>
        <v>Non-Senior</v>
      </c>
    </row>
    <row r="4928" spans="1:25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304"/>
        <v>61-72 Months</v>
      </c>
      <c r="W4928">
        <f t="shared" si="305"/>
        <v>0</v>
      </c>
      <c r="X4928">
        <f t="shared" si="306"/>
        <v>0</v>
      </c>
      <c r="Y4928" t="str">
        <f t="shared" si="307"/>
        <v>Non-Senior</v>
      </c>
    </row>
    <row r="4929" spans="1:25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7082</v>
      </c>
      <c r="J4929" t="s">
        <v>7084</v>
      </c>
      <c r="K4929" t="s">
        <v>46</v>
      </c>
      <c r="L4929" t="s">
        <v>7084</v>
      </c>
      <c r="M4929" t="s">
        <v>7084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304"/>
        <v>25-36 Months</v>
      </c>
      <c r="W4929">
        <f t="shared" si="305"/>
        <v>0</v>
      </c>
      <c r="X4929">
        <f t="shared" si="306"/>
        <v>0</v>
      </c>
      <c r="Y4929" t="str">
        <f t="shared" si="307"/>
        <v>Non-Senior</v>
      </c>
    </row>
    <row r="4930" spans="1:25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si="304"/>
        <v>0-12 Months</v>
      </c>
      <c r="W4930">
        <f t="shared" si="305"/>
        <v>1</v>
      </c>
      <c r="X4930">
        <f t="shared" si="306"/>
        <v>46</v>
      </c>
      <c r="Y4930" t="str">
        <f t="shared" si="307"/>
        <v>Senior Citizen</v>
      </c>
    </row>
    <row r="4931" spans="1:25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ref="V4931:V4994" si="308">IF(F4931&lt;=12,"0-12 Months",IF(F4931&lt;=24,"13-24 Months",IF(F4931&lt;=36,"25-36 Months",IF(F4931&lt;=48,"37-48 Months",IF(F4931&lt;=60,"49-60 Months","61-72 Months")))))</f>
        <v>61-72 Months</v>
      </c>
      <c r="W4931">
        <f t="shared" ref="W4931:W4994" si="309">IF(U4931="Yes",1,0)</f>
        <v>0</v>
      </c>
      <c r="X4931">
        <f t="shared" ref="X4931:X4994" si="310">IF(U4931="Yes",S4931,0)</f>
        <v>0</v>
      </c>
      <c r="Y4931" t="str">
        <f t="shared" ref="Y4931:Y4994" si="311">IF(C4931=1,"Senior Citizen","Non-Senior")</f>
        <v>Senior Citizen</v>
      </c>
    </row>
    <row r="4932" spans="1:25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308"/>
        <v>0-12 Months</v>
      </c>
      <c r="W4932">
        <f t="shared" si="309"/>
        <v>0</v>
      </c>
      <c r="X4932">
        <f t="shared" si="310"/>
        <v>0</v>
      </c>
      <c r="Y4932" t="str">
        <f t="shared" si="311"/>
        <v>Non-Senior</v>
      </c>
    </row>
    <row r="4933" spans="1:25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308"/>
        <v>13-24 Months</v>
      </c>
      <c r="W4933">
        <f t="shared" si="309"/>
        <v>0</v>
      </c>
      <c r="X4933">
        <f t="shared" si="310"/>
        <v>0</v>
      </c>
      <c r="Y4933" t="str">
        <f t="shared" si="311"/>
        <v>Non-Senior</v>
      </c>
    </row>
    <row r="4934" spans="1:25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308"/>
        <v>25-36 Months</v>
      </c>
      <c r="W4934">
        <f t="shared" si="309"/>
        <v>0</v>
      </c>
      <c r="X4934">
        <f t="shared" si="310"/>
        <v>0</v>
      </c>
      <c r="Y4934" t="str">
        <f t="shared" si="311"/>
        <v>Non-Senior</v>
      </c>
    </row>
    <row r="4935" spans="1:25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308"/>
        <v>0-12 Months</v>
      </c>
      <c r="W4935">
        <f t="shared" si="309"/>
        <v>0</v>
      </c>
      <c r="X4935">
        <f t="shared" si="310"/>
        <v>0</v>
      </c>
      <c r="Y4935" t="str">
        <f t="shared" si="311"/>
        <v>Non-Senior</v>
      </c>
    </row>
    <row r="4936" spans="1:25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308"/>
        <v>61-72 Months</v>
      </c>
      <c r="W4936">
        <f t="shared" si="309"/>
        <v>0</v>
      </c>
      <c r="X4936">
        <f t="shared" si="310"/>
        <v>0</v>
      </c>
      <c r="Y4936" t="str">
        <f t="shared" si="311"/>
        <v>Non-Senior</v>
      </c>
    </row>
    <row r="4937" spans="1:25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7082</v>
      </c>
      <c r="J4937" t="s">
        <v>7084</v>
      </c>
      <c r="K4937" t="s">
        <v>46</v>
      </c>
      <c r="L4937" t="s">
        <v>7084</v>
      </c>
      <c r="M4937" t="s">
        <v>7084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308"/>
        <v>37-48 Months</v>
      </c>
      <c r="W4937">
        <f t="shared" si="309"/>
        <v>0</v>
      </c>
      <c r="X4937">
        <f t="shared" si="310"/>
        <v>0</v>
      </c>
      <c r="Y4937" t="str">
        <f t="shared" si="311"/>
        <v>Senior Citizen</v>
      </c>
    </row>
    <row r="4938" spans="1:25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308"/>
        <v>37-48 Months</v>
      </c>
      <c r="W4938">
        <f t="shared" si="309"/>
        <v>0</v>
      </c>
      <c r="X4938">
        <f t="shared" si="310"/>
        <v>0</v>
      </c>
      <c r="Y4938" t="str">
        <f t="shared" si="311"/>
        <v>Senior Citizen</v>
      </c>
    </row>
    <row r="4939" spans="1:25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308"/>
        <v>25-36 Months</v>
      </c>
      <c r="W4939">
        <f t="shared" si="309"/>
        <v>0</v>
      </c>
      <c r="X4939">
        <f t="shared" si="310"/>
        <v>0</v>
      </c>
      <c r="Y4939" t="str">
        <f t="shared" si="311"/>
        <v>Non-Senior</v>
      </c>
    </row>
    <row r="4940" spans="1:25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308"/>
        <v>13-24 Months</v>
      </c>
      <c r="W4940">
        <f t="shared" si="309"/>
        <v>1</v>
      </c>
      <c r="X4940">
        <f t="shared" si="310"/>
        <v>89.4</v>
      </c>
      <c r="Y4940" t="str">
        <f t="shared" si="311"/>
        <v>Non-Senior</v>
      </c>
    </row>
    <row r="4941" spans="1:25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7082</v>
      </c>
      <c r="J4941" t="s">
        <v>7084</v>
      </c>
      <c r="K4941" t="s">
        <v>46</v>
      </c>
      <c r="L4941" t="s">
        <v>7084</v>
      </c>
      <c r="M4941" t="s">
        <v>7084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308"/>
        <v>0-12 Months</v>
      </c>
      <c r="W4941">
        <f t="shared" si="309"/>
        <v>0</v>
      </c>
      <c r="X4941">
        <f t="shared" si="310"/>
        <v>0</v>
      </c>
      <c r="Y4941" t="str">
        <f t="shared" si="311"/>
        <v>Non-Senior</v>
      </c>
    </row>
    <row r="4942" spans="1:25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308"/>
        <v>13-24 Months</v>
      </c>
      <c r="W4942">
        <f t="shared" si="309"/>
        <v>0</v>
      </c>
      <c r="X4942">
        <f t="shared" si="310"/>
        <v>0</v>
      </c>
      <c r="Y4942" t="str">
        <f t="shared" si="311"/>
        <v>Senior Citizen</v>
      </c>
    </row>
    <row r="4943" spans="1:25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7082</v>
      </c>
      <c r="J4943" t="s">
        <v>7084</v>
      </c>
      <c r="K4943" t="s">
        <v>46</v>
      </c>
      <c r="L4943" t="s">
        <v>7084</v>
      </c>
      <c r="M4943" t="s">
        <v>7084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308"/>
        <v>0-12 Months</v>
      </c>
      <c r="W4943">
        <f t="shared" si="309"/>
        <v>1</v>
      </c>
      <c r="X4943">
        <f t="shared" si="310"/>
        <v>19.8</v>
      </c>
      <c r="Y4943" t="str">
        <f t="shared" si="311"/>
        <v>Non-Senior</v>
      </c>
    </row>
    <row r="4944" spans="1:25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308"/>
        <v>0-12 Months</v>
      </c>
      <c r="W4944">
        <f t="shared" si="309"/>
        <v>1</v>
      </c>
      <c r="X4944">
        <f t="shared" si="310"/>
        <v>50.9</v>
      </c>
      <c r="Y4944" t="str">
        <f t="shared" si="311"/>
        <v>Non-Senior</v>
      </c>
    </row>
    <row r="4945" spans="1:25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308"/>
        <v>61-72 Months</v>
      </c>
      <c r="W4945">
        <f t="shared" si="309"/>
        <v>0</v>
      </c>
      <c r="X4945">
        <f t="shared" si="310"/>
        <v>0</v>
      </c>
      <c r="Y4945" t="str">
        <f t="shared" si="311"/>
        <v>Non-Senior</v>
      </c>
    </row>
    <row r="4946" spans="1:25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7082</v>
      </c>
      <c r="J4946" t="s">
        <v>7084</v>
      </c>
      <c r="K4946" t="s">
        <v>46</v>
      </c>
      <c r="L4946" t="s">
        <v>7084</v>
      </c>
      <c r="M4946" t="s">
        <v>7084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308"/>
        <v>0-12 Months</v>
      </c>
      <c r="W4946">
        <f t="shared" si="309"/>
        <v>0</v>
      </c>
      <c r="X4946">
        <f t="shared" si="310"/>
        <v>0</v>
      </c>
      <c r="Y4946" t="str">
        <f t="shared" si="311"/>
        <v>Non-Senior</v>
      </c>
    </row>
    <row r="4947" spans="1:25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7082</v>
      </c>
      <c r="J4947" t="s">
        <v>7084</v>
      </c>
      <c r="K4947" t="s">
        <v>46</v>
      </c>
      <c r="L4947" t="s">
        <v>7084</v>
      </c>
      <c r="M4947" t="s">
        <v>7084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308"/>
        <v>13-24 Months</v>
      </c>
      <c r="W4947">
        <f t="shared" si="309"/>
        <v>0</v>
      </c>
      <c r="X4947">
        <f t="shared" si="310"/>
        <v>0</v>
      </c>
      <c r="Y4947" t="str">
        <f t="shared" si="311"/>
        <v>Non-Senior</v>
      </c>
    </row>
    <row r="4948" spans="1:25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308"/>
        <v>0-12 Months</v>
      </c>
      <c r="W4948">
        <f t="shared" si="309"/>
        <v>1</v>
      </c>
      <c r="X4948">
        <f t="shared" si="310"/>
        <v>81</v>
      </c>
      <c r="Y4948" t="str">
        <f t="shared" si="311"/>
        <v>Non-Senior</v>
      </c>
    </row>
    <row r="4949" spans="1:25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308"/>
        <v>25-36 Months</v>
      </c>
      <c r="W4949">
        <f t="shared" si="309"/>
        <v>1</v>
      </c>
      <c r="X4949">
        <f t="shared" si="310"/>
        <v>98.35</v>
      </c>
      <c r="Y4949" t="str">
        <f t="shared" si="311"/>
        <v>Non-Senior</v>
      </c>
    </row>
    <row r="4950" spans="1:25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308"/>
        <v>0-12 Months</v>
      </c>
      <c r="W4950">
        <f t="shared" si="309"/>
        <v>0</v>
      </c>
      <c r="X4950">
        <f t="shared" si="310"/>
        <v>0</v>
      </c>
      <c r="Y4950" t="str">
        <f t="shared" si="311"/>
        <v>Non-Senior</v>
      </c>
    </row>
    <row r="4951" spans="1:25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308"/>
        <v>0-12 Months</v>
      </c>
      <c r="W4951">
        <f t="shared" si="309"/>
        <v>1</v>
      </c>
      <c r="X4951">
        <f t="shared" si="310"/>
        <v>51</v>
      </c>
      <c r="Y4951" t="str">
        <f t="shared" si="311"/>
        <v>Non-Senior</v>
      </c>
    </row>
    <row r="4952" spans="1:25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308"/>
        <v>0-12 Months</v>
      </c>
      <c r="W4952">
        <f t="shared" si="309"/>
        <v>1</v>
      </c>
      <c r="X4952">
        <f t="shared" si="310"/>
        <v>91.65</v>
      </c>
      <c r="Y4952" t="str">
        <f t="shared" si="311"/>
        <v>Non-Senior</v>
      </c>
    </row>
    <row r="4953" spans="1:25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308"/>
        <v>25-36 Months</v>
      </c>
      <c r="W4953">
        <f t="shared" si="309"/>
        <v>0</v>
      </c>
      <c r="X4953">
        <f t="shared" si="310"/>
        <v>0</v>
      </c>
      <c r="Y4953" t="str">
        <f t="shared" si="311"/>
        <v>Senior Citizen</v>
      </c>
    </row>
    <row r="4954" spans="1:25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308"/>
        <v>0-12 Months</v>
      </c>
      <c r="W4954">
        <f t="shared" si="309"/>
        <v>0</v>
      </c>
      <c r="X4954">
        <f t="shared" si="310"/>
        <v>0</v>
      </c>
      <c r="Y4954" t="str">
        <f t="shared" si="311"/>
        <v>Non-Senior</v>
      </c>
    </row>
    <row r="4955" spans="1:25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7082</v>
      </c>
      <c r="J4955" t="s">
        <v>7084</v>
      </c>
      <c r="K4955" t="s">
        <v>46</v>
      </c>
      <c r="L4955" t="s">
        <v>7084</v>
      </c>
      <c r="M4955" t="s">
        <v>7084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308"/>
        <v>25-36 Months</v>
      </c>
      <c r="W4955">
        <f t="shared" si="309"/>
        <v>0</v>
      </c>
      <c r="X4955">
        <f t="shared" si="310"/>
        <v>0</v>
      </c>
      <c r="Y4955" t="str">
        <f t="shared" si="311"/>
        <v>Non-Senior</v>
      </c>
    </row>
    <row r="4956" spans="1:25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308"/>
        <v>0-12 Months</v>
      </c>
      <c r="W4956">
        <f t="shared" si="309"/>
        <v>1</v>
      </c>
      <c r="X4956">
        <f t="shared" si="310"/>
        <v>90.85</v>
      </c>
      <c r="Y4956" t="str">
        <f t="shared" si="311"/>
        <v>Non-Senior</v>
      </c>
    </row>
    <row r="4957" spans="1:25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308"/>
        <v>0-12 Months</v>
      </c>
      <c r="W4957">
        <f t="shared" si="309"/>
        <v>1</v>
      </c>
      <c r="X4957">
        <f t="shared" si="310"/>
        <v>69.400000000000006</v>
      </c>
      <c r="Y4957" t="str">
        <f t="shared" si="311"/>
        <v>Non-Senior</v>
      </c>
    </row>
    <row r="4958" spans="1:25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308"/>
        <v>0-12 Months</v>
      </c>
      <c r="W4958">
        <f t="shared" si="309"/>
        <v>1</v>
      </c>
      <c r="X4958">
        <f t="shared" si="310"/>
        <v>94.45</v>
      </c>
      <c r="Y4958" t="str">
        <f t="shared" si="311"/>
        <v>Senior Citizen</v>
      </c>
    </row>
    <row r="4959" spans="1:25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7082</v>
      </c>
      <c r="J4959" t="s">
        <v>7084</v>
      </c>
      <c r="K4959" t="s">
        <v>46</v>
      </c>
      <c r="L4959" t="s">
        <v>7084</v>
      </c>
      <c r="M4959" t="s">
        <v>7084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308"/>
        <v>13-24 Months</v>
      </c>
      <c r="W4959">
        <f t="shared" si="309"/>
        <v>0</v>
      </c>
      <c r="X4959">
        <f t="shared" si="310"/>
        <v>0</v>
      </c>
      <c r="Y4959" t="str">
        <f t="shared" si="311"/>
        <v>Non-Senior</v>
      </c>
    </row>
    <row r="4960" spans="1:25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308"/>
        <v>49-60 Months</v>
      </c>
      <c r="W4960">
        <f t="shared" si="309"/>
        <v>0</v>
      </c>
      <c r="X4960">
        <f t="shared" si="310"/>
        <v>0</v>
      </c>
      <c r="Y4960" t="str">
        <f t="shared" si="311"/>
        <v>Non-Senior</v>
      </c>
    </row>
    <row r="4961" spans="1:25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7082</v>
      </c>
      <c r="J4961" t="s">
        <v>7084</v>
      </c>
      <c r="K4961" t="s">
        <v>46</v>
      </c>
      <c r="L4961" t="s">
        <v>7084</v>
      </c>
      <c r="M4961" t="s">
        <v>7084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308"/>
        <v>0-12 Months</v>
      </c>
      <c r="W4961">
        <f t="shared" si="309"/>
        <v>1</v>
      </c>
      <c r="X4961">
        <f t="shared" si="310"/>
        <v>20.149999999999999</v>
      </c>
      <c r="Y4961" t="str">
        <f t="shared" si="311"/>
        <v>Non-Senior</v>
      </c>
    </row>
    <row r="4962" spans="1:25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308"/>
        <v>49-60 Months</v>
      </c>
      <c r="W4962">
        <f t="shared" si="309"/>
        <v>1</v>
      </c>
      <c r="X4962">
        <f t="shared" si="310"/>
        <v>95.7</v>
      </c>
      <c r="Y4962" t="str">
        <f t="shared" si="311"/>
        <v>Senior Citizen</v>
      </c>
    </row>
    <row r="4963" spans="1:25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308"/>
        <v>13-24 Months</v>
      </c>
      <c r="W4963">
        <f t="shared" si="309"/>
        <v>0</v>
      </c>
      <c r="X4963">
        <f t="shared" si="310"/>
        <v>0</v>
      </c>
      <c r="Y4963" t="str">
        <f t="shared" si="311"/>
        <v>Non-Senior</v>
      </c>
    </row>
    <row r="4964" spans="1:25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308"/>
        <v>13-24 Months</v>
      </c>
      <c r="W4964">
        <f t="shared" si="309"/>
        <v>0</v>
      </c>
      <c r="X4964">
        <f t="shared" si="310"/>
        <v>0</v>
      </c>
      <c r="Y4964" t="str">
        <f t="shared" si="311"/>
        <v>Non-Senior</v>
      </c>
    </row>
    <row r="4965" spans="1:25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308"/>
        <v>37-48 Months</v>
      </c>
      <c r="W4965">
        <f t="shared" si="309"/>
        <v>0</v>
      </c>
      <c r="X4965">
        <f t="shared" si="310"/>
        <v>0</v>
      </c>
      <c r="Y4965" t="str">
        <f t="shared" si="311"/>
        <v>Non-Senior</v>
      </c>
    </row>
    <row r="4966" spans="1:25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308"/>
        <v>25-36 Months</v>
      </c>
      <c r="W4966">
        <f t="shared" si="309"/>
        <v>1</v>
      </c>
      <c r="X4966">
        <f t="shared" si="310"/>
        <v>74.95</v>
      </c>
      <c r="Y4966" t="str">
        <f t="shared" si="311"/>
        <v>Non-Senior</v>
      </c>
    </row>
    <row r="4967" spans="1:25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308"/>
        <v>0-12 Months</v>
      </c>
      <c r="W4967">
        <f t="shared" si="309"/>
        <v>1</v>
      </c>
      <c r="X4967">
        <f t="shared" si="310"/>
        <v>47.95</v>
      </c>
      <c r="Y4967" t="str">
        <f t="shared" si="311"/>
        <v>Non-Senior</v>
      </c>
    </row>
    <row r="4968" spans="1:25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308"/>
        <v>13-24 Months</v>
      </c>
      <c r="W4968">
        <f t="shared" si="309"/>
        <v>0</v>
      </c>
      <c r="X4968">
        <f t="shared" si="310"/>
        <v>0</v>
      </c>
      <c r="Y4968" t="str">
        <f t="shared" si="311"/>
        <v>Non-Senior</v>
      </c>
    </row>
    <row r="4969" spans="1:25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308"/>
        <v>0-12 Months</v>
      </c>
      <c r="W4969">
        <f t="shared" si="309"/>
        <v>1</v>
      </c>
      <c r="X4969">
        <f t="shared" si="310"/>
        <v>63.6</v>
      </c>
      <c r="Y4969" t="str">
        <f t="shared" si="311"/>
        <v>Non-Senior</v>
      </c>
    </row>
    <row r="4970" spans="1:25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308"/>
        <v>61-72 Months</v>
      </c>
      <c r="W4970">
        <f t="shared" si="309"/>
        <v>0</v>
      </c>
      <c r="X4970">
        <f t="shared" si="310"/>
        <v>0</v>
      </c>
      <c r="Y4970" t="str">
        <f t="shared" si="311"/>
        <v>Senior Citizen</v>
      </c>
    </row>
    <row r="4971" spans="1:25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7082</v>
      </c>
      <c r="J4971" t="s">
        <v>7084</v>
      </c>
      <c r="K4971" t="s">
        <v>46</v>
      </c>
      <c r="L4971" t="s">
        <v>7084</v>
      </c>
      <c r="M4971" t="s">
        <v>7084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308"/>
        <v>0-12 Months</v>
      </c>
      <c r="W4971">
        <f t="shared" si="309"/>
        <v>0</v>
      </c>
      <c r="X4971">
        <f t="shared" si="310"/>
        <v>0</v>
      </c>
      <c r="Y4971" t="str">
        <f t="shared" si="311"/>
        <v>Non-Senior</v>
      </c>
    </row>
    <row r="4972" spans="1:25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308"/>
        <v>0-12 Months</v>
      </c>
      <c r="W4972">
        <f t="shared" si="309"/>
        <v>0</v>
      </c>
      <c r="X4972">
        <f t="shared" si="310"/>
        <v>0</v>
      </c>
      <c r="Y4972" t="str">
        <f t="shared" si="311"/>
        <v>Non-Senior</v>
      </c>
    </row>
    <row r="4973" spans="1:25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7082</v>
      </c>
      <c r="J4973" t="s">
        <v>7084</v>
      </c>
      <c r="K4973" t="s">
        <v>46</v>
      </c>
      <c r="L4973" t="s">
        <v>7084</v>
      </c>
      <c r="M4973" t="s">
        <v>7084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308"/>
        <v>13-24 Months</v>
      </c>
      <c r="W4973">
        <f t="shared" si="309"/>
        <v>0</v>
      </c>
      <c r="X4973">
        <f t="shared" si="310"/>
        <v>0</v>
      </c>
      <c r="Y4973" t="str">
        <f t="shared" si="311"/>
        <v>Non-Senior</v>
      </c>
    </row>
    <row r="4974" spans="1:25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7082</v>
      </c>
      <c r="J4974" t="s">
        <v>7084</v>
      </c>
      <c r="K4974" t="s">
        <v>46</v>
      </c>
      <c r="L4974" t="s">
        <v>7084</v>
      </c>
      <c r="M4974" t="s">
        <v>7084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308"/>
        <v>61-72 Months</v>
      </c>
      <c r="W4974">
        <f t="shared" si="309"/>
        <v>0</v>
      </c>
      <c r="X4974">
        <f t="shared" si="310"/>
        <v>0</v>
      </c>
      <c r="Y4974" t="str">
        <f t="shared" si="311"/>
        <v>Non-Senior</v>
      </c>
    </row>
    <row r="4975" spans="1:25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308"/>
        <v>13-24 Months</v>
      </c>
      <c r="W4975">
        <f t="shared" si="309"/>
        <v>0</v>
      </c>
      <c r="X4975">
        <f t="shared" si="310"/>
        <v>0</v>
      </c>
      <c r="Y4975" t="str">
        <f t="shared" si="311"/>
        <v>Senior Citizen</v>
      </c>
    </row>
    <row r="4976" spans="1:25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308"/>
        <v>0-12 Months</v>
      </c>
      <c r="W4976">
        <f t="shared" si="309"/>
        <v>1</v>
      </c>
      <c r="X4976">
        <f t="shared" si="310"/>
        <v>36.85</v>
      </c>
      <c r="Y4976" t="str">
        <f t="shared" si="311"/>
        <v>Non-Senior</v>
      </c>
    </row>
    <row r="4977" spans="1:25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308"/>
        <v>61-72 Months</v>
      </c>
      <c r="W4977">
        <f t="shared" si="309"/>
        <v>0</v>
      </c>
      <c r="X4977">
        <f t="shared" si="310"/>
        <v>0</v>
      </c>
      <c r="Y4977" t="str">
        <f t="shared" si="311"/>
        <v>Non-Senior</v>
      </c>
    </row>
    <row r="4978" spans="1:25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308"/>
        <v>61-72 Months</v>
      </c>
      <c r="W4978">
        <f t="shared" si="309"/>
        <v>0</v>
      </c>
      <c r="X4978">
        <f t="shared" si="310"/>
        <v>0</v>
      </c>
      <c r="Y4978" t="str">
        <f t="shared" si="311"/>
        <v>Non-Senior</v>
      </c>
    </row>
    <row r="4979" spans="1:25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7082</v>
      </c>
      <c r="J4979" t="s">
        <v>7084</v>
      </c>
      <c r="K4979" t="s">
        <v>46</v>
      </c>
      <c r="L4979" t="s">
        <v>7084</v>
      </c>
      <c r="M4979" t="s">
        <v>7084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308"/>
        <v>13-24 Months</v>
      </c>
      <c r="W4979">
        <f t="shared" si="309"/>
        <v>0</v>
      </c>
      <c r="X4979">
        <f t="shared" si="310"/>
        <v>0</v>
      </c>
      <c r="Y4979" t="str">
        <f t="shared" si="311"/>
        <v>Non-Senior</v>
      </c>
    </row>
    <row r="4980" spans="1:25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308"/>
        <v>0-12 Months</v>
      </c>
      <c r="W4980">
        <f t="shared" si="309"/>
        <v>1</v>
      </c>
      <c r="X4980">
        <f t="shared" si="310"/>
        <v>44.1</v>
      </c>
      <c r="Y4980" t="str">
        <f t="shared" si="311"/>
        <v>Non-Senior</v>
      </c>
    </row>
    <row r="4981" spans="1:25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7082</v>
      </c>
      <c r="J4981" t="s">
        <v>7084</v>
      </c>
      <c r="K4981" t="s">
        <v>46</v>
      </c>
      <c r="L4981" t="s">
        <v>7084</v>
      </c>
      <c r="M4981" t="s">
        <v>7084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308"/>
        <v>49-60 Months</v>
      </c>
      <c r="W4981">
        <f t="shared" si="309"/>
        <v>0</v>
      </c>
      <c r="X4981">
        <f t="shared" si="310"/>
        <v>0</v>
      </c>
      <c r="Y4981" t="str">
        <f t="shared" si="311"/>
        <v>Non-Senior</v>
      </c>
    </row>
    <row r="4982" spans="1:25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7082</v>
      </c>
      <c r="J4982" t="s">
        <v>7084</v>
      </c>
      <c r="K4982" t="s">
        <v>46</v>
      </c>
      <c r="L4982" t="s">
        <v>7084</v>
      </c>
      <c r="M4982" t="s">
        <v>7084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308"/>
        <v>13-24 Months</v>
      </c>
      <c r="W4982">
        <f t="shared" si="309"/>
        <v>0</v>
      </c>
      <c r="X4982">
        <f t="shared" si="310"/>
        <v>0</v>
      </c>
      <c r="Y4982" t="str">
        <f t="shared" si="311"/>
        <v>Senior Citizen</v>
      </c>
    </row>
    <row r="4983" spans="1:25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308"/>
        <v>13-24 Months</v>
      </c>
      <c r="W4983">
        <f t="shared" si="309"/>
        <v>1</v>
      </c>
      <c r="X4983">
        <f t="shared" si="310"/>
        <v>50.75</v>
      </c>
      <c r="Y4983" t="str">
        <f t="shared" si="311"/>
        <v>Non-Senior</v>
      </c>
    </row>
    <row r="4984" spans="1:25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308"/>
        <v>61-72 Months</v>
      </c>
      <c r="W4984">
        <f t="shared" si="309"/>
        <v>1</v>
      </c>
      <c r="X4984">
        <f t="shared" si="310"/>
        <v>104.4</v>
      </c>
      <c r="Y4984" t="str">
        <f t="shared" si="311"/>
        <v>Senior Citizen</v>
      </c>
    </row>
    <row r="4985" spans="1:25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308"/>
        <v>37-48 Months</v>
      </c>
      <c r="W4985">
        <f t="shared" si="309"/>
        <v>1</v>
      </c>
      <c r="X4985">
        <f t="shared" si="310"/>
        <v>39.299999999999997</v>
      </c>
      <c r="Y4985" t="str">
        <f t="shared" si="311"/>
        <v>Senior Citizen</v>
      </c>
    </row>
    <row r="4986" spans="1:25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308"/>
        <v>37-48 Months</v>
      </c>
      <c r="W4986">
        <f t="shared" si="309"/>
        <v>0</v>
      </c>
      <c r="X4986">
        <f t="shared" si="310"/>
        <v>0</v>
      </c>
      <c r="Y4986" t="str">
        <f t="shared" si="311"/>
        <v>Non-Senior</v>
      </c>
    </row>
    <row r="4987" spans="1:25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308"/>
        <v>61-72 Months</v>
      </c>
      <c r="W4987">
        <f t="shared" si="309"/>
        <v>0</v>
      </c>
      <c r="X4987">
        <f t="shared" si="310"/>
        <v>0</v>
      </c>
      <c r="Y4987" t="str">
        <f t="shared" si="311"/>
        <v>Non-Senior</v>
      </c>
    </row>
    <row r="4988" spans="1:25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308"/>
        <v>0-12 Months</v>
      </c>
      <c r="W4988">
        <f t="shared" si="309"/>
        <v>0</v>
      </c>
      <c r="X4988">
        <f t="shared" si="310"/>
        <v>0</v>
      </c>
      <c r="Y4988" t="str">
        <f t="shared" si="311"/>
        <v>Non-Senior</v>
      </c>
    </row>
    <row r="4989" spans="1:25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7082</v>
      </c>
      <c r="J4989" t="s">
        <v>7084</v>
      </c>
      <c r="K4989" t="s">
        <v>46</v>
      </c>
      <c r="L4989" t="s">
        <v>7084</v>
      </c>
      <c r="M4989" t="s">
        <v>7084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308"/>
        <v>61-72 Months</v>
      </c>
      <c r="W4989">
        <f t="shared" si="309"/>
        <v>0</v>
      </c>
      <c r="X4989">
        <f t="shared" si="310"/>
        <v>0</v>
      </c>
      <c r="Y4989" t="str">
        <f t="shared" si="311"/>
        <v>Non-Senior</v>
      </c>
    </row>
    <row r="4990" spans="1:25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7082</v>
      </c>
      <c r="J4990" t="s">
        <v>7084</v>
      </c>
      <c r="K4990" t="s">
        <v>46</v>
      </c>
      <c r="L4990" t="s">
        <v>7084</v>
      </c>
      <c r="M4990" t="s">
        <v>7084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308"/>
        <v>25-36 Months</v>
      </c>
      <c r="W4990">
        <f t="shared" si="309"/>
        <v>0</v>
      </c>
      <c r="X4990">
        <f t="shared" si="310"/>
        <v>0</v>
      </c>
      <c r="Y4990" t="str">
        <f t="shared" si="311"/>
        <v>Non-Senior</v>
      </c>
    </row>
    <row r="4991" spans="1:25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308"/>
        <v>0-12 Months</v>
      </c>
      <c r="W4991">
        <f t="shared" si="309"/>
        <v>0</v>
      </c>
      <c r="X4991">
        <f t="shared" si="310"/>
        <v>0</v>
      </c>
      <c r="Y4991" t="str">
        <f t="shared" si="311"/>
        <v>Non-Senior</v>
      </c>
    </row>
    <row r="4992" spans="1:25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308"/>
        <v>0-12 Months</v>
      </c>
      <c r="W4992">
        <f t="shared" si="309"/>
        <v>0</v>
      </c>
      <c r="X4992">
        <f t="shared" si="310"/>
        <v>0</v>
      </c>
      <c r="Y4992" t="str">
        <f t="shared" si="311"/>
        <v>Non-Senior</v>
      </c>
    </row>
    <row r="4993" spans="1:25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308"/>
        <v>49-60 Months</v>
      </c>
      <c r="W4993">
        <f t="shared" si="309"/>
        <v>1</v>
      </c>
      <c r="X4993">
        <f t="shared" si="310"/>
        <v>106.45</v>
      </c>
      <c r="Y4993" t="str">
        <f t="shared" si="311"/>
        <v>Non-Senior</v>
      </c>
    </row>
    <row r="4994" spans="1:25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si="308"/>
        <v>49-60 Months</v>
      </c>
      <c r="W4994">
        <f t="shared" si="309"/>
        <v>0</v>
      </c>
      <c r="X4994">
        <f t="shared" si="310"/>
        <v>0</v>
      </c>
      <c r="Y4994" t="str">
        <f t="shared" si="311"/>
        <v>Non-Senior</v>
      </c>
    </row>
    <row r="4995" spans="1:25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ref="V4995:V5058" si="312">IF(F4995&lt;=12,"0-12 Months",IF(F4995&lt;=24,"13-24 Months",IF(F4995&lt;=36,"25-36 Months",IF(F4995&lt;=48,"37-48 Months",IF(F4995&lt;=60,"49-60 Months","61-72 Months")))))</f>
        <v>61-72 Months</v>
      </c>
      <c r="W4995">
        <f t="shared" ref="W4995:W5058" si="313">IF(U4995="Yes",1,0)</f>
        <v>0</v>
      </c>
      <c r="X4995">
        <f t="shared" ref="X4995:X5058" si="314">IF(U4995="Yes",S4995,0)</f>
        <v>0</v>
      </c>
      <c r="Y4995" t="str">
        <f t="shared" ref="Y4995:Y5058" si="315">IF(C4995=1,"Senior Citizen","Non-Senior")</f>
        <v>Non-Senior</v>
      </c>
    </row>
    <row r="4996" spans="1:25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312"/>
        <v>13-24 Months</v>
      </c>
      <c r="W4996">
        <f t="shared" si="313"/>
        <v>1</v>
      </c>
      <c r="X4996">
        <f t="shared" si="314"/>
        <v>96.05</v>
      </c>
      <c r="Y4996" t="str">
        <f t="shared" si="315"/>
        <v>Non-Senior</v>
      </c>
    </row>
    <row r="4997" spans="1:25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312"/>
        <v>0-12 Months</v>
      </c>
      <c r="W4997">
        <f t="shared" si="313"/>
        <v>1</v>
      </c>
      <c r="X4997">
        <f t="shared" si="314"/>
        <v>75.099999999999994</v>
      </c>
      <c r="Y4997" t="str">
        <f t="shared" si="315"/>
        <v>Non-Senior</v>
      </c>
    </row>
    <row r="4998" spans="1:25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312"/>
        <v>37-48 Months</v>
      </c>
      <c r="W4998">
        <f t="shared" si="313"/>
        <v>0</v>
      </c>
      <c r="X4998">
        <f t="shared" si="314"/>
        <v>0</v>
      </c>
      <c r="Y4998" t="str">
        <f t="shared" si="315"/>
        <v>Non-Senior</v>
      </c>
    </row>
    <row r="4999" spans="1:25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312"/>
        <v>0-12 Months</v>
      </c>
      <c r="W4999">
        <f t="shared" si="313"/>
        <v>1</v>
      </c>
      <c r="X4999">
        <f t="shared" si="314"/>
        <v>44.7</v>
      </c>
      <c r="Y4999" t="str">
        <f t="shared" si="315"/>
        <v>Senior Citizen</v>
      </c>
    </row>
    <row r="5000" spans="1:25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312"/>
        <v>61-72 Months</v>
      </c>
      <c r="W5000">
        <f t="shared" si="313"/>
        <v>0</v>
      </c>
      <c r="X5000">
        <f t="shared" si="314"/>
        <v>0</v>
      </c>
      <c r="Y5000" t="str">
        <f t="shared" si="315"/>
        <v>Senior Citizen</v>
      </c>
    </row>
    <row r="5001" spans="1:25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7082</v>
      </c>
      <c r="J5001" t="s">
        <v>7084</v>
      </c>
      <c r="K5001" t="s">
        <v>46</v>
      </c>
      <c r="L5001" t="s">
        <v>7084</v>
      </c>
      <c r="M5001" t="s">
        <v>7084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312"/>
        <v>13-24 Months</v>
      </c>
      <c r="W5001">
        <f t="shared" si="313"/>
        <v>0</v>
      </c>
      <c r="X5001">
        <f t="shared" si="314"/>
        <v>0</v>
      </c>
      <c r="Y5001" t="str">
        <f t="shared" si="315"/>
        <v>Non-Senior</v>
      </c>
    </row>
    <row r="5002" spans="1:25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312"/>
        <v>0-12 Months</v>
      </c>
      <c r="W5002">
        <f t="shared" si="313"/>
        <v>0</v>
      </c>
      <c r="X5002">
        <f t="shared" si="314"/>
        <v>0</v>
      </c>
      <c r="Y5002" t="str">
        <f t="shared" si="315"/>
        <v>Non-Senior</v>
      </c>
    </row>
    <row r="5003" spans="1:25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312"/>
        <v>13-24 Months</v>
      </c>
      <c r="W5003">
        <f t="shared" si="313"/>
        <v>1</v>
      </c>
      <c r="X5003">
        <f t="shared" si="314"/>
        <v>55</v>
      </c>
      <c r="Y5003" t="str">
        <f t="shared" si="315"/>
        <v>Non-Senior</v>
      </c>
    </row>
    <row r="5004" spans="1:25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312"/>
        <v>61-72 Months</v>
      </c>
      <c r="W5004">
        <f t="shared" si="313"/>
        <v>0</v>
      </c>
      <c r="X5004">
        <f t="shared" si="314"/>
        <v>0</v>
      </c>
      <c r="Y5004" t="str">
        <f t="shared" si="315"/>
        <v>Non-Senior</v>
      </c>
    </row>
    <row r="5005" spans="1:25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312"/>
        <v>0-12 Months</v>
      </c>
      <c r="W5005">
        <f t="shared" si="313"/>
        <v>1</v>
      </c>
      <c r="X5005">
        <f t="shared" si="314"/>
        <v>74.349999999999994</v>
      </c>
      <c r="Y5005" t="str">
        <f t="shared" si="315"/>
        <v>Non-Senior</v>
      </c>
    </row>
    <row r="5006" spans="1:25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312"/>
        <v>61-72 Months</v>
      </c>
      <c r="W5006">
        <f t="shared" si="313"/>
        <v>0</v>
      </c>
      <c r="X5006">
        <f t="shared" si="314"/>
        <v>0</v>
      </c>
      <c r="Y5006" t="str">
        <f t="shared" si="315"/>
        <v>Non-Senior</v>
      </c>
    </row>
    <row r="5007" spans="1:25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312"/>
        <v>37-48 Months</v>
      </c>
      <c r="W5007">
        <f t="shared" si="313"/>
        <v>1</v>
      </c>
      <c r="X5007">
        <f t="shared" si="314"/>
        <v>104.7</v>
      </c>
      <c r="Y5007" t="str">
        <f t="shared" si="315"/>
        <v>Non-Senior</v>
      </c>
    </row>
    <row r="5008" spans="1:25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312"/>
        <v>13-24 Months</v>
      </c>
      <c r="W5008">
        <f t="shared" si="313"/>
        <v>1</v>
      </c>
      <c r="X5008">
        <f t="shared" si="314"/>
        <v>55.7</v>
      </c>
      <c r="Y5008" t="str">
        <f t="shared" si="315"/>
        <v>Non-Senior</v>
      </c>
    </row>
    <row r="5009" spans="1:25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7082</v>
      </c>
      <c r="J5009" t="s">
        <v>7084</v>
      </c>
      <c r="K5009" t="s">
        <v>46</v>
      </c>
      <c r="L5009" t="s">
        <v>7084</v>
      </c>
      <c r="M5009" t="s">
        <v>7084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312"/>
        <v>25-36 Months</v>
      </c>
      <c r="W5009">
        <f t="shared" si="313"/>
        <v>0</v>
      </c>
      <c r="X5009">
        <f t="shared" si="314"/>
        <v>0</v>
      </c>
      <c r="Y5009" t="str">
        <f t="shared" si="315"/>
        <v>Non-Senior</v>
      </c>
    </row>
    <row r="5010" spans="1:25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7082</v>
      </c>
      <c r="J5010" t="s">
        <v>7084</v>
      </c>
      <c r="K5010" t="s">
        <v>46</v>
      </c>
      <c r="L5010" t="s">
        <v>7084</v>
      </c>
      <c r="M5010" t="s">
        <v>7084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312"/>
        <v>0-12 Months</v>
      </c>
      <c r="W5010">
        <f t="shared" si="313"/>
        <v>0</v>
      </c>
      <c r="X5010">
        <f t="shared" si="314"/>
        <v>0</v>
      </c>
      <c r="Y5010" t="str">
        <f t="shared" si="315"/>
        <v>Non-Senior</v>
      </c>
    </row>
    <row r="5011" spans="1:25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312"/>
        <v>61-72 Months</v>
      </c>
      <c r="W5011">
        <f t="shared" si="313"/>
        <v>0</v>
      </c>
      <c r="X5011">
        <f t="shared" si="314"/>
        <v>0</v>
      </c>
      <c r="Y5011" t="str">
        <f t="shared" si="315"/>
        <v>Non-Senior</v>
      </c>
    </row>
    <row r="5012" spans="1:25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312"/>
        <v>61-72 Months</v>
      </c>
      <c r="W5012">
        <f t="shared" si="313"/>
        <v>0</v>
      </c>
      <c r="X5012">
        <f t="shared" si="314"/>
        <v>0</v>
      </c>
      <c r="Y5012" t="str">
        <f t="shared" si="315"/>
        <v>Non-Senior</v>
      </c>
    </row>
    <row r="5013" spans="1:25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312"/>
        <v>37-48 Months</v>
      </c>
      <c r="W5013">
        <f t="shared" si="313"/>
        <v>0</v>
      </c>
      <c r="X5013">
        <f t="shared" si="314"/>
        <v>0</v>
      </c>
      <c r="Y5013" t="str">
        <f t="shared" si="315"/>
        <v>Senior Citizen</v>
      </c>
    </row>
    <row r="5014" spans="1:25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7082</v>
      </c>
      <c r="J5014" t="s">
        <v>7084</v>
      </c>
      <c r="K5014" t="s">
        <v>46</v>
      </c>
      <c r="L5014" t="s">
        <v>7084</v>
      </c>
      <c r="M5014" t="s">
        <v>7084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312"/>
        <v>0-12 Months</v>
      </c>
      <c r="W5014">
        <f t="shared" si="313"/>
        <v>0</v>
      </c>
      <c r="X5014">
        <f t="shared" si="314"/>
        <v>0</v>
      </c>
      <c r="Y5014" t="str">
        <f t="shared" si="315"/>
        <v>Non-Senior</v>
      </c>
    </row>
    <row r="5015" spans="1:25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312"/>
        <v>13-24 Months</v>
      </c>
      <c r="W5015">
        <f t="shared" si="313"/>
        <v>0</v>
      </c>
      <c r="X5015">
        <f t="shared" si="314"/>
        <v>0</v>
      </c>
      <c r="Y5015" t="str">
        <f t="shared" si="315"/>
        <v>Senior Citizen</v>
      </c>
    </row>
    <row r="5016" spans="1:25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312"/>
        <v>61-72 Months</v>
      </c>
      <c r="W5016">
        <f t="shared" si="313"/>
        <v>0</v>
      </c>
      <c r="X5016">
        <f t="shared" si="314"/>
        <v>0</v>
      </c>
      <c r="Y5016" t="str">
        <f t="shared" si="315"/>
        <v>Senior Citizen</v>
      </c>
    </row>
    <row r="5017" spans="1:25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312"/>
        <v>25-36 Months</v>
      </c>
      <c r="W5017">
        <f t="shared" si="313"/>
        <v>0</v>
      </c>
      <c r="X5017">
        <f t="shared" si="314"/>
        <v>0</v>
      </c>
      <c r="Y5017" t="str">
        <f t="shared" si="315"/>
        <v>Non-Senior</v>
      </c>
    </row>
    <row r="5018" spans="1:25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7082</v>
      </c>
      <c r="J5018" t="s">
        <v>7084</v>
      </c>
      <c r="K5018" t="s">
        <v>46</v>
      </c>
      <c r="L5018" t="s">
        <v>7084</v>
      </c>
      <c r="M5018" t="s">
        <v>7084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312"/>
        <v>0-12 Months</v>
      </c>
      <c r="W5018">
        <f t="shared" si="313"/>
        <v>1</v>
      </c>
      <c r="X5018">
        <f t="shared" si="314"/>
        <v>19.850000000000001</v>
      </c>
      <c r="Y5018" t="str">
        <f t="shared" si="315"/>
        <v>Non-Senior</v>
      </c>
    </row>
    <row r="5019" spans="1:25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312"/>
        <v>37-48 Months</v>
      </c>
      <c r="W5019">
        <f t="shared" si="313"/>
        <v>0</v>
      </c>
      <c r="X5019">
        <f t="shared" si="314"/>
        <v>0</v>
      </c>
      <c r="Y5019" t="str">
        <f t="shared" si="315"/>
        <v>Non-Senior</v>
      </c>
    </row>
    <row r="5020" spans="1:25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7082</v>
      </c>
      <c r="J5020" t="s">
        <v>7084</v>
      </c>
      <c r="K5020" t="s">
        <v>46</v>
      </c>
      <c r="L5020" t="s">
        <v>7084</v>
      </c>
      <c r="M5020" t="s">
        <v>7084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312"/>
        <v>61-72 Months</v>
      </c>
      <c r="W5020">
        <f t="shared" si="313"/>
        <v>0</v>
      </c>
      <c r="X5020">
        <f t="shared" si="314"/>
        <v>0</v>
      </c>
      <c r="Y5020" t="str">
        <f t="shared" si="315"/>
        <v>Non-Senior</v>
      </c>
    </row>
    <row r="5021" spans="1:25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312"/>
        <v>13-24 Months</v>
      </c>
      <c r="W5021">
        <f t="shared" si="313"/>
        <v>0</v>
      </c>
      <c r="X5021">
        <f t="shared" si="314"/>
        <v>0</v>
      </c>
      <c r="Y5021" t="str">
        <f t="shared" si="315"/>
        <v>Senior Citizen</v>
      </c>
    </row>
    <row r="5022" spans="1:25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7082</v>
      </c>
      <c r="J5022" t="s">
        <v>7084</v>
      </c>
      <c r="K5022" t="s">
        <v>46</v>
      </c>
      <c r="L5022" t="s">
        <v>7084</v>
      </c>
      <c r="M5022" t="s">
        <v>7084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312"/>
        <v>37-48 Months</v>
      </c>
      <c r="W5022">
        <f t="shared" si="313"/>
        <v>0</v>
      </c>
      <c r="X5022">
        <f t="shared" si="314"/>
        <v>0</v>
      </c>
      <c r="Y5022" t="str">
        <f t="shared" si="315"/>
        <v>Non-Senior</v>
      </c>
    </row>
    <row r="5023" spans="1:25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312"/>
        <v>13-24 Months</v>
      </c>
      <c r="W5023">
        <f t="shared" si="313"/>
        <v>0</v>
      </c>
      <c r="X5023">
        <f t="shared" si="314"/>
        <v>0</v>
      </c>
      <c r="Y5023" t="str">
        <f t="shared" si="315"/>
        <v>Non-Senior</v>
      </c>
    </row>
    <row r="5024" spans="1:25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312"/>
        <v>61-72 Months</v>
      </c>
      <c r="W5024">
        <f t="shared" si="313"/>
        <v>0</v>
      </c>
      <c r="X5024">
        <f t="shared" si="314"/>
        <v>0</v>
      </c>
      <c r="Y5024" t="str">
        <f t="shared" si="315"/>
        <v>Non-Senior</v>
      </c>
    </row>
    <row r="5025" spans="1:25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312"/>
        <v>0-12 Months</v>
      </c>
      <c r="W5025">
        <f t="shared" si="313"/>
        <v>1</v>
      </c>
      <c r="X5025">
        <f t="shared" si="314"/>
        <v>70.3</v>
      </c>
      <c r="Y5025" t="str">
        <f t="shared" si="315"/>
        <v>Non-Senior</v>
      </c>
    </row>
    <row r="5026" spans="1:25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7082</v>
      </c>
      <c r="J5026" t="s">
        <v>7084</v>
      </c>
      <c r="K5026" t="s">
        <v>46</v>
      </c>
      <c r="L5026" t="s">
        <v>7084</v>
      </c>
      <c r="M5026" t="s">
        <v>7084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312"/>
        <v>61-72 Months</v>
      </c>
      <c r="W5026">
        <f t="shared" si="313"/>
        <v>0</v>
      </c>
      <c r="X5026">
        <f t="shared" si="314"/>
        <v>0</v>
      </c>
      <c r="Y5026" t="str">
        <f t="shared" si="315"/>
        <v>Non-Senior</v>
      </c>
    </row>
    <row r="5027" spans="1:25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312"/>
        <v>0-12 Months</v>
      </c>
      <c r="W5027">
        <f t="shared" si="313"/>
        <v>0</v>
      </c>
      <c r="X5027">
        <f t="shared" si="314"/>
        <v>0</v>
      </c>
      <c r="Y5027" t="str">
        <f t="shared" si="315"/>
        <v>Non-Senior</v>
      </c>
    </row>
    <row r="5028" spans="1:25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7082</v>
      </c>
      <c r="J5028" t="s">
        <v>7084</v>
      </c>
      <c r="K5028" t="s">
        <v>46</v>
      </c>
      <c r="L5028" t="s">
        <v>7084</v>
      </c>
      <c r="M5028" t="s">
        <v>7084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312"/>
        <v>13-24 Months</v>
      </c>
      <c r="W5028">
        <f t="shared" si="313"/>
        <v>0</v>
      </c>
      <c r="X5028">
        <f t="shared" si="314"/>
        <v>0</v>
      </c>
      <c r="Y5028" t="str">
        <f t="shared" si="315"/>
        <v>Non-Senior</v>
      </c>
    </row>
    <row r="5029" spans="1:25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312"/>
        <v>0-12 Months</v>
      </c>
      <c r="W5029">
        <f t="shared" si="313"/>
        <v>1</v>
      </c>
      <c r="X5029">
        <f t="shared" si="314"/>
        <v>85.55</v>
      </c>
      <c r="Y5029" t="str">
        <f t="shared" si="315"/>
        <v>Senior Citizen</v>
      </c>
    </row>
    <row r="5030" spans="1:25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312"/>
        <v>61-72 Months</v>
      </c>
      <c r="W5030">
        <f t="shared" si="313"/>
        <v>0</v>
      </c>
      <c r="X5030">
        <f t="shared" si="314"/>
        <v>0</v>
      </c>
      <c r="Y5030" t="str">
        <f t="shared" si="315"/>
        <v>Non-Senior</v>
      </c>
    </row>
    <row r="5031" spans="1:25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312"/>
        <v>0-12 Months</v>
      </c>
      <c r="W5031">
        <f t="shared" si="313"/>
        <v>0</v>
      </c>
      <c r="X5031">
        <f t="shared" si="314"/>
        <v>0</v>
      </c>
      <c r="Y5031" t="str">
        <f t="shared" si="315"/>
        <v>Non-Senior</v>
      </c>
    </row>
    <row r="5032" spans="1:25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312"/>
        <v>0-12 Months</v>
      </c>
      <c r="W5032">
        <f t="shared" si="313"/>
        <v>1</v>
      </c>
      <c r="X5032">
        <f t="shared" si="314"/>
        <v>94.5</v>
      </c>
      <c r="Y5032" t="str">
        <f t="shared" si="315"/>
        <v>Non-Senior</v>
      </c>
    </row>
    <row r="5033" spans="1:25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312"/>
        <v>0-12 Months</v>
      </c>
      <c r="W5033">
        <f t="shared" si="313"/>
        <v>0</v>
      </c>
      <c r="X5033">
        <f t="shared" si="314"/>
        <v>0</v>
      </c>
      <c r="Y5033" t="str">
        <f t="shared" si="315"/>
        <v>Non-Senior</v>
      </c>
    </row>
    <row r="5034" spans="1:25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312"/>
        <v>0-12 Months</v>
      </c>
      <c r="W5034">
        <f t="shared" si="313"/>
        <v>0</v>
      </c>
      <c r="X5034">
        <f t="shared" si="314"/>
        <v>0</v>
      </c>
      <c r="Y5034" t="str">
        <f t="shared" si="315"/>
        <v>Non-Senior</v>
      </c>
    </row>
    <row r="5035" spans="1:25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7082</v>
      </c>
      <c r="J5035" t="s">
        <v>7084</v>
      </c>
      <c r="K5035" t="s">
        <v>46</v>
      </c>
      <c r="L5035" t="s">
        <v>7084</v>
      </c>
      <c r="M5035" t="s">
        <v>7084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312"/>
        <v>0-12 Months</v>
      </c>
      <c r="W5035">
        <f t="shared" si="313"/>
        <v>0</v>
      </c>
      <c r="X5035">
        <f t="shared" si="314"/>
        <v>0</v>
      </c>
      <c r="Y5035" t="str">
        <f t="shared" si="315"/>
        <v>Non-Senior</v>
      </c>
    </row>
    <row r="5036" spans="1:25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312"/>
        <v>37-48 Months</v>
      </c>
      <c r="W5036">
        <f t="shared" si="313"/>
        <v>0</v>
      </c>
      <c r="X5036">
        <f t="shared" si="314"/>
        <v>0</v>
      </c>
      <c r="Y5036" t="str">
        <f t="shared" si="315"/>
        <v>Senior Citizen</v>
      </c>
    </row>
    <row r="5037" spans="1:25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312"/>
        <v>13-24 Months</v>
      </c>
      <c r="W5037">
        <f t="shared" si="313"/>
        <v>0</v>
      </c>
      <c r="X5037">
        <f t="shared" si="314"/>
        <v>0</v>
      </c>
      <c r="Y5037" t="str">
        <f t="shared" si="315"/>
        <v>Non-Senior</v>
      </c>
    </row>
    <row r="5038" spans="1:25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312"/>
        <v>13-24 Months</v>
      </c>
      <c r="W5038">
        <f t="shared" si="313"/>
        <v>1</v>
      </c>
      <c r="X5038">
        <f t="shared" si="314"/>
        <v>85.35</v>
      </c>
      <c r="Y5038" t="str">
        <f t="shared" si="315"/>
        <v>Senior Citizen</v>
      </c>
    </row>
    <row r="5039" spans="1:25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312"/>
        <v>0-12 Months</v>
      </c>
      <c r="W5039">
        <f t="shared" si="313"/>
        <v>1</v>
      </c>
      <c r="X5039">
        <f t="shared" si="314"/>
        <v>79.650000000000006</v>
      </c>
      <c r="Y5039" t="str">
        <f t="shared" si="315"/>
        <v>Non-Senior</v>
      </c>
    </row>
    <row r="5040" spans="1:25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7082</v>
      </c>
      <c r="J5040" t="s">
        <v>7084</v>
      </c>
      <c r="K5040" t="s">
        <v>46</v>
      </c>
      <c r="L5040" t="s">
        <v>7084</v>
      </c>
      <c r="M5040" t="s">
        <v>7084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312"/>
        <v>0-12 Months</v>
      </c>
      <c r="W5040">
        <f t="shared" si="313"/>
        <v>0</v>
      </c>
      <c r="X5040">
        <f t="shared" si="314"/>
        <v>0</v>
      </c>
      <c r="Y5040" t="str">
        <f t="shared" si="315"/>
        <v>Non-Senior</v>
      </c>
    </row>
    <row r="5041" spans="1:25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312"/>
        <v>0-12 Months</v>
      </c>
      <c r="W5041">
        <f t="shared" si="313"/>
        <v>1</v>
      </c>
      <c r="X5041">
        <f t="shared" si="314"/>
        <v>79.599999999999994</v>
      </c>
      <c r="Y5041" t="str">
        <f t="shared" si="315"/>
        <v>Senior Citizen</v>
      </c>
    </row>
    <row r="5042" spans="1:25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312"/>
        <v>13-24 Months</v>
      </c>
      <c r="W5042">
        <f t="shared" si="313"/>
        <v>0</v>
      </c>
      <c r="X5042">
        <f t="shared" si="314"/>
        <v>0</v>
      </c>
      <c r="Y5042" t="str">
        <f t="shared" si="315"/>
        <v>Non-Senior</v>
      </c>
    </row>
    <row r="5043" spans="1:25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7082</v>
      </c>
      <c r="J5043" t="s">
        <v>7084</v>
      </c>
      <c r="K5043" t="s">
        <v>46</v>
      </c>
      <c r="L5043" t="s">
        <v>7084</v>
      </c>
      <c r="M5043" t="s">
        <v>7084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312"/>
        <v>13-24 Months</v>
      </c>
      <c r="W5043">
        <f t="shared" si="313"/>
        <v>0</v>
      </c>
      <c r="X5043">
        <f t="shared" si="314"/>
        <v>0</v>
      </c>
      <c r="Y5043" t="str">
        <f t="shared" si="315"/>
        <v>Non-Senior</v>
      </c>
    </row>
    <row r="5044" spans="1:25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7082</v>
      </c>
      <c r="J5044" t="s">
        <v>7084</v>
      </c>
      <c r="K5044" t="s">
        <v>46</v>
      </c>
      <c r="L5044" t="s">
        <v>7084</v>
      </c>
      <c r="M5044" t="s">
        <v>7084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312"/>
        <v>13-24 Months</v>
      </c>
      <c r="W5044">
        <f t="shared" si="313"/>
        <v>0</v>
      </c>
      <c r="X5044">
        <f t="shared" si="314"/>
        <v>0</v>
      </c>
      <c r="Y5044" t="str">
        <f t="shared" si="315"/>
        <v>Non-Senior</v>
      </c>
    </row>
    <row r="5045" spans="1:25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312"/>
        <v>13-24 Months</v>
      </c>
      <c r="W5045">
        <f t="shared" si="313"/>
        <v>1</v>
      </c>
      <c r="X5045">
        <f t="shared" si="314"/>
        <v>90.6</v>
      </c>
      <c r="Y5045" t="str">
        <f t="shared" si="315"/>
        <v>Senior Citizen</v>
      </c>
    </row>
    <row r="5046" spans="1:25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312"/>
        <v>13-24 Months</v>
      </c>
      <c r="W5046">
        <f t="shared" si="313"/>
        <v>0</v>
      </c>
      <c r="X5046">
        <f t="shared" si="314"/>
        <v>0</v>
      </c>
      <c r="Y5046" t="str">
        <f t="shared" si="315"/>
        <v>Non-Senior</v>
      </c>
    </row>
    <row r="5047" spans="1:25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312"/>
        <v>25-36 Months</v>
      </c>
      <c r="W5047">
        <f t="shared" si="313"/>
        <v>0</v>
      </c>
      <c r="X5047">
        <f t="shared" si="314"/>
        <v>0</v>
      </c>
      <c r="Y5047" t="str">
        <f t="shared" si="315"/>
        <v>Non-Senior</v>
      </c>
    </row>
    <row r="5048" spans="1:25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312"/>
        <v>0-12 Months</v>
      </c>
      <c r="W5048">
        <f t="shared" si="313"/>
        <v>0</v>
      </c>
      <c r="X5048">
        <f t="shared" si="314"/>
        <v>0</v>
      </c>
      <c r="Y5048" t="str">
        <f t="shared" si="315"/>
        <v>Non-Senior</v>
      </c>
    </row>
    <row r="5049" spans="1:25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312"/>
        <v>37-48 Months</v>
      </c>
      <c r="W5049">
        <f t="shared" si="313"/>
        <v>0</v>
      </c>
      <c r="X5049">
        <f t="shared" si="314"/>
        <v>0</v>
      </c>
      <c r="Y5049" t="str">
        <f t="shared" si="315"/>
        <v>Non-Senior</v>
      </c>
    </row>
    <row r="5050" spans="1:25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312"/>
        <v>49-60 Months</v>
      </c>
      <c r="W5050">
        <f t="shared" si="313"/>
        <v>0</v>
      </c>
      <c r="X5050">
        <f t="shared" si="314"/>
        <v>0</v>
      </c>
      <c r="Y5050" t="str">
        <f t="shared" si="315"/>
        <v>Senior Citizen</v>
      </c>
    </row>
    <row r="5051" spans="1:25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7082</v>
      </c>
      <c r="J5051" t="s">
        <v>7084</v>
      </c>
      <c r="K5051" t="s">
        <v>46</v>
      </c>
      <c r="L5051" t="s">
        <v>7084</v>
      </c>
      <c r="M5051" t="s">
        <v>7084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312"/>
        <v>0-12 Months</v>
      </c>
      <c r="W5051">
        <f t="shared" si="313"/>
        <v>1</v>
      </c>
      <c r="X5051">
        <f t="shared" si="314"/>
        <v>20.2</v>
      </c>
      <c r="Y5051" t="str">
        <f t="shared" si="315"/>
        <v>Non-Senior</v>
      </c>
    </row>
    <row r="5052" spans="1:25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312"/>
        <v>61-72 Months</v>
      </c>
      <c r="W5052">
        <f t="shared" si="313"/>
        <v>1</v>
      </c>
      <c r="X5052">
        <f t="shared" si="314"/>
        <v>106.05</v>
      </c>
      <c r="Y5052" t="str">
        <f t="shared" si="315"/>
        <v>Non-Senior</v>
      </c>
    </row>
    <row r="5053" spans="1:25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312"/>
        <v>49-60 Months</v>
      </c>
      <c r="W5053">
        <f t="shared" si="313"/>
        <v>0</v>
      </c>
      <c r="X5053">
        <f t="shared" si="314"/>
        <v>0</v>
      </c>
      <c r="Y5053" t="str">
        <f t="shared" si="315"/>
        <v>Non-Senior</v>
      </c>
    </row>
    <row r="5054" spans="1:25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312"/>
        <v>13-24 Months</v>
      </c>
      <c r="W5054">
        <f t="shared" si="313"/>
        <v>0</v>
      </c>
      <c r="X5054">
        <f t="shared" si="314"/>
        <v>0</v>
      </c>
      <c r="Y5054" t="str">
        <f t="shared" si="315"/>
        <v>Non-Senior</v>
      </c>
    </row>
    <row r="5055" spans="1:25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312"/>
        <v>13-24 Months</v>
      </c>
      <c r="W5055">
        <f t="shared" si="313"/>
        <v>0</v>
      </c>
      <c r="X5055">
        <f t="shared" si="314"/>
        <v>0</v>
      </c>
      <c r="Y5055" t="str">
        <f t="shared" si="315"/>
        <v>Non-Senior</v>
      </c>
    </row>
    <row r="5056" spans="1:25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312"/>
        <v>61-72 Months</v>
      </c>
      <c r="W5056">
        <f t="shared" si="313"/>
        <v>0</v>
      </c>
      <c r="X5056">
        <f t="shared" si="314"/>
        <v>0</v>
      </c>
      <c r="Y5056" t="str">
        <f t="shared" si="315"/>
        <v>Non-Senior</v>
      </c>
    </row>
    <row r="5057" spans="1:25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7082</v>
      </c>
      <c r="J5057" t="s">
        <v>7084</v>
      </c>
      <c r="K5057" t="s">
        <v>46</v>
      </c>
      <c r="L5057" t="s">
        <v>7084</v>
      </c>
      <c r="M5057" t="s">
        <v>7084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312"/>
        <v>49-60 Months</v>
      </c>
      <c r="W5057">
        <f t="shared" si="313"/>
        <v>0</v>
      </c>
      <c r="X5057">
        <f t="shared" si="314"/>
        <v>0</v>
      </c>
      <c r="Y5057" t="str">
        <f t="shared" si="315"/>
        <v>Senior Citizen</v>
      </c>
    </row>
    <row r="5058" spans="1:25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si="312"/>
        <v>61-72 Months</v>
      </c>
      <c r="W5058">
        <f t="shared" si="313"/>
        <v>0</v>
      </c>
      <c r="X5058">
        <f t="shared" si="314"/>
        <v>0</v>
      </c>
      <c r="Y5058" t="str">
        <f t="shared" si="315"/>
        <v>Non-Senior</v>
      </c>
    </row>
    <row r="5059" spans="1:25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ref="V5059:V5122" si="316">IF(F5059&lt;=12,"0-12 Months",IF(F5059&lt;=24,"13-24 Months",IF(F5059&lt;=36,"25-36 Months",IF(F5059&lt;=48,"37-48 Months",IF(F5059&lt;=60,"49-60 Months","61-72 Months")))))</f>
        <v>0-12 Months</v>
      </c>
      <c r="W5059">
        <f t="shared" ref="W5059:W5122" si="317">IF(U5059="Yes",1,0)</f>
        <v>0</v>
      </c>
      <c r="X5059">
        <f t="shared" ref="X5059:X5122" si="318">IF(U5059="Yes",S5059,0)</f>
        <v>0</v>
      </c>
      <c r="Y5059" t="str">
        <f t="shared" ref="Y5059:Y5122" si="319">IF(C5059=1,"Senior Citizen","Non-Senior")</f>
        <v>Non-Senior</v>
      </c>
    </row>
    <row r="5060" spans="1:25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316"/>
        <v>25-36 Months</v>
      </c>
      <c r="W5060">
        <f t="shared" si="317"/>
        <v>0</v>
      </c>
      <c r="X5060">
        <f t="shared" si="318"/>
        <v>0</v>
      </c>
      <c r="Y5060" t="str">
        <f t="shared" si="319"/>
        <v>Non-Senior</v>
      </c>
    </row>
    <row r="5061" spans="1:25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316"/>
        <v>25-36 Months</v>
      </c>
      <c r="W5061">
        <f t="shared" si="317"/>
        <v>1</v>
      </c>
      <c r="X5061">
        <f t="shared" si="318"/>
        <v>99.15</v>
      </c>
      <c r="Y5061" t="str">
        <f t="shared" si="319"/>
        <v>Non-Senior</v>
      </c>
    </row>
    <row r="5062" spans="1:25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316"/>
        <v>13-24 Months</v>
      </c>
      <c r="W5062">
        <f t="shared" si="317"/>
        <v>0</v>
      </c>
      <c r="X5062">
        <f t="shared" si="318"/>
        <v>0</v>
      </c>
      <c r="Y5062" t="str">
        <f t="shared" si="319"/>
        <v>Non-Senior</v>
      </c>
    </row>
    <row r="5063" spans="1:25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316"/>
        <v>49-60 Months</v>
      </c>
      <c r="W5063">
        <f t="shared" si="317"/>
        <v>0</v>
      </c>
      <c r="X5063">
        <f t="shared" si="318"/>
        <v>0</v>
      </c>
      <c r="Y5063" t="str">
        <f t="shared" si="319"/>
        <v>Senior Citizen</v>
      </c>
    </row>
    <row r="5064" spans="1:25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316"/>
        <v>37-48 Months</v>
      </c>
      <c r="W5064">
        <f t="shared" si="317"/>
        <v>1</v>
      </c>
      <c r="X5064">
        <f t="shared" si="318"/>
        <v>55.9</v>
      </c>
      <c r="Y5064" t="str">
        <f t="shared" si="319"/>
        <v>Non-Senior</v>
      </c>
    </row>
    <row r="5065" spans="1:25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316"/>
        <v>13-24 Months</v>
      </c>
      <c r="W5065">
        <f t="shared" si="317"/>
        <v>1</v>
      </c>
      <c r="X5065">
        <f t="shared" si="318"/>
        <v>82.35</v>
      </c>
      <c r="Y5065" t="str">
        <f t="shared" si="319"/>
        <v>Non-Senior</v>
      </c>
    </row>
    <row r="5066" spans="1:25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316"/>
        <v>0-12 Months</v>
      </c>
      <c r="W5066">
        <f t="shared" si="317"/>
        <v>1</v>
      </c>
      <c r="X5066">
        <f t="shared" si="318"/>
        <v>40.4</v>
      </c>
      <c r="Y5066" t="str">
        <f t="shared" si="319"/>
        <v>Non-Senior</v>
      </c>
    </row>
    <row r="5067" spans="1:25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7082</v>
      </c>
      <c r="J5067" t="s">
        <v>7084</v>
      </c>
      <c r="K5067" t="s">
        <v>46</v>
      </c>
      <c r="L5067" t="s">
        <v>7084</v>
      </c>
      <c r="M5067" t="s">
        <v>7084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316"/>
        <v>25-36 Months</v>
      </c>
      <c r="W5067">
        <f t="shared" si="317"/>
        <v>0</v>
      </c>
      <c r="X5067">
        <f t="shared" si="318"/>
        <v>0</v>
      </c>
      <c r="Y5067" t="str">
        <f t="shared" si="319"/>
        <v>Senior Citizen</v>
      </c>
    </row>
    <row r="5068" spans="1:25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316"/>
        <v>37-48 Months</v>
      </c>
      <c r="W5068">
        <f t="shared" si="317"/>
        <v>0</v>
      </c>
      <c r="X5068">
        <f t="shared" si="318"/>
        <v>0</v>
      </c>
      <c r="Y5068" t="str">
        <f t="shared" si="319"/>
        <v>Non-Senior</v>
      </c>
    </row>
    <row r="5069" spans="1:25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316"/>
        <v>25-36 Months</v>
      </c>
      <c r="W5069">
        <f t="shared" si="317"/>
        <v>0</v>
      </c>
      <c r="X5069">
        <f t="shared" si="318"/>
        <v>0</v>
      </c>
      <c r="Y5069" t="str">
        <f t="shared" si="319"/>
        <v>Non-Senior</v>
      </c>
    </row>
    <row r="5070" spans="1:25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7082</v>
      </c>
      <c r="J5070" t="s">
        <v>7084</v>
      </c>
      <c r="K5070" t="s">
        <v>46</v>
      </c>
      <c r="L5070" t="s">
        <v>7084</v>
      </c>
      <c r="M5070" t="s">
        <v>7084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316"/>
        <v>61-72 Months</v>
      </c>
      <c r="W5070">
        <f t="shared" si="317"/>
        <v>0</v>
      </c>
      <c r="X5070">
        <f t="shared" si="318"/>
        <v>0</v>
      </c>
      <c r="Y5070" t="str">
        <f t="shared" si="319"/>
        <v>Non-Senior</v>
      </c>
    </row>
    <row r="5071" spans="1:25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316"/>
        <v>0-12 Months</v>
      </c>
      <c r="W5071">
        <f t="shared" si="317"/>
        <v>1</v>
      </c>
      <c r="X5071">
        <f t="shared" si="318"/>
        <v>75.349999999999994</v>
      </c>
      <c r="Y5071" t="str">
        <f t="shared" si="319"/>
        <v>Non-Senior</v>
      </c>
    </row>
    <row r="5072" spans="1:25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316"/>
        <v>25-36 Months</v>
      </c>
      <c r="W5072">
        <f t="shared" si="317"/>
        <v>1</v>
      </c>
      <c r="X5072">
        <f t="shared" si="318"/>
        <v>85.15</v>
      </c>
      <c r="Y5072" t="str">
        <f t="shared" si="319"/>
        <v>Non-Senior</v>
      </c>
    </row>
    <row r="5073" spans="1:25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316"/>
        <v>0-12 Months</v>
      </c>
      <c r="W5073">
        <f t="shared" si="317"/>
        <v>0</v>
      </c>
      <c r="X5073">
        <f t="shared" si="318"/>
        <v>0</v>
      </c>
      <c r="Y5073" t="str">
        <f t="shared" si="319"/>
        <v>Non-Senior</v>
      </c>
    </row>
    <row r="5074" spans="1:25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316"/>
        <v>13-24 Months</v>
      </c>
      <c r="W5074">
        <f t="shared" si="317"/>
        <v>0</v>
      </c>
      <c r="X5074">
        <f t="shared" si="318"/>
        <v>0</v>
      </c>
      <c r="Y5074" t="str">
        <f t="shared" si="319"/>
        <v>Senior Citizen</v>
      </c>
    </row>
    <row r="5075" spans="1:25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316"/>
        <v>13-24 Months</v>
      </c>
      <c r="W5075">
        <f t="shared" si="317"/>
        <v>0</v>
      </c>
      <c r="X5075">
        <f t="shared" si="318"/>
        <v>0</v>
      </c>
      <c r="Y5075" t="str">
        <f t="shared" si="319"/>
        <v>Non-Senior</v>
      </c>
    </row>
    <row r="5076" spans="1:25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7082</v>
      </c>
      <c r="J5076" t="s">
        <v>7084</v>
      </c>
      <c r="K5076" t="s">
        <v>46</v>
      </c>
      <c r="L5076" t="s">
        <v>7084</v>
      </c>
      <c r="M5076" t="s">
        <v>7084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316"/>
        <v>49-60 Months</v>
      </c>
      <c r="W5076">
        <f t="shared" si="317"/>
        <v>0</v>
      </c>
      <c r="X5076">
        <f t="shared" si="318"/>
        <v>0</v>
      </c>
      <c r="Y5076" t="str">
        <f t="shared" si="319"/>
        <v>Non-Senior</v>
      </c>
    </row>
    <row r="5077" spans="1:25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316"/>
        <v>37-48 Months</v>
      </c>
      <c r="W5077">
        <f t="shared" si="317"/>
        <v>0</v>
      </c>
      <c r="X5077">
        <f t="shared" si="318"/>
        <v>0</v>
      </c>
      <c r="Y5077" t="str">
        <f t="shared" si="319"/>
        <v>Non-Senior</v>
      </c>
    </row>
    <row r="5078" spans="1:25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316"/>
        <v>25-36 Months</v>
      </c>
      <c r="W5078">
        <f t="shared" si="317"/>
        <v>1</v>
      </c>
      <c r="X5078">
        <f t="shared" si="318"/>
        <v>93.8</v>
      </c>
      <c r="Y5078" t="str">
        <f t="shared" si="319"/>
        <v>Non-Senior</v>
      </c>
    </row>
    <row r="5079" spans="1:25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7082</v>
      </c>
      <c r="J5079" t="s">
        <v>7084</v>
      </c>
      <c r="K5079" t="s">
        <v>46</v>
      </c>
      <c r="L5079" t="s">
        <v>7084</v>
      </c>
      <c r="M5079" t="s">
        <v>7084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316"/>
        <v>0-12 Months</v>
      </c>
      <c r="W5079">
        <f t="shared" si="317"/>
        <v>0</v>
      </c>
      <c r="X5079">
        <f t="shared" si="318"/>
        <v>0</v>
      </c>
      <c r="Y5079" t="str">
        <f t="shared" si="319"/>
        <v>Non-Senior</v>
      </c>
    </row>
    <row r="5080" spans="1:25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316"/>
        <v>61-72 Months</v>
      </c>
      <c r="W5080">
        <f t="shared" si="317"/>
        <v>0</v>
      </c>
      <c r="X5080">
        <f t="shared" si="318"/>
        <v>0</v>
      </c>
      <c r="Y5080" t="str">
        <f t="shared" si="319"/>
        <v>Non-Senior</v>
      </c>
    </row>
    <row r="5081" spans="1:25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316"/>
        <v>13-24 Months</v>
      </c>
      <c r="W5081">
        <f t="shared" si="317"/>
        <v>0</v>
      </c>
      <c r="X5081">
        <f t="shared" si="318"/>
        <v>0</v>
      </c>
      <c r="Y5081" t="str">
        <f t="shared" si="319"/>
        <v>Non-Senior</v>
      </c>
    </row>
    <row r="5082" spans="1:25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316"/>
        <v>61-72 Months</v>
      </c>
      <c r="W5082">
        <f t="shared" si="317"/>
        <v>0</v>
      </c>
      <c r="X5082">
        <f t="shared" si="318"/>
        <v>0</v>
      </c>
      <c r="Y5082" t="str">
        <f t="shared" si="319"/>
        <v>Non-Senior</v>
      </c>
    </row>
    <row r="5083" spans="1:25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316"/>
        <v>49-60 Months</v>
      </c>
      <c r="W5083">
        <f t="shared" si="317"/>
        <v>0</v>
      </c>
      <c r="X5083">
        <f t="shared" si="318"/>
        <v>0</v>
      </c>
      <c r="Y5083" t="str">
        <f t="shared" si="319"/>
        <v>Non-Senior</v>
      </c>
    </row>
    <row r="5084" spans="1:25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7082</v>
      </c>
      <c r="J5084" t="s">
        <v>7084</v>
      </c>
      <c r="K5084" t="s">
        <v>46</v>
      </c>
      <c r="L5084" t="s">
        <v>7084</v>
      </c>
      <c r="M5084" t="s">
        <v>7084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316"/>
        <v>13-24 Months</v>
      </c>
      <c r="W5084">
        <f t="shared" si="317"/>
        <v>0</v>
      </c>
      <c r="X5084">
        <f t="shared" si="318"/>
        <v>0</v>
      </c>
      <c r="Y5084" t="str">
        <f t="shared" si="319"/>
        <v>Non-Senior</v>
      </c>
    </row>
    <row r="5085" spans="1:25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316"/>
        <v>37-48 Months</v>
      </c>
      <c r="W5085">
        <f t="shared" si="317"/>
        <v>0</v>
      </c>
      <c r="X5085">
        <f t="shared" si="318"/>
        <v>0</v>
      </c>
      <c r="Y5085" t="str">
        <f t="shared" si="319"/>
        <v>Non-Senior</v>
      </c>
    </row>
    <row r="5086" spans="1:25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7082</v>
      </c>
      <c r="J5086" t="s">
        <v>7084</v>
      </c>
      <c r="K5086" t="s">
        <v>46</v>
      </c>
      <c r="L5086" t="s">
        <v>7084</v>
      </c>
      <c r="M5086" t="s">
        <v>7084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316"/>
        <v>13-24 Months</v>
      </c>
      <c r="W5086">
        <f t="shared" si="317"/>
        <v>0</v>
      </c>
      <c r="X5086">
        <f t="shared" si="318"/>
        <v>0</v>
      </c>
      <c r="Y5086" t="str">
        <f t="shared" si="319"/>
        <v>Non-Senior</v>
      </c>
    </row>
    <row r="5087" spans="1:25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316"/>
        <v>37-48 Months</v>
      </c>
      <c r="W5087">
        <f t="shared" si="317"/>
        <v>0</v>
      </c>
      <c r="X5087">
        <f t="shared" si="318"/>
        <v>0</v>
      </c>
      <c r="Y5087" t="str">
        <f t="shared" si="319"/>
        <v>Non-Senior</v>
      </c>
    </row>
    <row r="5088" spans="1:25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7082</v>
      </c>
      <c r="J5088" t="s">
        <v>7084</v>
      </c>
      <c r="K5088" t="s">
        <v>46</v>
      </c>
      <c r="L5088" t="s">
        <v>7084</v>
      </c>
      <c r="M5088" t="s">
        <v>7084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316"/>
        <v>37-48 Months</v>
      </c>
      <c r="W5088">
        <f t="shared" si="317"/>
        <v>1</v>
      </c>
      <c r="X5088">
        <f t="shared" si="318"/>
        <v>20.399999999999999</v>
      </c>
      <c r="Y5088" t="str">
        <f t="shared" si="319"/>
        <v>Non-Senior</v>
      </c>
    </row>
    <row r="5089" spans="1:25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7082</v>
      </c>
      <c r="J5089" t="s">
        <v>7084</v>
      </c>
      <c r="K5089" t="s">
        <v>46</v>
      </c>
      <c r="L5089" t="s">
        <v>7084</v>
      </c>
      <c r="M5089" t="s">
        <v>7084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316"/>
        <v>0-12 Months</v>
      </c>
      <c r="W5089">
        <f t="shared" si="317"/>
        <v>0</v>
      </c>
      <c r="X5089">
        <f t="shared" si="318"/>
        <v>0</v>
      </c>
      <c r="Y5089" t="str">
        <f t="shared" si="319"/>
        <v>Non-Senior</v>
      </c>
    </row>
    <row r="5090" spans="1:25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7082</v>
      </c>
      <c r="J5090" t="s">
        <v>7084</v>
      </c>
      <c r="K5090" t="s">
        <v>46</v>
      </c>
      <c r="L5090" t="s">
        <v>7084</v>
      </c>
      <c r="M5090" t="s">
        <v>7084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316"/>
        <v>49-60 Months</v>
      </c>
      <c r="W5090">
        <f t="shared" si="317"/>
        <v>0</v>
      </c>
      <c r="X5090">
        <f t="shared" si="318"/>
        <v>0</v>
      </c>
      <c r="Y5090" t="str">
        <f t="shared" si="319"/>
        <v>Non-Senior</v>
      </c>
    </row>
    <row r="5091" spans="1:25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316"/>
        <v>0-12 Months</v>
      </c>
      <c r="W5091">
        <f t="shared" si="317"/>
        <v>0</v>
      </c>
      <c r="X5091">
        <f t="shared" si="318"/>
        <v>0</v>
      </c>
      <c r="Y5091" t="str">
        <f t="shared" si="319"/>
        <v>Non-Senior</v>
      </c>
    </row>
    <row r="5092" spans="1:25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316"/>
        <v>0-12 Months</v>
      </c>
      <c r="W5092">
        <f t="shared" si="317"/>
        <v>1</v>
      </c>
      <c r="X5092">
        <f t="shared" si="318"/>
        <v>94.7</v>
      </c>
      <c r="Y5092" t="str">
        <f t="shared" si="319"/>
        <v>Senior Citizen</v>
      </c>
    </row>
    <row r="5093" spans="1:25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316"/>
        <v>0-12 Months</v>
      </c>
      <c r="W5093">
        <f t="shared" si="317"/>
        <v>1</v>
      </c>
      <c r="X5093">
        <f t="shared" si="318"/>
        <v>30.5</v>
      </c>
      <c r="Y5093" t="str">
        <f t="shared" si="319"/>
        <v>Non-Senior</v>
      </c>
    </row>
    <row r="5094" spans="1:25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7082</v>
      </c>
      <c r="J5094" t="s">
        <v>7084</v>
      </c>
      <c r="K5094" t="s">
        <v>46</v>
      </c>
      <c r="L5094" t="s">
        <v>7084</v>
      </c>
      <c r="M5094" t="s">
        <v>7084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316"/>
        <v>0-12 Months</v>
      </c>
      <c r="W5094">
        <f t="shared" si="317"/>
        <v>0</v>
      </c>
      <c r="X5094">
        <f t="shared" si="318"/>
        <v>0</v>
      </c>
      <c r="Y5094" t="str">
        <f t="shared" si="319"/>
        <v>Non-Senior</v>
      </c>
    </row>
    <row r="5095" spans="1:25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316"/>
        <v>49-60 Months</v>
      </c>
      <c r="W5095">
        <f t="shared" si="317"/>
        <v>0</v>
      </c>
      <c r="X5095">
        <f t="shared" si="318"/>
        <v>0</v>
      </c>
      <c r="Y5095" t="str">
        <f t="shared" si="319"/>
        <v>Non-Senior</v>
      </c>
    </row>
    <row r="5096" spans="1:25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316"/>
        <v>61-72 Months</v>
      </c>
      <c r="W5096">
        <f t="shared" si="317"/>
        <v>0</v>
      </c>
      <c r="X5096">
        <f t="shared" si="318"/>
        <v>0</v>
      </c>
      <c r="Y5096" t="str">
        <f t="shared" si="319"/>
        <v>Non-Senior</v>
      </c>
    </row>
    <row r="5097" spans="1:25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316"/>
        <v>49-60 Months</v>
      </c>
      <c r="W5097">
        <f t="shared" si="317"/>
        <v>0</v>
      </c>
      <c r="X5097">
        <f t="shared" si="318"/>
        <v>0</v>
      </c>
      <c r="Y5097" t="str">
        <f t="shared" si="319"/>
        <v>Non-Senior</v>
      </c>
    </row>
    <row r="5098" spans="1:25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316"/>
        <v>61-72 Months</v>
      </c>
      <c r="W5098">
        <f t="shared" si="317"/>
        <v>0</v>
      </c>
      <c r="X5098">
        <f t="shared" si="318"/>
        <v>0</v>
      </c>
      <c r="Y5098" t="str">
        <f t="shared" si="319"/>
        <v>Non-Senior</v>
      </c>
    </row>
    <row r="5099" spans="1:25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316"/>
        <v>25-36 Months</v>
      </c>
      <c r="W5099">
        <f t="shared" si="317"/>
        <v>0</v>
      </c>
      <c r="X5099">
        <f t="shared" si="318"/>
        <v>0</v>
      </c>
      <c r="Y5099" t="str">
        <f t="shared" si="319"/>
        <v>Non-Senior</v>
      </c>
    </row>
    <row r="5100" spans="1:25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316"/>
        <v>0-12 Months</v>
      </c>
      <c r="W5100">
        <f t="shared" si="317"/>
        <v>1</v>
      </c>
      <c r="X5100">
        <f t="shared" si="318"/>
        <v>77</v>
      </c>
      <c r="Y5100" t="str">
        <f t="shared" si="319"/>
        <v>Senior Citizen</v>
      </c>
    </row>
    <row r="5101" spans="1:25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7082</v>
      </c>
      <c r="J5101" t="s">
        <v>7084</v>
      </c>
      <c r="K5101" t="s">
        <v>46</v>
      </c>
      <c r="L5101" t="s">
        <v>7084</v>
      </c>
      <c r="M5101" t="s">
        <v>7084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316"/>
        <v>0-12 Months</v>
      </c>
      <c r="W5101">
        <f t="shared" si="317"/>
        <v>1</v>
      </c>
      <c r="X5101">
        <f t="shared" si="318"/>
        <v>20.100000000000001</v>
      </c>
      <c r="Y5101" t="str">
        <f t="shared" si="319"/>
        <v>Non-Senior</v>
      </c>
    </row>
    <row r="5102" spans="1:25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316"/>
        <v>0-12 Months</v>
      </c>
      <c r="W5102">
        <f t="shared" si="317"/>
        <v>1</v>
      </c>
      <c r="X5102">
        <f t="shared" si="318"/>
        <v>75.3</v>
      </c>
      <c r="Y5102" t="str">
        <f t="shared" si="319"/>
        <v>Non-Senior</v>
      </c>
    </row>
    <row r="5103" spans="1:25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316"/>
        <v>13-24 Months</v>
      </c>
      <c r="W5103">
        <f t="shared" si="317"/>
        <v>0</v>
      </c>
      <c r="X5103">
        <f t="shared" si="318"/>
        <v>0</v>
      </c>
      <c r="Y5103" t="str">
        <f t="shared" si="319"/>
        <v>Non-Senior</v>
      </c>
    </row>
    <row r="5104" spans="1:25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316"/>
        <v>61-72 Months</v>
      </c>
      <c r="W5104">
        <f t="shared" si="317"/>
        <v>0</v>
      </c>
      <c r="X5104">
        <f t="shared" si="318"/>
        <v>0</v>
      </c>
      <c r="Y5104" t="str">
        <f t="shared" si="319"/>
        <v>Non-Senior</v>
      </c>
    </row>
    <row r="5105" spans="1:25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316"/>
        <v>25-36 Months</v>
      </c>
      <c r="W5105">
        <f t="shared" si="317"/>
        <v>0</v>
      </c>
      <c r="X5105">
        <f t="shared" si="318"/>
        <v>0</v>
      </c>
      <c r="Y5105" t="str">
        <f t="shared" si="319"/>
        <v>Non-Senior</v>
      </c>
    </row>
    <row r="5106" spans="1:25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7082</v>
      </c>
      <c r="J5106" t="s">
        <v>7084</v>
      </c>
      <c r="K5106" t="s">
        <v>46</v>
      </c>
      <c r="L5106" t="s">
        <v>7084</v>
      </c>
      <c r="M5106" t="s">
        <v>7084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316"/>
        <v>13-24 Months</v>
      </c>
      <c r="W5106">
        <f t="shared" si="317"/>
        <v>0</v>
      </c>
      <c r="X5106">
        <f t="shared" si="318"/>
        <v>0</v>
      </c>
      <c r="Y5106" t="str">
        <f t="shared" si="319"/>
        <v>Non-Senior</v>
      </c>
    </row>
    <row r="5107" spans="1:25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316"/>
        <v>37-48 Months</v>
      </c>
      <c r="W5107">
        <f t="shared" si="317"/>
        <v>1</v>
      </c>
      <c r="X5107">
        <f t="shared" si="318"/>
        <v>99.2</v>
      </c>
      <c r="Y5107" t="str">
        <f t="shared" si="319"/>
        <v>Senior Citizen</v>
      </c>
    </row>
    <row r="5108" spans="1:25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316"/>
        <v>49-60 Months</v>
      </c>
      <c r="W5108">
        <f t="shared" si="317"/>
        <v>0</v>
      </c>
      <c r="X5108">
        <f t="shared" si="318"/>
        <v>0</v>
      </c>
      <c r="Y5108" t="str">
        <f t="shared" si="319"/>
        <v>Non-Senior</v>
      </c>
    </row>
    <row r="5109" spans="1:25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316"/>
        <v>37-48 Months</v>
      </c>
      <c r="W5109">
        <f t="shared" si="317"/>
        <v>0</v>
      </c>
      <c r="X5109">
        <f t="shared" si="318"/>
        <v>0</v>
      </c>
      <c r="Y5109" t="str">
        <f t="shared" si="319"/>
        <v>Non-Senior</v>
      </c>
    </row>
    <row r="5110" spans="1:25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316"/>
        <v>13-24 Months</v>
      </c>
      <c r="W5110">
        <f t="shared" si="317"/>
        <v>0</v>
      </c>
      <c r="X5110">
        <f t="shared" si="318"/>
        <v>0</v>
      </c>
      <c r="Y5110" t="str">
        <f t="shared" si="319"/>
        <v>Non-Senior</v>
      </c>
    </row>
    <row r="5111" spans="1:25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316"/>
        <v>61-72 Months</v>
      </c>
      <c r="W5111">
        <f t="shared" si="317"/>
        <v>0</v>
      </c>
      <c r="X5111">
        <f t="shared" si="318"/>
        <v>0</v>
      </c>
      <c r="Y5111" t="str">
        <f t="shared" si="319"/>
        <v>Non-Senior</v>
      </c>
    </row>
    <row r="5112" spans="1:25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316"/>
        <v>0-12 Months</v>
      </c>
      <c r="W5112">
        <f t="shared" si="317"/>
        <v>0</v>
      </c>
      <c r="X5112">
        <f t="shared" si="318"/>
        <v>0</v>
      </c>
      <c r="Y5112" t="str">
        <f t="shared" si="319"/>
        <v>Non-Senior</v>
      </c>
    </row>
    <row r="5113" spans="1:25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316"/>
        <v>37-48 Months</v>
      </c>
      <c r="W5113">
        <f t="shared" si="317"/>
        <v>1</v>
      </c>
      <c r="X5113">
        <f t="shared" si="318"/>
        <v>85.5</v>
      </c>
      <c r="Y5113" t="str">
        <f t="shared" si="319"/>
        <v>Senior Citizen</v>
      </c>
    </row>
    <row r="5114" spans="1:25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7082</v>
      </c>
      <c r="J5114" t="s">
        <v>7084</v>
      </c>
      <c r="K5114" t="s">
        <v>46</v>
      </c>
      <c r="L5114" t="s">
        <v>7084</v>
      </c>
      <c r="M5114" t="s">
        <v>7084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316"/>
        <v>0-12 Months</v>
      </c>
      <c r="W5114">
        <f t="shared" si="317"/>
        <v>1</v>
      </c>
      <c r="X5114">
        <f t="shared" si="318"/>
        <v>20.05</v>
      </c>
      <c r="Y5114" t="str">
        <f t="shared" si="319"/>
        <v>Non-Senior</v>
      </c>
    </row>
    <row r="5115" spans="1:25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316"/>
        <v>61-72 Months</v>
      </c>
      <c r="W5115">
        <f t="shared" si="317"/>
        <v>0</v>
      </c>
      <c r="X5115">
        <f t="shared" si="318"/>
        <v>0</v>
      </c>
      <c r="Y5115" t="str">
        <f t="shared" si="319"/>
        <v>Non-Senior</v>
      </c>
    </row>
    <row r="5116" spans="1:25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316"/>
        <v>49-60 Months</v>
      </c>
      <c r="W5116">
        <f t="shared" si="317"/>
        <v>0</v>
      </c>
      <c r="X5116">
        <f t="shared" si="318"/>
        <v>0</v>
      </c>
      <c r="Y5116" t="str">
        <f t="shared" si="319"/>
        <v>Senior Citizen</v>
      </c>
    </row>
    <row r="5117" spans="1:25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316"/>
        <v>37-48 Months</v>
      </c>
      <c r="W5117">
        <f t="shared" si="317"/>
        <v>0</v>
      </c>
      <c r="X5117">
        <f t="shared" si="318"/>
        <v>0</v>
      </c>
      <c r="Y5117" t="str">
        <f t="shared" si="319"/>
        <v>Non-Senior</v>
      </c>
    </row>
    <row r="5118" spans="1:25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316"/>
        <v>0-12 Months</v>
      </c>
      <c r="W5118">
        <f t="shared" si="317"/>
        <v>1</v>
      </c>
      <c r="X5118">
        <f t="shared" si="318"/>
        <v>70.400000000000006</v>
      </c>
      <c r="Y5118" t="str">
        <f t="shared" si="319"/>
        <v>Non-Senior</v>
      </c>
    </row>
    <row r="5119" spans="1:25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316"/>
        <v>61-72 Months</v>
      </c>
      <c r="W5119">
        <f t="shared" si="317"/>
        <v>0</v>
      </c>
      <c r="X5119">
        <f t="shared" si="318"/>
        <v>0</v>
      </c>
      <c r="Y5119" t="str">
        <f t="shared" si="319"/>
        <v>Non-Senior</v>
      </c>
    </row>
    <row r="5120" spans="1:25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316"/>
        <v>37-48 Months</v>
      </c>
      <c r="W5120">
        <f t="shared" si="317"/>
        <v>0</v>
      </c>
      <c r="X5120">
        <f t="shared" si="318"/>
        <v>0</v>
      </c>
      <c r="Y5120" t="str">
        <f t="shared" si="319"/>
        <v>Non-Senior</v>
      </c>
    </row>
    <row r="5121" spans="1:25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316"/>
        <v>0-12 Months</v>
      </c>
      <c r="W5121">
        <f t="shared" si="317"/>
        <v>0</v>
      </c>
      <c r="X5121">
        <f t="shared" si="318"/>
        <v>0</v>
      </c>
      <c r="Y5121" t="str">
        <f t="shared" si="319"/>
        <v>Non-Senior</v>
      </c>
    </row>
    <row r="5122" spans="1:25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si="316"/>
        <v>0-12 Months</v>
      </c>
      <c r="W5122">
        <f t="shared" si="317"/>
        <v>1</v>
      </c>
      <c r="X5122">
        <f t="shared" si="318"/>
        <v>49.75</v>
      </c>
      <c r="Y5122" t="str">
        <f t="shared" si="319"/>
        <v>Non-Senior</v>
      </c>
    </row>
    <row r="5123" spans="1:25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ref="V5123:V5186" si="320">IF(F5123&lt;=12,"0-12 Months",IF(F5123&lt;=24,"13-24 Months",IF(F5123&lt;=36,"25-36 Months",IF(F5123&lt;=48,"37-48 Months",IF(F5123&lt;=60,"49-60 Months","61-72 Months")))))</f>
        <v>25-36 Months</v>
      </c>
      <c r="W5123">
        <f t="shared" ref="W5123:W5186" si="321">IF(U5123="Yes",1,0)</f>
        <v>0</v>
      </c>
      <c r="X5123">
        <f t="shared" ref="X5123:X5186" si="322">IF(U5123="Yes",S5123,0)</f>
        <v>0</v>
      </c>
      <c r="Y5123" t="str">
        <f t="shared" ref="Y5123:Y5186" si="323">IF(C5123=1,"Senior Citizen","Non-Senior")</f>
        <v>Non-Senior</v>
      </c>
    </row>
    <row r="5124" spans="1:25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320"/>
        <v>25-36 Months</v>
      </c>
      <c r="W5124">
        <f t="shared" si="321"/>
        <v>0</v>
      </c>
      <c r="X5124">
        <f t="shared" si="322"/>
        <v>0</v>
      </c>
      <c r="Y5124" t="str">
        <f t="shared" si="323"/>
        <v>Non-Senior</v>
      </c>
    </row>
    <row r="5125" spans="1:25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320"/>
        <v>13-24 Months</v>
      </c>
      <c r="W5125">
        <f t="shared" si="321"/>
        <v>1</v>
      </c>
      <c r="X5125">
        <f t="shared" si="322"/>
        <v>75.3</v>
      </c>
      <c r="Y5125" t="str">
        <f t="shared" si="323"/>
        <v>Senior Citizen</v>
      </c>
    </row>
    <row r="5126" spans="1:25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7082</v>
      </c>
      <c r="J5126" t="s">
        <v>7084</v>
      </c>
      <c r="K5126" t="s">
        <v>46</v>
      </c>
      <c r="L5126" t="s">
        <v>7084</v>
      </c>
      <c r="M5126" t="s">
        <v>7084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320"/>
        <v>25-36 Months</v>
      </c>
      <c r="W5126">
        <f t="shared" si="321"/>
        <v>0</v>
      </c>
      <c r="X5126">
        <f t="shared" si="322"/>
        <v>0</v>
      </c>
      <c r="Y5126" t="str">
        <f t="shared" si="323"/>
        <v>Non-Senior</v>
      </c>
    </row>
    <row r="5127" spans="1:25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320"/>
        <v>0-12 Months</v>
      </c>
      <c r="W5127">
        <f t="shared" si="321"/>
        <v>1</v>
      </c>
      <c r="X5127">
        <f t="shared" si="322"/>
        <v>94</v>
      </c>
      <c r="Y5127" t="str">
        <f t="shared" si="323"/>
        <v>Non-Senior</v>
      </c>
    </row>
    <row r="5128" spans="1:25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320"/>
        <v>49-60 Months</v>
      </c>
      <c r="W5128">
        <f t="shared" si="321"/>
        <v>0</v>
      </c>
      <c r="X5128">
        <f t="shared" si="322"/>
        <v>0</v>
      </c>
      <c r="Y5128" t="str">
        <f t="shared" si="323"/>
        <v>Non-Senior</v>
      </c>
    </row>
    <row r="5129" spans="1:25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320"/>
        <v>61-72 Months</v>
      </c>
      <c r="W5129">
        <f t="shared" si="321"/>
        <v>1</v>
      </c>
      <c r="X5129">
        <f t="shared" si="322"/>
        <v>118.35</v>
      </c>
      <c r="Y5129" t="str">
        <f t="shared" si="323"/>
        <v>Non-Senior</v>
      </c>
    </row>
    <row r="5130" spans="1:25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320"/>
        <v>37-48 Months</v>
      </c>
      <c r="W5130">
        <f t="shared" si="321"/>
        <v>0</v>
      </c>
      <c r="X5130">
        <f t="shared" si="322"/>
        <v>0</v>
      </c>
      <c r="Y5130" t="str">
        <f t="shared" si="323"/>
        <v>Senior Citizen</v>
      </c>
    </row>
    <row r="5131" spans="1:25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320"/>
        <v>13-24 Months</v>
      </c>
      <c r="W5131">
        <f t="shared" si="321"/>
        <v>0</v>
      </c>
      <c r="X5131">
        <f t="shared" si="322"/>
        <v>0</v>
      </c>
      <c r="Y5131" t="str">
        <f t="shared" si="323"/>
        <v>Non-Senior</v>
      </c>
    </row>
    <row r="5132" spans="1:25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320"/>
        <v>0-12 Months</v>
      </c>
      <c r="W5132">
        <f t="shared" si="321"/>
        <v>1</v>
      </c>
      <c r="X5132">
        <f t="shared" si="322"/>
        <v>30.45</v>
      </c>
      <c r="Y5132" t="str">
        <f t="shared" si="323"/>
        <v>Non-Senior</v>
      </c>
    </row>
    <row r="5133" spans="1:25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320"/>
        <v>37-48 Months</v>
      </c>
      <c r="W5133">
        <f t="shared" si="321"/>
        <v>1</v>
      </c>
      <c r="X5133">
        <f t="shared" si="322"/>
        <v>96.1</v>
      </c>
      <c r="Y5133" t="str">
        <f t="shared" si="323"/>
        <v>Non-Senior</v>
      </c>
    </row>
    <row r="5134" spans="1:25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320"/>
        <v>61-72 Months</v>
      </c>
      <c r="W5134">
        <f t="shared" si="321"/>
        <v>0</v>
      </c>
      <c r="X5134">
        <f t="shared" si="322"/>
        <v>0</v>
      </c>
      <c r="Y5134" t="str">
        <f t="shared" si="323"/>
        <v>Non-Senior</v>
      </c>
    </row>
    <row r="5135" spans="1:25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320"/>
        <v>13-24 Months</v>
      </c>
      <c r="W5135">
        <f t="shared" si="321"/>
        <v>1</v>
      </c>
      <c r="X5135">
        <f t="shared" si="322"/>
        <v>104.25</v>
      </c>
      <c r="Y5135" t="str">
        <f t="shared" si="323"/>
        <v>Senior Citizen</v>
      </c>
    </row>
    <row r="5136" spans="1:25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320"/>
        <v>13-24 Months</v>
      </c>
      <c r="W5136">
        <f t="shared" si="321"/>
        <v>1</v>
      </c>
      <c r="X5136">
        <f t="shared" si="322"/>
        <v>80.2</v>
      </c>
      <c r="Y5136" t="str">
        <f t="shared" si="323"/>
        <v>Senior Citizen</v>
      </c>
    </row>
    <row r="5137" spans="1:25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7082</v>
      </c>
      <c r="J5137" t="s">
        <v>7084</v>
      </c>
      <c r="K5137" t="s">
        <v>46</v>
      </c>
      <c r="L5137" t="s">
        <v>7084</v>
      </c>
      <c r="M5137" t="s">
        <v>7084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320"/>
        <v>0-12 Months</v>
      </c>
      <c r="W5137">
        <f t="shared" si="321"/>
        <v>0</v>
      </c>
      <c r="X5137">
        <f t="shared" si="322"/>
        <v>0</v>
      </c>
      <c r="Y5137" t="str">
        <f t="shared" si="323"/>
        <v>Non-Senior</v>
      </c>
    </row>
    <row r="5138" spans="1:25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320"/>
        <v>0-12 Months</v>
      </c>
      <c r="W5138">
        <f t="shared" si="321"/>
        <v>0</v>
      </c>
      <c r="X5138">
        <f t="shared" si="322"/>
        <v>0</v>
      </c>
      <c r="Y5138" t="str">
        <f t="shared" si="323"/>
        <v>Senior Citizen</v>
      </c>
    </row>
    <row r="5139" spans="1:25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320"/>
        <v>49-60 Months</v>
      </c>
      <c r="W5139">
        <f t="shared" si="321"/>
        <v>0</v>
      </c>
      <c r="X5139">
        <f t="shared" si="322"/>
        <v>0</v>
      </c>
      <c r="Y5139" t="str">
        <f t="shared" si="323"/>
        <v>Senior Citizen</v>
      </c>
    </row>
    <row r="5140" spans="1:25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320"/>
        <v>61-72 Months</v>
      </c>
      <c r="W5140">
        <f t="shared" si="321"/>
        <v>0</v>
      </c>
      <c r="X5140">
        <f t="shared" si="322"/>
        <v>0</v>
      </c>
      <c r="Y5140" t="str">
        <f t="shared" si="323"/>
        <v>Senior Citizen</v>
      </c>
    </row>
    <row r="5141" spans="1:25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7082</v>
      </c>
      <c r="J5141" t="s">
        <v>7084</v>
      </c>
      <c r="K5141" t="s">
        <v>46</v>
      </c>
      <c r="L5141" t="s">
        <v>7084</v>
      </c>
      <c r="M5141" t="s">
        <v>7084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320"/>
        <v>49-60 Months</v>
      </c>
      <c r="W5141">
        <f t="shared" si="321"/>
        <v>0</v>
      </c>
      <c r="X5141">
        <f t="shared" si="322"/>
        <v>0</v>
      </c>
      <c r="Y5141" t="str">
        <f t="shared" si="323"/>
        <v>Non-Senior</v>
      </c>
    </row>
    <row r="5142" spans="1:25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320"/>
        <v>0-12 Months</v>
      </c>
      <c r="W5142">
        <f t="shared" si="321"/>
        <v>0</v>
      </c>
      <c r="X5142">
        <f t="shared" si="322"/>
        <v>0</v>
      </c>
      <c r="Y5142" t="str">
        <f t="shared" si="323"/>
        <v>Non-Senior</v>
      </c>
    </row>
    <row r="5143" spans="1:25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7082</v>
      </c>
      <c r="J5143" t="s">
        <v>7084</v>
      </c>
      <c r="K5143" t="s">
        <v>46</v>
      </c>
      <c r="L5143" t="s">
        <v>7084</v>
      </c>
      <c r="M5143" t="s">
        <v>7084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320"/>
        <v>0-12 Months</v>
      </c>
      <c r="W5143">
        <f t="shared" si="321"/>
        <v>0</v>
      </c>
      <c r="X5143">
        <f t="shared" si="322"/>
        <v>0</v>
      </c>
      <c r="Y5143" t="str">
        <f t="shared" si="323"/>
        <v>Non-Senior</v>
      </c>
    </row>
    <row r="5144" spans="1:25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320"/>
        <v>61-72 Months</v>
      </c>
      <c r="W5144">
        <f t="shared" si="321"/>
        <v>0</v>
      </c>
      <c r="X5144">
        <f t="shared" si="322"/>
        <v>0</v>
      </c>
      <c r="Y5144" t="str">
        <f t="shared" si="323"/>
        <v>Non-Senior</v>
      </c>
    </row>
    <row r="5145" spans="1:25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320"/>
        <v>49-60 Months</v>
      </c>
      <c r="W5145">
        <f t="shared" si="321"/>
        <v>0</v>
      </c>
      <c r="X5145">
        <f t="shared" si="322"/>
        <v>0</v>
      </c>
      <c r="Y5145" t="str">
        <f t="shared" si="323"/>
        <v>Non-Senior</v>
      </c>
    </row>
    <row r="5146" spans="1:25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320"/>
        <v>0-12 Months</v>
      </c>
      <c r="W5146">
        <f t="shared" si="321"/>
        <v>0</v>
      </c>
      <c r="X5146">
        <f t="shared" si="322"/>
        <v>0</v>
      </c>
      <c r="Y5146" t="str">
        <f t="shared" si="323"/>
        <v>Senior Citizen</v>
      </c>
    </row>
    <row r="5147" spans="1:25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7082</v>
      </c>
      <c r="J5147" t="s">
        <v>7084</v>
      </c>
      <c r="K5147" t="s">
        <v>46</v>
      </c>
      <c r="L5147" t="s">
        <v>7084</v>
      </c>
      <c r="M5147" t="s">
        <v>7084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320"/>
        <v>61-72 Months</v>
      </c>
      <c r="W5147">
        <f t="shared" si="321"/>
        <v>0</v>
      </c>
      <c r="X5147">
        <f t="shared" si="322"/>
        <v>0</v>
      </c>
      <c r="Y5147" t="str">
        <f t="shared" si="323"/>
        <v>Non-Senior</v>
      </c>
    </row>
    <row r="5148" spans="1:25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320"/>
        <v>0-12 Months</v>
      </c>
      <c r="W5148">
        <f t="shared" si="321"/>
        <v>0</v>
      </c>
      <c r="X5148">
        <f t="shared" si="322"/>
        <v>0</v>
      </c>
      <c r="Y5148" t="str">
        <f t="shared" si="323"/>
        <v>Non-Senior</v>
      </c>
    </row>
    <row r="5149" spans="1:25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320"/>
        <v>25-36 Months</v>
      </c>
      <c r="W5149">
        <f t="shared" si="321"/>
        <v>0</v>
      </c>
      <c r="X5149">
        <f t="shared" si="322"/>
        <v>0</v>
      </c>
      <c r="Y5149" t="str">
        <f t="shared" si="323"/>
        <v>Non-Senior</v>
      </c>
    </row>
    <row r="5150" spans="1:25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320"/>
        <v>61-72 Months</v>
      </c>
      <c r="W5150">
        <f t="shared" si="321"/>
        <v>0</v>
      </c>
      <c r="X5150">
        <f t="shared" si="322"/>
        <v>0</v>
      </c>
      <c r="Y5150" t="str">
        <f t="shared" si="323"/>
        <v>Non-Senior</v>
      </c>
    </row>
    <row r="5151" spans="1:25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7082</v>
      </c>
      <c r="J5151" t="s">
        <v>7084</v>
      </c>
      <c r="K5151" t="s">
        <v>46</v>
      </c>
      <c r="L5151" t="s">
        <v>7084</v>
      </c>
      <c r="M5151" t="s">
        <v>7084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320"/>
        <v>61-72 Months</v>
      </c>
      <c r="W5151">
        <f t="shared" si="321"/>
        <v>0</v>
      </c>
      <c r="X5151">
        <f t="shared" si="322"/>
        <v>0</v>
      </c>
      <c r="Y5151" t="str">
        <f t="shared" si="323"/>
        <v>Non-Senior</v>
      </c>
    </row>
    <row r="5152" spans="1:25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7082</v>
      </c>
      <c r="J5152" t="s">
        <v>7084</v>
      </c>
      <c r="K5152" t="s">
        <v>46</v>
      </c>
      <c r="L5152" t="s">
        <v>7084</v>
      </c>
      <c r="M5152" t="s">
        <v>7084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320"/>
        <v>0-12 Months</v>
      </c>
      <c r="W5152">
        <f t="shared" si="321"/>
        <v>0</v>
      </c>
      <c r="X5152">
        <f t="shared" si="322"/>
        <v>0</v>
      </c>
      <c r="Y5152" t="str">
        <f t="shared" si="323"/>
        <v>Non-Senior</v>
      </c>
    </row>
    <row r="5153" spans="1:25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7082</v>
      </c>
      <c r="J5153" t="s">
        <v>7084</v>
      </c>
      <c r="K5153" t="s">
        <v>46</v>
      </c>
      <c r="L5153" t="s">
        <v>7084</v>
      </c>
      <c r="M5153" t="s">
        <v>7084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320"/>
        <v>0-12 Months</v>
      </c>
      <c r="W5153">
        <f t="shared" si="321"/>
        <v>0</v>
      </c>
      <c r="X5153">
        <f t="shared" si="322"/>
        <v>0</v>
      </c>
      <c r="Y5153" t="str">
        <f t="shared" si="323"/>
        <v>Non-Senior</v>
      </c>
    </row>
    <row r="5154" spans="1:25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7082</v>
      </c>
      <c r="J5154" t="s">
        <v>7084</v>
      </c>
      <c r="K5154" t="s">
        <v>46</v>
      </c>
      <c r="L5154" t="s">
        <v>7084</v>
      </c>
      <c r="M5154" t="s">
        <v>7084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320"/>
        <v>49-60 Months</v>
      </c>
      <c r="W5154">
        <f t="shared" si="321"/>
        <v>0</v>
      </c>
      <c r="X5154">
        <f t="shared" si="322"/>
        <v>0</v>
      </c>
      <c r="Y5154" t="str">
        <f t="shared" si="323"/>
        <v>Non-Senior</v>
      </c>
    </row>
    <row r="5155" spans="1:25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320"/>
        <v>37-48 Months</v>
      </c>
      <c r="W5155">
        <f t="shared" si="321"/>
        <v>0</v>
      </c>
      <c r="X5155">
        <f t="shared" si="322"/>
        <v>0</v>
      </c>
      <c r="Y5155" t="str">
        <f t="shared" si="323"/>
        <v>Senior Citizen</v>
      </c>
    </row>
    <row r="5156" spans="1:25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320"/>
        <v>13-24 Months</v>
      </c>
      <c r="W5156">
        <f t="shared" si="321"/>
        <v>1</v>
      </c>
      <c r="X5156">
        <f t="shared" si="322"/>
        <v>104.2</v>
      </c>
      <c r="Y5156" t="str">
        <f t="shared" si="323"/>
        <v>Non-Senior</v>
      </c>
    </row>
    <row r="5157" spans="1:25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320"/>
        <v>25-36 Months</v>
      </c>
      <c r="W5157">
        <f t="shared" si="321"/>
        <v>0</v>
      </c>
      <c r="X5157">
        <f t="shared" si="322"/>
        <v>0</v>
      </c>
      <c r="Y5157" t="str">
        <f t="shared" si="323"/>
        <v>Non-Senior</v>
      </c>
    </row>
    <row r="5158" spans="1:25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320"/>
        <v>13-24 Months</v>
      </c>
      <c r="W5158">
        <f t="shared" si="321"/>
        <v>0</v>
      </c>
      <c r="X5158">
        <f t="shared" si="322"/>
        <v>0</v>
      </c>
      <c r="Y5158" t="str">
        <f t="shared" si="323"/>
        <v>Non-Senior</v>
      </c>
    </row>
    <row r="5159" spans="1:25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320"/>
        <v>13-24 Months</v>
      </c>
      <c r="W5159">
        <f t="shared" si="321"/>
        <v>0</v>
      </c>
      <c r="X5159">
        <f t="shared" si="322"/>
        <v>0</v>
      </c>
      <c r="Y5159" t="str">
        <f t="shared" si="323"/>
        <v>Non-Senior</v>
      </c>
    </row>
    <row r="5160" spans="1:25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7082</v>
      </c>
      <c r="J5160" t="s">
        <v>7084</v>
      </c>
      <c r="K5160" t="s">
        <v>46</v>
      </c>
      <c r="L5160" t="s">
        <v>7084</v>
      </c>
      <c r="M5160" t="s">
        <v>7084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320"/>
        <v>61-72 Months</v>
      </c>
      <c r="W5160">
        <f t="shared" si="321"/>
        <v>0</v>
      </c>
      <c r="X5160">
        <f t="shared" si="322"/>
        <v>0</v>
      </c>
      <c r="Y5160" t="str">
        <f t="shared" si="323"/>
        <v>Non-Senior</v>
      </c>
    </row>
    <row r="5161" spans="1:25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320"/>
        <v>0-12 Months</v>
      </c>
      <c r="W5161">
        <f t="shared" si="321"/>
        <v>0</v>
      </c>
      <c r="X5161">
        <f t="shared" si="322"/>
        <v>0</v>
      </c>
      <c r="Y5161" t="str">
        <f t="shared" si="323"/>
        <v>Non-Senior</v>
      </c>
    </row>
    <row r="5162" spans="1:25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320"/>
        <v>0-12 Months</v>
      </c>
      <c r="W5162">
        <f t="shared" si="321"/>
        <v>0</v>
      </c>
      <c r="X5162">
        <f t="shared" si="322"/>
        <v>0</v>
      </c>
      <c r="Y5162" t="str">
        <f t="shared" si="323"/>
        <v>Non-Senior</v>
      </c>
    </row>
    <row r="5163" spans="1:25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320"/>
        <v>13-24 Months</v>
      </c>
      <c r="W5163">
        <f t="shared" si="321"/>
        <v>0</v>
      </c>
      <c r="X5163">
        <f t="shared" si="322"/>
        <v>0</v>
      </c>
      <c r="Y5163" t="str">
        <f t="shared" si="323"/>
        <v>Non-Senior</v>
      </c>
    </row>
    <row r="5164" spans="1:25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7082</v>
      </c>
      <c r="J5164" t="s">
        <v>7084</v>
      </c>
      <c r="K5164" t="s">
        <v>46</v>
      </c>
      <c r="L5164" t="s">
        <v>7084</v>
      </c>
      <c r="M5164" t="s">
        <v>7084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320"/>
        <v>0-12 Months</v>
      </c>
      <c r="W5164">
        <f t="shared" si="321"/>
        <v>0</v>
      </c>
      <c r="X5164">
        <f t="shared" si="322"/>
        <v>0</v>
      </c>
      <c r="Y5164" t="str">
        <f t="shared" si="323"/>
        <v>Non-Senior</v>
      </c>
    </row>
    <row r="5165" spans="1:25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320"/>
        <v>13-24 Months</v>
      </c>
      <c r="W5165">
        <f t="shared" si="321"/>
        <v>0</v>
      </c>
      <c r="X5165">
        <f t="shared" si="322"/>
        <v>0</v>
      </c>
      <c r="Y5165" t="str">
        <f t="shared" si="323"/>
        <v>Non-Senior</v>
      </c>
    </row>
    <row r="5166" spans="1:25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320"/>
        <v>0-12 Months</v>
      </c>
      <c r="W5166">
        <f t="shared" si="321"/>
        <v>0</v>
      </c>
      <c r="X5166">
        <f t="shared" si="322"/>
        <v>0</v>
      </c>
      <c r="Y5166" t="str">
        <f t="shared" si="323"/>
        <v>Non-Senior</v>
      </c>
    </row>
    <row r="5167" spans="1:25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320"/>
        <v>0-12 Months</v>
      </c>
      <c r="W5167">
        <f t="shared" si="321"/>
        <v>1</v>
      </c>
      <c r="X5167">
        <f t="shared" si="322"/>
        <v>69.650000000000006</v>
      </c>
      <c r="Y5167" t="str">
        <f t="shared" si="323"/>
        <v>Senior Citizen</v>
      </c>
    </row>
    <row r="5168" spans="1:25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320"/>
        <v>61-72 Months</v>
      </c>
      <c r="W5168">
        <f t="shared" si="321"/>
        <v>0</v>
      </c>
      <c r="X5168">
        <f t="shared" si="322"/>
        <v>0</v>
      </c>
      <c r="Y5168" t="str">
        <f t="shared" si="323"/>
        <v>Non-Senior</v>
      </c>
    </row>
    <row r="5169" spans="1:25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320"/>
        <v>49-60 Months</v>
      </c>
      <c r="W5169">
        <f t="shared" si="321"/>
        <v>0</v>
      </c>
      <c r="X5169">
        <f t="shared" si="322"/>
        <v>0</v>
      </c>
      <c r="Y5169" t="str">
        <f t="shared" si="323"/>
        <v>Non-Senior</v>
      </c>
    </row>
    <row r="5170" spans="1:25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320"/>
        <v>0-12 Months</v>
      </c>
      <c r="W5170">
        <f t="shared" si="321"/>
        <v>1</v>
      </c>
      <c r="X5170">
        <f t="shared" si="322"/>
        <v>80.8</v>
      </c>
      <c r="Y5170" t="str">
        <f t="shared" si="323"/>
        <v>Non-Senior</v>
      </c>
    </row>
    <row r="5171" spans="1:25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320"/>
        <v>13-24 Months</v>
      </c>
      <c r="W5171">
        <f t="shared" si="321"/>
        <v>0</v>
      </c>
      <c r="X5171">
        <f t="shared" si="322"/>
        <v>0</v>
      </c>
      <c r="Y5171" t="str">
        <f t="shared" si="323"/>
        <v>Non-Senior</v>
      </c>
    </row>
    <row r="5172" spans="1:25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7082</v>
      </c>
      <c r="J5172" t="s">
        <v>7084</v>
      </c>
      <c r="K5172" t="s">
        <v>46</v>
      </c>
      <c r="L5172" t="s">
        <v>7084</v>
      </c>
      <c r="M5172" t="s">
        <v>7084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320"/>
        <v>0-12 Months</v>
      </c>
      <c r="W5172">
        <f t="shared" si="321"/>
        <v>0</v>
      </c>
      <c r="X5172">
        <f t="shared" si="322"/>
        <v>0</v>
      </c>
      <c r="Y5172" t="str">
        <f t="shared" si="323"/>
        <v>Non-Senior</v>
      </c>
    </row>
    <row r="5173" spans="1:25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320"/>
        <v>0-12 Months</v>
      </c>
      <c r="W5173">
        <f t="shared" si="321"/>
        <v>0</v>
      </c>
      <c r="X5173">
        <f t="shared" si="322"/>
        <v>0</v>
      </c>
      <c r="Y5173" t="str">
        <f t="shared" si="323"/>
        <v>Non-Senior</v>
      </c>
    </row>
    <row r="5174" spans="1:25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7082</v>
      </c>
      <c r="J5174" t="s">
        <v>7084</v>
      </c>
      <c r="K5174" t="s">
        <v>46</v>
      </c>
      <c r="L5174" t="s">
        <v>7084</v>
      </c>
      <c r="M5174" t="s">
        <v>7084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320"/>
        <v>49-60 Months</v>
      </c>
      <c r="W5174">
        <f t="shared" si="321"/>
        <v>0</v>
      </c>
      <c r="X5174">
        <f t="shared" si="322"/>
        <v>0</v>
      </c>
      <c r="Y5174" t="str">
        <f t="shared" si="323"/>
        <v>Non-Senior</v>
      </c>
    </row>
    <row r="5175" spans="1:25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320"/>
        <v>0-12 Months</v>
      </c>
      <c r="W5175">
        <f t="shared" si="321"/>
        <v>0</v>
      </c>
      <c r="X5175">
        <f t="shared" si="322"/>
        <v>0</v>
      </c>
      <c r="Y5175" t="str">
        <f t="shared" si="323"/>
        <v>Non-Senior</v>
      </c>
    </row>
    <row r="5176" spans="1:25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320"/>
        <v>0-12 Months</v>
      </c>
      <c r="W5176">
        <f t="shared" si="321"/>
        <v>1</v>
      </c>
      <c r="X5176">
        <f t="shared" si="322"/>
        <v>80.3</v>
      </c>
      <c r="Y5176" t="str">
        <f t="shared" si="323"/>
        <v>Non-Senior</v>
      </c>
    </row>
    <row r="5177" spans="1:25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7082</v>
      </c>
      <c r="J5177" t="s">
        <v>7084</v>
      </c>
      <c r="K5177" t="s">
        <v>46</v>
      </c>
      <c r="L5177" t="s">
        <v>7084</v>
      </c>
      <c r="M5177" t="s">
        <v>7084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320"/>
        <v>13-24 Months</v>
      </c>
      <c r="W5177">
        <f t="shared" si="321"/>
        <v>0</v>
      </c>
      <c r="X5177">
        <f t="shared" si="322"/>
        <v>0</v>
      </c>
      <c r="Y5177" t="str">
        <f t="shared" si="323"/>
        <v>Non-Senior</v>
      </c>
    </row>
    <row r="5178" spans="1:25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320"/>
        <v>25-36 Months</v>
      </c>
      <c r="W5178">
        <f t="shared" si="321"/>
        <v>0</v>
      </c>
      <c r="X5178">
        <f t="shared" si="322"/>
        <v>0</v>
      </c>
      <c r="Y5178" t="str">
        <f t="shared" si="323"/>
        <v>Non-Senior</v>
      </c>
    </row>
    <row r="5179" spans="1:25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320"/>
        <v>25-36 Months</v>
      </c>
      <c r="W5179">
        <f t="shared" si="321"/>
        <v>1</v>
      </c>
      <c r="X5179">
        <f t="shared" si="322"/>
        <v>84.1</v>
      </c>
      <c r="Y5179" t="str">
        <f t="shared" si="323"/>
        <v>Senior Citizen</v>
      </c>
    </row>
    <row r="5180" spans="1:25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320"/>
        <v>49-60 Months</v>
      </c>
      <c r="W5180">
        <f t="shared" si="321"/>
        <v>0</v>
      </c>
      <c r="X5180">
        <f t="shared" si="322"/>
        <v>0</v>
      </c>
      <c r="Y5180" t="str">
        <f t="shared" si="323"/>
        <v>Non-Senior</v>
      </c>
    </row>
    <row r="5181" spans="1:25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320"/>
        <v>0-12 Months</v>
      </c>
      <c r="W5181">
        <f t="shared" si="321"/>
        <v>1</v>
      </c>
      <c r="X5181">
        <f t="shared" si="322"/>
        <v>69.349999999999994</v>
      </c>
      <c r="Y5181" t="str">
        <f t="shared" si="323"/>
        <v>Non-Senior</v>
      </c>
    </row>
    <row r="5182" spans="1:25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320"/>
        <v>61-72 Months</v>
      </c>
      <c r="W5182">
        <f t="shared" si="321"/>
        <v>0</v>
      </c>
      <c r="X5182">
        <f t="shared" si="322"/>
        <v>0</v>
      </c>
      <c r="Y5182" t="str">
        <f t="shared" si="323"/>
        <v>Non-Senior</v>
      </c>
    </row>
    <row r="5183" spans="1:25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320"/>
        <v>61-72 Months</v>
      </c>
      <c r="W5183">
        <f t="shared" si="321"/>
        <v>0</v>
      </c>
      <c r="X5183">
        <f t="shared" si="322"/>
        <v>0</v>
      </c>
      <c r="Y5183" t="str">
        <f t="shared" si="323"/>
        <v>Non-Senior</v>
      </c>
    </row>
    <row r="5184" spans="1:25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7082</v>
      </c>
      <c r="J5184" t="s">
        <v>7084</v>
      </c>
      <c r="K5184" t="s">
        <v>46</v>
      </c>
      <c r="L5184" t="s">
        <v>7084</v>
      </c>
      <c r="M5184" t="s">
        <v>7084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320"/>
        <v>0-12 Months</v>
      </c>
      <c r="W5184">
        <f t="shared" si="321"/>
        <v>0</v>
      </c>
      <c r="X5184">
        <f t="shared" si="322"/>
        <v>0</v>
      </c>
      <c r="Y5184" t="str">
        <f t="shared" si="323"/>
        <v>Non-Senior</v>
      </c>
    </row>
    <row r="5185" spans="1:25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320"/>
        <v>25-36 Months</v>
      </c>
      <c r="W5185">
        <f t="shared" si="321"/>
        <v>1</v>
      </c>
      <c r="X5185">
        <f t="shared" si="322"/>
        <v>79.599999999999994</v>
      </c>
      <c r="Y5185" t="str">
        <f t="shared" si="323"/>
        <v>Senior Citizen</v>
      </c>
    </row>
    <row r="5186" spans="1:25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si="320"/>
        <v>61-72 Months</v>
      </c>
      <c r="W5186">
        <f t="shared" si="321"/>
        <v>0</v>
      </c>
      <c r="X5186">
        <f t="shared" si="322"/>
        <v>0</v>
      </c>
      <c r="Y5186" t="str">
        <f t="shared" si="323"/>
        <v>Non-Senior</v>
      </c>
    </row>
    <row r="5187" spans="1:25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ref="V5187:V5250" si="324">IF(F5187&lt;=12,"0-12 Months",IF(F5187&lt;=24,"13-24 Months",IF(F5187&lt;=36,"25-36 Months",IF(F5187&lt;=48,"37-48 Months",IF(F5187&lt;=60,"49-60 Months","61-72 Months")))))</f>
        <v>49-60 Months</v>
      </c>
      <c r="W5187">
        <f t="shared" ref="W5187:W5250" si="325">IF(U5187="Yes",1,0)</f>
        <v>0</v>
      </c>
      <c r="X5187">
        <f t="shared" ref="X5187:X5250" si="326">IF(U5187="Yes",S5187,0)</f>
        <v>0</v>
      </c>
      <c r="Y5187" t="str">
        <f t="shared" ref="Y5187:Y5250" si="327">IF(C5187=1,"Senior Citizen","Non-Senior")</f>
        <v>Non-Senior</v>
      </c>
    </row>
    <row r="5188" spans="1:25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324"/>
        <v>0-12 Months</v>
      </c>
      <c r="W5188">
        <f t="shared" si="325"/>
        <v>1</v>
      </c>
      <c r="X5188">
        <f t="shared" si="326"/>
        <v>36.450000000000003</v>
      </c>
      <c r="Y5188" t="str">
        <f t="shared" si="327"/>
        <v>Senior Citizen</v>
      </c>
    </row>
    <row r="5189" spans="1:25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324"/>
        <v>37-48 Months</v>
      </c>
      <c r="W5189">
        <f t="shared" si="325"/>
        <v>0</v>
      </c>
      <c r="X5189">
        <f t="shared" si="326"/>
        <v>0</v>
      </c>
      <c r="Y5189" t="str">
        <f t="shared" si="327"/>
        <v>Senior Citizen</v>
      </c>
    </row>
    <row r="5190" spans="1:25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324"/>
        <v>25-36 Months</v>
      </c>
      <c r="W5190">
        <f t="shared" si="325"/>
        <v>0</v>
      </c>
      <c r="X5190">
        <f t="shared" si="326"/>
        <v>0</v>
      </c>
      <c r="Y5190" t="str">
        <f t="shared" si="327"/>
        <v>Senior Citizen</v>
      </c>
    </row>
    <row r="5191" spans="1:25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324"/>
        <v>0-12 Months</v>
      </c>
      <c r="W5191">
        <f t="shared" si="325"/>
        <v>0</v>
      </c>
      <c r="X5191">
        <f t="shared" si="326"/>
        <v>0</v>
      </c>
      <c r="Y5191" t="str">
        <f t="shared" si="327"/>
        <v>Non-Senior</v>
      </c>
    </row>
    <row r="5192" spans="1:25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324"/>
        <v>25-36 Months</v>
      </c>
      <c r="W5192">
        <f t="shared" si="325"/>
        <v>0</v>
      </c>
      <c r="X5192">
        <f t="shared" si="326"/>
        <v>0</v>
      </c>
      <c r="Y5192" t="str">
        <f t="shared" si="327"/>
        <v>Senior Citizen</v>
      </c>
    </row>
    <row r="5193" spans="1:25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324"/>
        <v>13-24 Months</v>
      </c>
      <c r="W5193">
        <f t="shared" si="325"/>
        <v>0</v>
      </c>
      <c r="X5193">
        <f t="shared" si="326"/>
        <v>0</v>
      </c>
      <c r="Y5193" t="str">
        <f t="shared" si="327"/>
        <v>Non-Senior</v>
      </c>
    </row>
    <row r="5194" spans="1:25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7082</v>
      </c>
      <c r="J5194" t="s">
        <v>7084</v>
      </c>
      <c r="K5194" t="s">
        <v>46</v>
      </c>
      <c r="L5194" t="s">
        <v>7084</v>
      </c>
      <c r="M5194" t="s">
        <v>7084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324"/>
        <v>49-60 Months</v>
      </c>
      <c r="W5194">
        <f t="shared" si="325"/>
        <v>0</v>
      </c>
      <c r="X5194">
        <f t="shared" si="326"/>
        <v>0</v>
      </c>
      <c r="Y5194" t="str">
        <f t="shared" si="327"/>
        <v>Non-Senior</v>
      </c>
    </row>
    <row r="5195" spans="1:25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7082</v>
      </c>
      <c r="J5195" t="s">
        <v>7084</v>
      </c>
      <c r="K5195" t="s">
        <v>46</v>
      </c>
      <c r="L5195" t="s">
        <v>7084</v>
      </c>
      <c r="M5195" t="s">
        <v>7084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324"/>
        <v>61-72 Months</v>
      </c>
      <c r="W5195">
        <f t="shared" si="325"/>
        <v>0</v>
      </c>
      <c r="X5195">
        <f t="shared" si="326"/>
        <v>0</v>
      </c>
      <c r="Y5195" t="str">
        <f t="shared" si="327"/>
        <v>Non-Senior</v>
      </c>
    </row>
    <row r="5196" spans="1:25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324"/>
        <v>13-24 Months</v>
      </c>
      <c r="W5196">
        <f t="shared" si="325"/>
        <v>1</v>
      </c>
      <c r="X5196">
        <f t="shared" si="326"/>
        <v>89.4</v>
      </c>
      <c r="Y5196" t="str">
        <f t="shared" si="327"/>
        <v>Non-Senior</v>
      </c>
    </row>
    <row r="5197" spans="1:25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324"/>
        <v>61-72 Months</v>
      </c>
      <c r="W5197">
        <f t="shared" si="325"/>
        <v>0</v>
      </c>
      <c r="X5197">
        <f t="shared" si="326"/>
        <v>0</v>
      </c>
      <c r="Y5197" t="str">
        <f t="shared" si="327"/>
        <v>Non-Senior</v>
      </c>
    </row>
    <row r="5198" spans="1:25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324"/>
        <v>61-72 Months</v>
      </c>
      <c r="W5198">
        <f t="shared" si="325"/>
        <v>0</v>
      </c>
      <c r="X5198">
        <f t="shared" si="326"/>
        <v>0</v>
      </c>
      <c r="Y5198" t="str">
        <f t="shared" si="327"/>
        <v>Senior Citizen</v>
      </c>
    </row>
    <row r="5199" spans="1:25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324"/>
        <v>61-72 Months</v>
      </c>
      <c r="W5199">
        <f t="shared" si="325"/>
        <v>0</v>
      </c>
      <c r="X5199">
        <f t="shared" si="326"/>
        <v>0</v>
      </c>
      <c r="Y5199" t="str">
        <f t="shared" si="327"/>
        <v>Non-Senior</v>
      </c>
    </row>
    <row r="5200" spans="1:25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324"/>
        <v>37-48 Months</v>
      </c>
      <c r="W5200">
        <f t="shared" si="325"/>
        <v>1</v>
      </c>
      <c r="X5200">
        <f t="shared" si="326"/>
        <v>80.349999999999994</v>
      </c>
      <c r="Y5200" t="str">
        <f t="shared" si="327"/>
        <v>Senior Citizen</v>
      </c>
    </row>
    <row r="5201" spans="1:25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324"/>
        <v>49-60 Months</v>
      </c>
      <c r="W5201">
        <f t="shared" si="325"/>
        <v>0</v>
      </c>
      <c r="X5201">
        <f t="shared" si="326"/>
        <v>0</v>
      </c>
      <c r="Y5201" t="str">
        <f t="shared" si="327"/>
        <v>Non-Senior</v>
      </c>
    </row>
    <row r="5202" spans="1:25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324"/>
        <v>61-72 Months</v>
      </c>
      <c r="W5202">
        <f t="shared" si="325"/>
        <v>0</v>
      </c>
      <c r="X5202">
        <f t="shared" si="326"/>
        <v>0</v>
      </c>
      <c r="Y5202" t="str">
        <f t="shared" si="327"/>
        <v>Non-Senior</v>
      </c>
    </row>
    <row r="5203" spans="1:25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7082</v>
      </c>
      <c r="J5203" t="s">
        <v>7084</v>
      </c>
      <c r="K5203" t="s">
        <v>46</v>
      </c>
      <c r="L5203" t="s">
        <v>7084</v>
      </c>
      <c r="M5203" t="s">
        <v>7084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324"/>
        <v>0-12 Months</v>
      </c>
      <c r="W5203">
        <f t="shared" si="325"/>
        <v>0</v>
      </c>
      <c r="X5203">
        <f t="shared" si="326"/>
        <v>0</v>
      </c>
      <c r="Y5203" t="str">
        <f t="shared" si="327"/>
        <v>Non-Senior</v>
      </c>
    </row>
    <row r="5204" spans="1:25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324"/>
        <v>49-60 Months</v>
      </c>
      <c r="W5204">
        <f t="shared" si="325"/>
        <v>0</v>
      </c>
      <c r="X5204">
        <f t="shared" si="326"/>
        <v>0</v>
      </c>
      <c r="Y5204" t="str">
        <f t="shared" si="327"/>
        <v>Non-Senior</v>
      </c>
    </row>
    <row r="5205" spans="1:25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324"/>
        <v>0-12 Months</v>
      </c>
      <c r="W5205">
        <f t="shared" si="325"/>
        <v>0</v>
      </c>
      <c r="X5205">
        <f t="shared" si="326"/>
        <v>0</v>
      </c>
      <c r="Y5205" t="str">
        <f t="shared" si="327"/>
        <v>Non-Senior</v>
      </c>
    </row>
    <row r="5206" spans="1:25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324"/>
        <v>37-48 Months</v>
      </c>
      <c r="W5206">
        <f t="shared" si="325"/>
        <v>0</v>
      </c>
      <c r="X5206">
        <f t="shared" si="326"/>
        <v>0</v>
      </c>
      <c r="Y5206" t="str">
        <f t="shared" si="327"/>
        <v>Senior Citizen</v>
      </c>
    </row>
    <row r="5207" spans="1:25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324"/>
        <v>37-48 Months</v>
      </c>
      <c r="W5207">
        <f t="shared" si="325"/>
        <v>0</v>
      </c>
      <c r="X5207">
        <f t="shared" si="326"/>
        <v>0</v>
      </c>
      <c r="Y5207" t="str">
        <f t="shared" si="327"/>
        <v>Non-Senior</v>
      </c>
    </row>
    <row r="5208" spans="1:25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324"/>
        <v>37-48 Months</v>
      </c>
      <c r="W5208">
        <f t="shared" si="325"/>
        <v>0</v>
      </c>
      <c r="X5208">
        <f t="shared" si="326"/>
        <v>0</v>
      </c>
      <c r="Y5208" t="str">
        <f t="shared" si="327"/>
        <v>Non-Senior</v>
      </c>
    </row>
    <row r="5209" spans="1:25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324"/>
        <v>13-24 Months</v>
      </c>
      <c r="W5209">
        <f t="shared" si="325"/>
        <v>1</v>
      </c>
      <c r="X5209">
        <f t="shared" si="326"/>
        <v>40.65</v>
      </c>
      <c r="Y5209" t="str">
        <f t="shared" si="327"/>
        <v>Senior Citizen</v>
      </c>
    </row>
    <row r="5210" spans="1:25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324"/>
        <v>13-24 Months</v>
      </c>
      <c r="W5210">
        <f t="shared" si="325"/>
        <v>0</v>
      </c>
      <c r="X5210">
        <f t="shared" si="326"/>
        <v>0</v>
      </c>
      <c r="Y5210" t="str">
        <f t="shared" si="327"/>
        <v>Non-Senior</v>
      </c>
    </row>
    <row r="5211" spans="1:25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324"/>
        <v>61-72 Months</v>
      </c>
      <c r="W5211">
        <f t="shared" si="325"/>
        <v>0</v>
      </c>
      <c r="X5211">
        <f t="shared" si="326"/>
        <v>0</v>
      </c>
      <c r="Y5211" t="str">
        <f t="shared" si="327"/>
        <v>Non-Senior</v>
      </c>
    </row>
    <row r="5212" spans="1:25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324"/>
        <v>49-60 Months</v>
      </c>
      <c r="W5212">
        <f t="shared" si="325"/>
        <v>1</v>
      </c>
      <c r="X5212">
        <f t="shared" si="326"/>
        <v>60.45</v>
      </c>
      <c r="Y5212" t="str">
        <f t="shared" si="327"/>
        <v>Non-Senior</v>
      </c>
    </row>
    <row r="5213" spans="1:25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324"/>
        <v>0-12 Months</v>
      </c>
      <c r="W5213">
        <f t="shared" si="325"/>
        <v>1</v>
      </c>
      <c r="X5213">
        <f t="shared" si="326"/>
        <v>84.9</v>
      </c>
      <c r="Y5213" t="str">
        <f t="shared" si="327"/>
        <v>Non-Senior</v>
      </c>
    </row>
    <row r="5214" spans="1:25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324"/>
        <v>61-72 Months</v>
      </c>
      <c r="W5214">
        <f t="shared" si="325"/>
        <v>0</v>
      </c>
      <c r="X5214">
        <f t="shared" si="326"/>
        <v>0</v>
      </c>
      <c r="Y5214" t="str">
        <f t="shared" si="327"/>
        <v>Non-Senior</v>
      </c>
    </row>
    <row r="5215" spans="1:25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324"/>
        <v>13-24 Months</v>
      </c>
      <c r="W5215">
        <f t="shared" si="325"/>
        <v>0</v>
      </c>
      <c r="X5215">
        <f t="shared" si="326"/>
        <v>0</v>
      </c>
      <c r="Y5215" t="str">
        <f t="shared" si="327"/>
        <v>Senior Citizen</v>
      </c>
    </row>
    <row r="5216" spans="1:25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324"/>
        <v>0-12 Months</v>
      </c>
      <c r="W5216">
        <f t="shared" si="325"/>
        <v>1</v>
      </c>
      <c r="X5216">
        <f t="shared" si="326"/>
        <v>73.55</v>
      </c>
      <c r="Y5216" t="str">
        <f t="shared" si="327"/>
        <v>Non-Senior</v>
      </c>
    </row>
    <row r="5217" spans="1:25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7082</v>
      </c>
      <c r="J5217" t="s">
        <v>7084</v>
      </c>
      <c r="K5217" t="s">
        <v>46</v>
      </c>
      <c r="L5217" t="s">
        <v>7084</v>
      </c>
      <c r="M5217" t="s">
        <v>7084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324"/>
        <v>0-12 Months</v>
      </c>
      <c r="W5217">
        <f t="shared" si="325"/>
        <v>1</v>
      </c>
      <c r="X5217">
        <f t="shared" si="326"/>
        <v>20.149999999999999</v>
      </c>
      <c r="Y5217" t="str">
        <f t="shared" si="327"/>
        <v>Non-Senior</v>
      </c>
    </row>
    <row r="5218" spans="1:25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324"/>
        <v>37-48 Months</v>
      </c>
      <c r="W5218">
        <f t="shared" si="325"/>
        <v>1</v>
      </c>
      <c r="X5218">
        <f t="shared" si="326"/>
        <v>34.700000000000003</v>
      </c>
      <c r="Y5218" t="str">
        <f t="shared" si="327"/>
        <v>Non-Senior</v>
      </c>
    </row>
    <row r="5219" spans="1:25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7082</v>
      </c>
      <c r="J5219" t="s">
        <v>7084</v>
      </c>
      <c r="K5219" t="s">
        <v>46</v>
      </c>
      <c r="L5219" t="s">
        <v>7084</v>
      </c>
      <c r="M5219" t="s">
        <v>7084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324"/>
        <v>0-12 Months</v>
      </c>
      <c r="W5219">
        <f t="shared" si="325"/>
        <v>0</v>
      </c>
      <c r="X5219">
        <f t="shared" si="326"/>
        <v>0</v>
      </c>
      <c r="Y5219" t="str">
        <f t="shared" si="327"/>
        <v>Non-Senior</v>
      </c>
    </row>
    <row r="5220" spans="1:25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7082</v>
      </c>
      <c r="J5220" t="s">
        <v>7084</v>
      </c>
      <c r="K5220" t="s">
        <v>46</v>
      </c>
      <c r="L5220" t="s">
        <v>7084</v>
      </c>
      <c r="M5220" t="s">
        <v>7084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 t="str">
        <f t="shared" si="324"/>
        <v>0-12 Months</v>
      </c>
      <c r="W5220">
        <f t="shared" si="325"/>
        <v>0</v>
      </c>
      <c r="X5220">
        <f t="shared" si="326"/>
        <v>0</v>
      </c>
      <c r="Y5220" t="str">
        <f t="shared" si="327"/>
        <v>Non-Senior</v>
      </c>
    </row>
    <row r="5221" spans="1:25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7082</v>
      </c>
      <c r="J5221" t="s">
        <v>7084</v>
      </c>
      <c r="K5221" t="s">
        <v>46</v>
      </c>
      <c r="L5221" t="s">
        <v>7084</v>
      </c>
      <c r="M5221" t="s">
        <v>7084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324"/>
        <v>0-12 Months</v>
      </c>
      <c r="W5221">
        <f t="shared" si="325"/>
        <v>0</v>
      </c>
      <c r="X5221">
        <f t="shared" si="326"/>
        <v>0</v>
      </c>
      <c r="Y5221" t="str">
        <f t="shared" si="327"/>
        <v>Non-Senior</v>
      </c>
    </row>
    <row r="5222" spans="1:25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324"/>
        <v>25-36 Months</v>
      </c>
      <c r="W5222">
        <f t="shared" si="325"/>
        <v>0</v>
      </c>
      <c r="X5222">
        <f t="shared" si="326"/>
        <v>0</v>
      </c>
      <c r="Y5222" t="str">
        <f t="shared" si="327"/>
        <v>Non-Senior</v>
      </c>
    </row>
    <row r="5223" spans="1:25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324"/>
        <v>61-72 Months</v>
      </c>
      <c r="W5223">
        <f t="shared" si="325"/>
        <v>0</v>
      </c>
      <c r="X5223">
        <f t="shared" si="326"/>
        <v>0</v>
      </c>
      <c r="Y5223" t="str">
        <f t="shared" si="327"/>
        <v>Senior Citizen</v>
      </c>
    </row>
    <row r="5224" spans="1:25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324"/>
        <v>0-12 Months</v>
      </c>
      <c r="W5224">
        <f t="shared" si="325"/>
        <v>0</v>
      </c>
      <c r="X5224">
        <f t="shared" si="326"/>
        <v>0</v>
      </c>
      <c r="Y5224" t="str">
        <f t="shared" si="327"/>
        <v>Non-Senior</v>
      </c>
    </row>
    <row r="5225" spans="1:25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7082</v>
      </c>
      <c r="J5225" t="s">
        <v>7084</v>
      </c>
      <c r="K5225" t="s">
        <v>46</v>
      </c>
      <c r="L5225" t="s">
        <v>7084</v>
      </c>
      <c r="M5225" t="s">
        <v>7084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324"/>
        <v>61-72 Months</v>
      </c>
      <c r="W5225">
        <f t="shared" si="325"/>
        <v>0</v>
      </c>
      <c r="X5225">
        <f t="shared" si="326"/>
        <v>0</v>
      </c>
      <c r="Y5225" t="str">
        <f t="shared" si="327"/>
        <v>Non-Senior</v>
      </c>
    </row>
    <row r="5226" spans="1:25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324"/>
        <v>37-48 Months</v>
      </c>
      <c r="W5226">
        <f t="shared" si="325"/>
        <v>0</v>
      </c>
      <c r="X5226">
        <f t="shared" si="326"/>
        <v>0</v>
      </c>
      <c r="Y5226" t="str">
        <f t="shared" si="327"/>
        <v>Senior Citizen</v>
      </c>
    </row>
    <row r="5227" spans="1:25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324"/>
        <v>61-72 Months</v>
      </c>
      <c r="W5227">
        <f t="shared" si="325"/>
        <v>0</v>
      </c>
      <c r="X5227">
        <f t="shared" si="326"/>
        <v>0</v>
      </c>
      <c r="Y5227" t="str">
        <f t="shared" si="327"/>
        <v>Non-Senior</v>
      </c>
    </row>
    <row r="5228" spans="1:25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7082</v>
      </c>
      <c r="J5228" t="s">
        <v>7084</v>
      </c>
      <c r="K5228" t="s">
        <v>46</v>
      </c>
      <c r="L5228" t="s">
        <v>7084</v>
      </c>
      <c r="M5228" t="s">
        <v>7084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324"/>
        <v>0-12 Months</v>
      </c>
      <c r="W5228">
        <f t="shared" si="325"/>
        <v>0</v>
      </c>
      <c r="X5228">
        <f t="shared" si="326"/>
        <v>0</v>
      </c>
      <c r="Y5228" t="str">
        <f t="shared" si="327"/>
        <v>Non-Senior</v>
      </c>
    </row>
    <row r="5229" spans="1:25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324"/>
        <v>0-12 Months</v>
      </c>
      <c r="W5229">
        <f t="shared" si="325"/>
        <v>0</v>
      </c>
      <c r="X5229">
        <f t="shared" si="326"/>
        <v>0</v>
      </c>
      <c r="Y5229" t="str">
        <f t="shared" si="327"/>
        <v>Non-Senior</v>
      </c>
    </row>
    <row r="5230" spans="1:25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324"/>
        <v>0-12 Months</v>
      </c>
      <c r="W5230">
        <f t="shared" si="325"/>
        <v>0</v>
      </c>
      <c r="X5230">
        <f t="shared" si="326"/>
        <v>0</v>
      </c>
      <c r="Y5230" t="str">
        <f t="shared" si="327"/>
        <v>Non-Senior</v>
      </c>
    </row>
    <row r="5231" spans="1:25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324"/>
        <v>37-48 Months</v>
      </c>
      <c r="W5231">
        <f t="shared" si="325"/>
        <v>1</v>
      </c>
      <c r="X5231">
        <f t="shared" si="326"/>
        <v>107.55</v>
      </c>
      <c r="Y5231" t="str">
        <f t="shared" si="327"/>
        <v>Senior Citizen</v>
      </c>
    </row>
    <row r="5232" spans="1:25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324"/>
        <v>49-60 Months</v>
      </c>
      <c r="W5232">
        <f t="shared" si="325"/>
        <v>0</v>
      </c>
      <c r="X5232">
        <f t="shared" si="326"/>
        <v>0</v>
      </c>
      <c r="Y5232" t="str">
        <f t="shared" si="327"/>
        <v>Non-Senior</v>
      </c>
    </row>
    <row r="5233" spans="1:25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324"/>
        <v>13-24 Months</v>
      </c>
      <c r="W5233">
        <f t="shared" si="325"/>
        <v>1</v>
      </c>
      <c r="X5233">
        <f t="shared" si="326"/>
        <v>98.75</v>
      </c>
      <c r="Y5233" t="str">
        <f t="shared" si="327"/>
        <v>Senior Citizen</v>
      </c>
    </row>
    <row r="5234" spans="1:25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7082</v>
      </c>
      <c r="J5234" t="s">
        <v>7084</v>
      </c>
      <c r="K5234" t="s">
        <v>46</v>
      </c>
      <c r="L5234" t="s">
        <v>7084</v>
      </c>
      <c r="M5234" t="s">
        <v>7084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324"/>
        <v>0-12 Months</v>
      </c>
      <c r="W5234">
        <f t="shared" si="325"/>
        <v>0</v>
      </c>
      <c r="X5234">
        <f t="shared" si="326"/>
        <v>0</v>
      </c>
      <c r="Y5234" t="str">
        <f t="shared" si="327"/>
        <v>Non-Senior</v>
      </c>
    </row>
    <row r="5235" spans="1:25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324"/>
        <v>0-12 Months</v>
      </c>
      <c r="W5235">
        <f t="shared" si="325"/>
        <v>1</v>
      </c>
      <c r="X5235">
        <f t="shared" si="326"/>
        <v>101.15</v>
      </c>
      <c r="Y5235" t="str">
        <f t="shared" si="327"/>
        <v>Non-Senior</v>
      </c>
    </row>
    <row r="5236" spans="1:25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324"/>
        <v>37-48 Months</v>
      </c>
      <c r="W5236">
        <f t="shared" si="325"/>
        <v>0</v>
      </c>
      <c r="X5236">
        <f t="shared" si="326"/>
        <v>0</v>
      </c>
      <c r="Y5236" t="str">
        <f t="shared" si="327"/>
        <v>Non-Senior</v>
      </c>
    </row>
    <row r="5237" spans="1:25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324"/>
        <v>0-12 Months</v>
      </c>
      <c r="W5237">
        <f t="shared" si="325"/>
        <v>0</v>
      </c>
      <c r="X5237">
        <f t="shared" si="326"/>
        <v>0</v>
      </c>
      <c r="Y5237" t="str">
        <f t="shared" si="327"/>
        <v>Non-Senior</v>
      </c>
    </row>
    <row r="5238" spans="1:25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324"/>
        <v>37-48 Months</v>
      </c>
      <c r="W5238">
        <f t="shared" si="325"/>
        <v>0</v>
      </c>
      <c r="X5238">
        <f t="shared" si="326"/>
        <v>0</v>
      </c>
      <c r="Y5238" t="str">
        <f t="shared" si="327"/>
        <v>Non-Senior</v>
      </c>
    </row>
    <row r="5239" spans="1:25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324"/>
        <v>25-36 Months</v>
      </c>
      <c r="W5239">
        <f t="shared" si="325"/>
        <v>0</v>
      </c>
      <c r="X5239">
        <f t="shared" si="326"/>
        <v>0</v>
      </c>
      <c r="Y5239" t="str">
        <f t="shared" si="327"/>
        <v>Non-Senior</v>
      </c>
    </row>
    <row r="5240" spans="1:25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324"/>
        <v>25-36 Months</v>
      </c>
      <c r="W5240">
        <f t="shared" si="325"/>
        <v>0</v>
      </c>
      <c r="X5240">
        <f t="shared" si="326"/>
        <v>0</v>
      </c>
      <c r="Y5240" t="str">
        <f t="shared" si="327"/>
        <v>Non-Senior</v>
      </c>
    </row>
    <row r="5241" spans="1:25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324"/>
        <v>61-72 Months</v>
      </c>
      <c r="W5241">
        <f t="shared" si="325"/>
        <v>0</v>
      </c>
      <c r="X5241">
        <f t="shared" si="326"/>
        <v>0</v>
      </c>
      <c r="Y5241" t="str">
        <f t="shared" si="327"/>
        <v>Non-Senior</v>
      </c>
    </row>
    <row r="5242" spans="1:25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324"/>
        <v>61-72 Months</v>
      </c>
      <c r="W5242">
        <f t="shared" si="325"/>
        <v>0</v>
      </c>
      <c r="X5242">
        <f t="shared" si="326"/>
        <v>0</v>
      </c>
      <c r="Y5242" t="str">
        <f t="shared" si="327"/>
        <v>Senior Citizen</v>
      </c>
    </row>
    <row r="5243" spans="1:25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324"/>
        <v>49-60 Months</v>
      </c>
      <c r="W5243">
        <f t="shared" si="325"/>
        <v>0</v>
      </c>
      <c r="X5243">
        <f t="shared" si="326"/>
        <v>0</v>
      </c>
      <c r="Y5243" t="str">
        <f t="shared" si="327"/>
        <v>Non-Senior</v>
      </c>
    </row>
    <row r="5244" spans="1:25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324"/>
        <v>13-24 Months</v>
      </c>
      <c r="W5244">
        <f t="shared" si="325"/>
        <v>1</v>
      </c>
      <c r="X5244">
        <f t="shared" si="326"/>
        <v>88.7</v>
      </c>
      <c r="Y5244" t="str">
        <f t="shared" si="327"/>
        <v>Non-Senior</v>
      </c>
    </row>
    <row r="5245" spans="1:25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324"/>
        <v>13-24 Months</v>
      </c>
      <c r="W5245">
        <f t="shared" si="325"/>
        <v>0</v>
      </c>
      <c r="X5245">
        <f t="shared" si="326"/>
        <v>0</v>
      </c>
      <c r="Y5245" t="str">
        <f t="shared" si="327"/>
        <v>Non-Senior</v>
      </c>
    </row>
    <row r="5246" spans="1:25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324"/>
        <v>37-48 Months</v>
      </c>
      <c r="W5246">
        <f t="shared" si="325"/>
        <v>0</v>
      </c>
      <c r="X5246">
        <f t="shared" si="326"/>
        <v>0</v>
      </c>
      <c r="Y5246" t="str">
        <f t="shared" si="327"/>
        <v>Non-Senior</v>
      </c>
    </row>
    <row r="5247" spans="1:25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7082</v>
      </c>
      <c r="J5247" t="s">
        <v>7084</v>
      </c>
      <c r="K5247" t="s">
        <v>46</v>
      </c>
      <c r="L5247" t="s">
        <v>7084</v>
      </c>
      <c r="M5247" t="s">
        <v>7084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324"/>
        <v>61-72 Months</v>
      </c>
      <c r="W5247">
        <f t="shared" si="325"/>
        <v>0</v>
      </c>
      <c r="X5247">
        <f t="shared" si="326"/>
        <v>0</v>
      </c>
      <c r="Y5247" t="str">
        <f t="shared" si="327"/>
        <v>Non-Senior</v>
      </c>
    </row>
    <row r="5248" spans="1:25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324"/>
        <v>0-12 Months</v>
      </c>
      <c r="W5248">
        <f t="shared" si="325"/>
        <v>1</v>
      </c>
      <c r="X5248">
        <f t="shared" si="326"/>
        <v>79.75</v>
      </c>
      <c r="Y5248" t="str">
        <f t="shared" si="327"/>
        <v>Non-Senior</v>
      </c>
    </row>
    <row r="5249" spans="1:25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324"/>
        <v>25-36 Months</v>
      </c>
      <c r="W5249">
        <f t="shared" si="325"/>
        <v>1</v>
      </c>
      <c r="X5249">
        <f t="shared" si="326"/>
        <v>94.55</v>
      </c>
      <c r="Y5249" t="str">
        <f t="shared" si="327"/>
        <v>Non-Senior</v>
      </c>
    </row>
    <row r="5250" spans="1:25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7082</v>
      </c>
      <c r="J5250" t="s">
        <v>7084</v>
      </c>
      <c r="K5250" t="s">
        <v>46</v>
      </c>
      <c r="L5250" t="s">
        <v>7084</v>
      </c>
      <c r="M5250" t="s">
        <v>7084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si="324"/>
        <v>0-12 Months</v>
      </c>
      <c r="W5250">
        <f t="shared" si="325"/>
        <v>0</v>
      </c>
      <c r="X5250">
        <f t="shared" si="326"/>
        <v>0</v>
      </c>
      <c r="Y5250" t="str">
        <f t="shared" si="327"/>
        <v>Non-Senior</v>
      </c>
    </row>
    <row r="5251" spans="1:25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ref="V5251:V5314" si="328">IF(F5251&lt;=12,"0-12 Months",IF(F5251&lt;=24,"13-24 Months",IF(F5251&lt;=36,"25-36 Months",IF(F5251&lt;=48,"37-48 Months",IF(F5251&lt;=60,"49-60 Months","61-72 Months")))))</f>
        <v>61-72 Months</v>
      </c>
      <c r="W5251">
        <f t="shared" ref="W5251:W5314" si="329">IF(U5251="Yes",1,0)</f>
        <v>0</v>
      </c>
      <c r="X5251">
        <f t="shared" ref="X5251:X5314" si="330">IF(U5251="Yes",S5251,0)</f>
        <v>0</v>
      </c>
      <c r="Y5251" t="str">
        <f t="shared" ref="Y5251:Y5314" si="331">IF(C5251=1,"Senior Citizen","Non-Senior")</f>
        <v>Non-Senior</v>
      </c>
    </row>
    <row r="5252" spans="1:25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328"/>
        <v>0-12 Months</v>
      </c>
      <c r="W5252">
        <f t="shared" si="329"/>
        <v>0</v>
      </c>
      <c r="X5252">
        <f t="shared" si="330"/>
        <v>0</v>
      </c>
      <c r="Y5252" t="str">
        <f t="shared" si="331"/>
        <v>Non-Senior</v>
      </c>
    </row>
    <row r="5253" spans="1:25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328"/>
        <v>0-12 Months</v>
      </c>
      <c r="W5253">
        <f t="shared" si="329"/>
        <v>1</v>
      </c>
      <c r="X5253">
        <f t="shared" si="330"/>
        <v>69.05</v>
      </c>
      <c r="Y5253" t="str">
        <f t="shared" si="331"/>
        <v>Senior Citizen</v>
      </c>
    </row>
    <row r="5254" spans="1:25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328"/>
        <v>61-72 Months</v>
      </c>
      <c r="W5254">
        <f t="shared" si="329"/>
        <v>0</v>
      </c>
      <c r="X5254">
        <f t="shared" si="330"/>
        <v>0</v>
      </c>
      <c r="Y5254" t="str">
        <f t="shared" si="331"/>
        <v>Senior Citizen</v>
      </c>
    </row>
    <row r="5255" spans="1:25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328"/>
        <v>25-36 Months</v>
      </c>
      <c r="W5255">
        <f t="shared" si="329"/>
        <v>0</v>
      </c>
      <c r="X5255">
        <f t="shared" si="330"/>
        <v>0</v>
      </c>
      <c r="Y5255" t="str">
        <f t="shared" si="331"/>
        <v>Senior Citizen</v>
      </c>
    </row>
    <row r="5256" spans="1:25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328"/>
        <v>61-72 Months</v>
      </c>
      <c r="W5256">
        <f t="shared" si="329"/>
        <v>0</v>
      </c>
      <c r="X5256">
        <f t="shared" si="330"/>
        <v>0</v>
      </c>
      <c r="Y5256" t="str">
        <f t="shared" si="331"/>
        <v>Non-Senior</v>
      </c>
    </row>
    <row r="5257" spans="1:25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328"/>
        <v>25-36 Months</v>
      </c>
      <c r="W5257">
        <f t="shared" si="329"/>
        <v>0</v>
      </c>
      <c r="X5257">
        <f t="shared" si="330"/>
        <v>0</v>
      </c>
      <c r="Y5257" t="str">
        <f t="shared" si="331"/>
        <v>Non-Senior</v>
      </c>
    </row>
    <row r="5258" spans="1:25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328"/>
        <v>49-60 Months</v>
      </c>
      <c r="W5258">
        <f t="shared" si="329"/>
        <v>1</v>
      </c>
      <c r="X5258">
        <f t="shared" si="330"/>
        <v>96.25</v>
      </c>
      <c r="Y5258" t="str">
        <f t="shared" si="331"/>
        <v>Non-Senior</v>
      </c>
    </row>
    <row r="5259" spans="1:25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328"/>
        <v>37-48 Months</v>
      </c>
      <c r="W5259">
        <f t="shared" si="329"/>
        <v>1</v>
      </c>
      <c r="X5259">
        <f t="shared" si="330"/>
        <v>101.1</v>
      </c>
      <c r="Y5259" t="str">
        <f t="shared" si="331"/>
        <v>Senior Citizen</v>
      </c>
    </row>
    <row r="5260" spans="1:25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328"/>
        <v>61-72 Months</v>
      </c>
      <c r="W5260">
        <f t="shared" si="329"/>
        <v>1</v>
      </c>
      <c r="X5260">
        <f t="shared" si="330"/>
        <v>104.7</v>
      </c>
      <c r="Y5260" t="str">
        <f t="shared" si="331"/>
        <v>Non-Senior</v>
      </c>
    </row>
    <row r="5261" spans="1:25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328"/>
        <v>25-36 Months</v>
      </c>
      <c r="W5261">
        <f t="shared" si="329"/>
        <v>0</v>
      </c>
      <c r="X5261">
        <f t="shared" si="330"/>
        <v>0</v>
      </c>
      <c r="Y5261" t="str">
        <f t="shared" si="331"/>
        <v>Senior Citizen</v>
      </c>
    </row>
    <row r="5262" spans="1:25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328"/>
        <v>25-36 Months</v>
      </c>
      <c r="W5262">
        <f t="shared" si="329"/>
        <v>0</v>
      </c>
      <c r="X5262">
        <f t="shared" si="330"/>
        <v>0</v>
      </c>
      <c r="Y5262" t="str">
        <f t="shared" si="331"/>
        <v>Non-Senior</v>
      </c>
    </row>
    <row r="5263" spans="1:25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328"/>
        <v>49-60 Months</v>
      </c>
      <c r="W5263">
        <f t="shared" si="329"/>
        <v>0</v>
      </c>
      <c r="X5263">
        <f t="shared" si="330"/>
        <v>0</v>
      </c>
      <c r="Y5263" t="str">
        <f t="shared" si="331"/>
        <v>Senior Citizen</v>
      </c>
    </row>
    <row r="5264" spans="1:25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328"/>
        <v>49-60 Months</v>
      </c>
      <c r="W5264">
        <f t="shared" si="329"/>
        <v>0</v>
      </c>
      <c r="X5264">
        <f t="shared" si="330"/>
        <v>0</v>
      </c>
      <c r="Y5264" t="str">
        <f t="shared" si="331"/>
        <v>Non-Senior</v>
      </c>
    </row>
    <row r="5265" spans="1:25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328"/>
        <v>49-60 Months</v>
      </c>
      <c r="W5265">
        <f t="shared" si="329"/>
        <v>0</v>
      </c>
      <c r="X5265">
        <f t="shared" si="330"/>
        <v>0</v>
      </c>
      <c r="Y5265" t="str">
        <f t="shared" si="331"/>
        <v>Senior Citizen</v>
      </c>
    </row>
    <row r="5266" spans="1:25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328"/>
        <v>61-72 Months</v>
      </c>
      <c r="W5266">
        <f t="shared" si="329"/>
        <v>0</v>
      </c>
      <c r="X5266">
        <f t="shared" si="330"/>
        <v>0</v>
      </c>
      <c r="Y5266" t="str">
        <f t="shared" si="331"/>
        <v>Senior Citizen</v>
      </c>
    </row>
    <row r="5267" spans="1:25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328"/>
        <v>61-72 Months</v>
      </c>
      <c r="W5267">
        <f t="shared" si="329"/>
        <v>0</v>
      </c>
      <c r="X5267">
        <f t="shared" si="330"/>
        <v>0</v>
      </c>
      <c r="Y5267" t="str">
        <f t="shared" si="331"/>
        <v>Non-Senior</v>
      </c>
    </row>
    <row r="5268" spans="1:25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328"/>
        <v>37-48 Months</v>
      </c>
      <c r="W5268">
        <f t="shared" si="329"/>
        <v>0</v>
      </c>
      <c r="X5268">
        <f t="shared" si="330"/>
        <v>0</v>
      </c>
      <c r="Y5268" t="str">
        <f t="shared" si="331"/>
        <v>Non-Senior</v>
      </c>
    </row>
    <row r="5269" spans="1:25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7082</v>
      </c>
      <c r="J5269" t="s">
        <v>7084</v>
      </c>
      <c r="K5269" t="s">
        <v>46</v>
      </c>
      <c r="L5269" t="s">
        <v>7084</v>
      </c>
      <c r="M5269" t="s">
        <v>7084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328"/>
        <v>0-12 Months</v>
      </c>
      <c r="W5269">
        <f t="shared" si="329"/>
        <v>0</v>
      </c>
      <c r="X5269">
        <f t="shared" si="330"/>
        <v>0</v>
      </c>
      <c r="Y5269" t="str">
        <f t="shared" si="331"/>
        <v>Senior Citizen</v>
      </c>
    </row>
    <row r="5270" spans="1:25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328"/>
        <v>61-72 Months</v>
      </c>
      <c r="W5270">
        <f t="shared" si="329"/>
        <v>0</v>
      </c>
      <c r="X5270">
        <f t="shared" si="330"/>
        <v>0</v>
      </c>
      <c r="Y5270" t="str">
        <f t="shared" si="331"/>
        <v>Non-Senior</v>
      </c>
    </row>
    <row r="5271" spans="1:25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328"/>
        <v>0-12 Months</v>
      </c>
      <c r="W5271">
        <f t="shared" si="329"/>
        <v>0</v>
      </c>
      <c r="X5271">
        <f t="shared" si="330"/>
        <v>0</v>
      </c>
      <c r="Y5271" t="str">
        <f t="shared" si="331"/>
        <v>Non-Senior</v>
      </c>
    </row>
    <row r="5272" spans="1:25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328"/>
        <v>37-48 Months</v>
      </c>
      <c r="W5272">
        <f t="shared" si="329"/>
        <v>1</v>
      </c>
      <c r="X5272">
        <f t="shared" si="330"/>
        <v>55.25</v>
      </c>
      <c r="Y5272" t="str">
        <f t="shared" si="331"/>
        <v>Non-Senior</v>
      </c>
    </row>
    <row r="5273" spans="1:25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328"/>
        <v>13-24 Months</v>
      </c>
      <c r="W5273">
        <f t="shared" si="329"/>
        <v>0</v>
      </c>
      <c r="X5273">
        <f t="shared" si="330"/>
        <v>0</v>
      </c>
      <c r="Y5273" t="str">
        <f t="shared" si="331"/>
        <v>Non-Senior</v>
      </c>
    </row>
    <row r="5274" spans="1:25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328"/>
        <v>0-12 Months</v>
      </c>
      <c r="W5274">
        <f t="shared" si="329"/>
        <v>1</v>
      </c>
      <c r="X5274">
        <f t="shared" si="330"/>
        <v>90.1</v>
      </c>
      <c r="Y5274" t="str">
        <f t="shared" si="331"/>
        <v>Non-Senior</v>
      </c>
    </row>
    <row r="5275" spans="1:25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7082</v>
      </c>
      <c r="J5275" t="s">
        <v>7084</v>
      </c>
      <c r="K5275" t="s">
        <v>46</v>
      </c>
      <c r="L5275" t="s">
        <v>7084</v>
      </c>
      <c r="M5275" t="s">
        <v>7084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328"/>
        <v>61-72 Months</v>
      </c>
      <c r="W5275">
        <f t="shared" si="329"/>
        <v>0</v>
      </c>
      <c r="X5275">
        <f t="shared" si="330"/>
        <v>0</v>
      </c>
      <c r="Y5275" t="str">
        <f t="shared" si="331"/>
        <v>Non-Senior</v>
      </c>
    </row>
    <row r="5276" spans="1:25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328"/>
        <v>61-72 Months</v>
      </c>
      <c r="W5276">
        <f t="shared" si="329"/>
        <v>0</v>
      </c>
      <c r="X5276">
        <f t="shared" si="330"/>
        <v>0</v>
      </c>
      <c r="Y5276" t="str">
        <f t="shared" si="331"/>
        <v>Senior Citizen</v>
      </c>
    </row>
    <row r="5277" spans="1:25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328"/>
        <v>0-12 Months</v>
      </c>
      <c r="W5277">
        <f t="shared" si="329"/>
        <v>1</v>
      </c>
      <c r="X5277">
        <f t="shared" si="330"/>
        <v>53.75</v>
      </c>
      <c r="Y5277" t="str">
        <f t="shared" si="331"/>
        <v>Non-Senior</v>
      </c>
    </row>
    <row r="5278" spans="1:25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328"/>
        <v>37-48 Months</v>
      </c>
      <c r="W5278">
        <f t="shared" si="329"/>
        <v>0</v>
      </c>
      <c r="X5278">
        <f t="shared" si="330"/>
        <v>0</v>
      </c>
      <c r="Y5278" t="str">
        <f t="shared" si="331"/>
        <v>Non-Senior</v>
      </c>
    </row>
    <row r="5279" spans="1:25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328"/>
        <v>0-12 Months</v>
      </c>
      <c r="W5279">
        <f t="shared" si="329"/>
        <v>1</v>
      </c>
      <c r="X5279">
        <f t="shared" si="330"/>
        <v>89.3</v>
      </c>
      <c r="Y5279" t="str">
        <f t="shared" si="331"/>
        <v>Non-Senior</v>
      </c>
    </row>
    <row r="5280" spans="1:25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328"/>
        <v>49-60 Months</v>
      </c>
      <c r="W5280">
        <f t="shared" si="329"/>
        <v>0</v>
      </c>
      <c r="X5280">
        <f t="shared" si="330"/>
        <v>0</v>
      </c>
      <c r="Y5280" t="str">
        <f t="shared" si="331"/>
        <v>Non-Senior</v>
      </c>
    </row>
    <row r="5281" spans="1:25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7082</v>
      </c>
      <c r="J5281" t="s">
        <v>7084</v>
      </c>
      <c r="K5281" t="s">
        <v>46</v>
      </c>
      <c r="L5281" t="s">
        <v>7084</v>
      </c>
      <c r="M5281" t="s">
        <v>7084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328"/>
        <v>61-72 Months</v>
      </c>
      <c r="W5281">
        <f t="shared" si="329"/>
        <v>0</v>
      </c>
      <c r="X5281">
        <f t="shared" si="330"/>
        <v>0</v>
      </c>
      <c r="Y5281" t="str">
        <f t="shared" si="331"/>
        <v>Non-Senior</v>
      </c>
    </row>
    <row r="5282" spans="1:25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328"/>
        <v>25-36 Months</v>
      </c>
      <c r="W5282">
        <f t="shared" si="329"/>
        <v>0</v>
      </c>
      <c r="X5282">
        <f t="shared" si="330"/>
        <v>0</v>
      </c>
      <c r="Y5282" t="str">
        <f t="shared" si="331"/>
        <v>Non-Senior</v>
      </c>
    </row>
    <row r="5283" spans="1:25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328"/>
        <v>61-72 Months</v>
      </c>
      <c r="W5283">
        <f t="shared" si="329"/>
        <v>0</v>
      </c>
      <c r="X5283">
        <f t="shared" si="330"/>
        <v>0</v>
      </c>
      <c r="Y5283" t="str">
        <f t="shared" si="331"/>
        <v>Non-Senior</v>
      </c>
    </row>
    <row r="5284" spans="1:25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328"/>
        <v>0-12 Months</v>
      </c>
      <c r="W5284">
        <f t="shared" si="329"/>
        <v>1</v>
      </c>
      <c r="X5284">
        <f t="shared" si="330"/>
        <v>95.2</v>
      </c>
      <c r="Y5284" t="str">
        <f t="shared" si="331"/>
        <v>Non-Senior</v>
      </c>
    </row>
    <row r="5285" spans="1:25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328"/>
        <v>13-24 Months</v>
      </c>
      <c r="W5285">
        <f t="shared" si="329"/>
        <v>0</v>
      </c>
      <c r="X5285">
        <f t="shared" si="330"/>
        <v>0</v>
      </c>
      <c r="Y5285" t="str">
        <f t="shared" si="331"/>
        <v>Non-Senior</v>
      </c>
    </row>
    <row r="5286" spans="1:25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328"/>
        <v>0-12 Months</v>
      </c>
      <c r="W5286">
        <f t="shared" si="329"/>
        <v>1</v>
      </c>
      <c r="X5286">
        <f t="shared" si="330"/>
        <v>45.7</v>
      </c>
      <c r="Y5286" t="str">
        <f t="shared" si="331"/>
        <v>Senior Citizen</v>
      </c>
    </row>
    <row r="5287" spans="1:25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328"/>
        <v>61-72 Months</v>
      </c>
      <c r="W5287">
        <f t="shared" si="329"/>
        <v>0</v>
      </c>
      <c r="X5287">
        <f t="shared" si="330"/>
        <v>0</v>
      </c>
      <c r="Y5287" t="str">
        <f t="shared" si="331"/>
        <v>Non-Senior</v>
      </c>
    </row>
    <row r="5288" spans="1:25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328"/>
        <v>0-12 Months</v>
      </c>
      <c r="W5288">
        <f t="shared" si="329"/>
        <v>1</v>
      </c>
      <c r="X5288">
        <f t="shared" si="330"/>
        <v>74.5</v>
      </c>
      <c r="Y5288" t="str">
        <f t="shared" si="331"/>
        <v>Non-Senior</v>
      </c>
    </row>
    <row r="5289" spans="1:25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7082</v>
      </c>
      <c r="J5289" t="s">
        <v>7084</v>
      </c>
      <c r="K5289" t="s">
        <v>46</v>
      </c>
      <c r="L5289" t="s">
        <v>7084</v>
      </c>
      <c r="M5289" t="s">
        <v>7084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328"/>
        <v>0-12 Months</v>
      </c>
      <c r="W5289">
        <f t="shared" si="329"/>
        <v>0</v>
      </c>
      <c r="X5289">
        <f t="shared" si="330"/>
        <v>0</v>
      </c>
      <c r="Y5289" t="str">
        <f t="shared" si="331"/>
        <v>Non-Senior</v>
      </c>
    </row>
    <row r="5290" spans="1:25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328"/>
        <v>0-12 Months</v>
      </c>
      <c r="W5290">
        <f t="shared" si="329"/>
        <v>1</v>
      </c>
      <c r="X5290">
        <f t="shared" si="330"/>
        <v>79.650000000000006</v>
      </c>
      <c r="Y5290" t="str">
        <f t="shared" si="331"/>
        <v>Non-Senior</v>
      </c>
    </row>
    <row r="5291" spans="1:25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328"/>
        <v>61-72 Months</v>
      </c>
      <c r="W5291">
        <f t="shared" si="329"/>
        <v>0</v>
      </c>
      <c r="X5291">
        <f t="shared" si="330"/>
        <v>0</v>
      </c>
      <c r="Y5291" t="str">
        <f t="shared" si="331"/>
        <v>Non-Senior</v>
      </c>
    </row>
    <row r="5292" spans="1:25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328"/>
        <v>61-72 Months</v>
      </c>
      <c r="W5292">
        <f t="shared" si="329"/>
        <v>0</v>
      </c>
      <c r="X5292">
        <f t="shared" si="330"/>
        <v>0</v>
      </c>
      <c r="Y5292" t="str">
        <f t="shared" si="331"/>
        <v>Non-Senior</v>
      </c>
    </row>
    <row r="5293" spans="1:25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328"/>
        <v>61-72 Months</v>
      </c>
      <c r="W5293">
        <f t="shared" si="329"/>
        <v>0</v>
      </c>
      <c r="X5293">
        <f t="shared" si="330"/>
        <v>0</v>
      </c>
      <c r="Y5293" t="str">
        <f t="shared" si="331"/>
        <v>Non-Senior</v>
      </c>
    </row>
    <row r="5294" spans="1:25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328"/>
        <v>37-48 Months</v>
      </c>
      <c r="W5294">
        <f t="shared" si="329"/>
        <v>0</v>
      </c>
      <c r="X5294">
        <f t="shared" si="330"/>
        <v>0</v>
      </c>
      <c r="Y5294" t="str">
        <f t="shared" si="331"/>
        <v>Non-Senior</v>
      </c>
    </row>
    <row r="5295" spans="1:25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328"/>
        <v>25-36 Months</v>
      </c>
      <c r="W5295">
        <f t="shared" si="329"/>
        <v>0</v>
      </c>
      <c r="X5295">
        <f t="shared" si="330"/>
        <v>0</v>
      </c>
      <c r="Y5295" t="str">
        <f t="shared" si="331"/>
        <v>Non-Senior</v>
      </c>
    </row>
    <row r="5296" spans="1:25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328"/>
        <v>49-60 Months</v>
      </c>
      <c r="W5296">
        <f t="shared" si="329"/>
        <v>0</v>
      </c>
      <c r="X5296">
        <f t="shared" si="330"/>
        <v>0</v>
      </c>
      <c r="Y5296" t="str">
        <f t="shared" si="331"/>
        <v>Non-Senior</v>
      </c>
    </row>
    <row r="5297" spans="1:25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328"/>
        <v>49-60 Months</v>
      </c>
      <c r="W5297">
        <f t="shared" si="329"/>
        <v>0</v>
      </c>
      <c r="X5297">
        <f t="shared" si="330"/>
        <v>0</v>
      </c>
      <c r="Y5297" t="str">
        <f t="shared" si="331"/>
        <v>Senior Citizen</v>
      </c>
    </row>
    <row r="5298" spans="1:25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328"/>
        <v>49-60 Months</v>
      </c>
      <c r="W5298">
        <f t="shared" si="329"/>
        <v>0</v>
      </c>
      <c r="X5298">
        <f t="shared" si="330"/>
        <v>0</v>
      </c>
      <c r="Y5298" t="str">
        <f t="shared" si="331"/>
        <v>Non-Senior</v>
      </c>
    </row>
    <row r="5299" spans="1:25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7082</v>
      </c>
      <c r="J5299" t="s">
        <v>7084</v>
      </c>
      <c r="K5299" t="s">
        <v>46</v>
      </c>
      <c r="L5299" t="s">
        <v>7084</v>
      </c>
      <c r="M5299" t="s">
        <v>7084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328"/>
        <v>49-60 Months</v>
      </c>
      <c r="W5299">
        <f t="shared" si="329"/>
        <v>0</v>
      </c>
      <c r="X5299">
        <f t="shared" si="330"/>
        <v>0</v>
      </c>
      <c r="Y5299" t="str">
        <f t="shared" si="331"/>
        <v>Non-Senior</v>
      </c>
    </row>
    <row r="5300" spans="1:25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328"/>
        <v>49-60 Months</v>
      </c>
      <c r="W5300">
        <f t="shared" si="329"/>
        <v>0</v>
      </c>
      <c r="X5300">
        <f t="shared" si="330"/>
        <v>0</v>
      </c>
      <c r="Y5300" t="str">
        <f t="shared" si="331"/>
        <v>Senior Citizen</v>
      </c>
    </row>
    <row r="5301" spans="1:25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328"/>
        <v>25-36 Months</v>
      </c>
      <c r="W5301">
        <f t="shared" si="329"/>
        <v>1</v>
      </c>
      <c r="X5301">
        <f t="shared" si="330"/>
        <v>101.3</v>
      </c>
      <c r="Y5301" t="str">
        <f t="shared" si="331"/>
        <v>Senior Citizen</v>
      </c>
    </row>
    <row r="5302" spans="1:25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328"/>
        <v>0-12 Months</v>
      </c>
      <c r="W5302">
        <f t="shared" si="329"/>
        <v>1</v>
      </c>
      <c r="X5302">
        <f t="shared" si="330"/>
        <v>80.05</v>
      </c>
      <c r="Y5302" t="str">
        <f t="shared" si="331"/>
        <v>Non-Senior</v>
      </c>
    </row>
    <row r="5303" spans="1:25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328"/>
        <v>25-36 Months</v>
      </c>
      <c r="W5303">
        <f t="shared" si="329"/>
        <v>1</v>
      </c>
      <c r="X5303">
        <f t="shared" si="330"/>
        <v>89.2</v>
      </c>
      <c r="Y5303" t="str">
        <f t="shared" si="331"/>
        <v>Non-Senior</v>
      </c>
    </row>
    <row r="5304" spans="1:25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328"/>
        <v>0-12 Months</v>
      </c>
      <c r="W5304">
        <f t="shared" si="329"/>
        <v>0</v>
      </c>
      <c r="X5304">
        <f t="shared" si="330"/>
        <v>0</v>
      </c>
      <c r="Y5304" t="str">
        <f t="shared" si="331"/>
        <v>Non-Senior</v>
      </c>
    </row>
    <row r="5305" spans="1:25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328"/>
        <v>37-48 Months</v>
      </c>
      <c r="W5305">
        <f t="shared" si="329"/>
        <v>0</v>
      </c>
      <c r="X5305">
        <f t="shared" si="330"/>
        <v>0</v>
      </c>
      <c r="Y5305" t="str">
        <f t="shared" si="331"/>
        <v>Non-Senior</v>
      </c>
    </row>
    <row r="5306" spans="1:25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328"/>
        <v>13-24 Months</v>
      </c>
      <c r="W5306">
        <f t="shared" si="329"/>
        <v>0</v>
      </c>
      <c r="X5306">
        <f t="shared" si="330"/>
        <v>0</v>
      </c>
      <c r="Y5306" t="str">
        <f t="shared" si="331"/>
        <v>Senior Citizen</v>
      </c>
    </row>
    <row r="5307" spans="1:25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328"/>
        <v>37-48 Months</v>
      </c>
      <c r="W5307">
        <f t="shared" si="329"/>
        <v>0</v>
      </c>
      <c r="X5307">
        <f t="shared" si="330"/>
        <v>0</v>
      </c>
      <c r="Y5307" t="str">
        <f t="shared" si="331"/>
        <v>Non-Senior</v>
      </c>
    </row>
    <row r="5308" spans="1:25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328"/>
        <v>13-24 Months</v>
      </c>
      <c r="W5308">
        <f t="shared" si="329"/>
        <v>1</v>
      </c>
      <c r="X5308">
        <f t="shared" si="330"/>
        <v>83.65</v>
      </c>
      <c r="Y5308" t="str">
        <f t="shared" si="331"/>
        <v>Non-Senior</v>
      </c>
    </row>
    <row r="5309" spans="1:25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328"/>
        <v>0-12 Months</v>
      </c>
      <c r="W5309">
        <f t="shared" si="329"/>
        <v>0</v>
      </c>
      <c r="X5309">
        <f t="shared" si="330"/>
        <v>0</v>
      </c>
      <c r="Y5309" t="str">
        <f t="shared" si="331"/>
        <v>Non-Senior</v>
      </c>
    </row>
    <row r="5310" spans="1:25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328"/>
        <v>61-72 Months</v>
      </c>
      <c r="W5310">
        <f t="shared" si="329"/>
        <v>0</v>
      </c>
      <c r="X5310">
        <f t="shared" si="330"/>
        <v>0</v>
      </c>
      <c r="Y5310" t="str">
        <f t="shared" si="331"/>
        <v>Non-Senior</v>
      </c>
    </row>
    <row r="5311" spans="1:25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7082</v>
      </c>
      <c r="J5311" t="s">
        <v>7084</v>
      </c>
      <c r="K5311" t="s">
        <v>46</v>
      </c>
      <c r="L5311" t="s">
        <v>7084</v>
      </c>
      <c r="M5311" t="s">
        <v>7084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328"/>
        <v>61-72 Months</v>
      </c>
      <c r="W5311">
        <f t="shared" si="329"/>
        <v>0</v>
      </c>
      <c r="X5311">
        <f t="shared" si="330"/>
        <v>0</v>
      </c>
      <c r="Y5311" t="str">
        <f t="shared" si="331"/>
        <v>Non-Senior</v>
      </c>
    </row>
    <row r="5312" spans="1:25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328"/>
        <v>37-48 Months</v>
      </c>
      <c r="W5312">
        <f t="shared" si="329"/>
        <v>0</v>
      </c>
      <c r="X5312">
        <f t="shared" si="330"/>
        <v>0</v>
      </c>
      <c r="Y5312" t="str">
        <f t="shared" si="331"/>
        <v>Non-Senior</v>
      </c>
    </row>
    <row r="5313" spans="1:25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7082</v>
      </c>
      <c r="J5313" t="s">
        <v>7084</v>
      </c>
      <c r="K5313" t="s">
        <v>46</v>
      </c>
      <c r="L5313" t="s">
        <v>7084</v>
      </c>
      <c r="M5313" t="s">
        <v>7084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328"/>
        <v>0-12 Months</v>
      </c>
      <c r="W5313">
        <f t="shared" si="329"/>
        <v>1</v>
      </c>
      <c r="X5313">
        <f t="shared" si="330"/>
        <v>19.5</v>
      </c>
      <c r="Y5313" t="str">
        <f t="shared" si="331"/>
        <v>Non-Senior</v>
      </c>
    </row>
    <row r="5314" spans="1:25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si="328"/>
        <v>0-12 Months</v>
      </c>
      <c r="W5314">
        <f t="shared" si="329"/>
        <v>1</v>
      </c>
      <c r="X5314">
        <f t="shared" si="330"/>
        <v>51.25</v>
      </c>
      <c r="Y5314" t="str">
        <f t="shared" si="331"/>
        <v>Non-Senior</v>
      </c>
    </row>
    <row r="5315" spans="1:25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ref="V5315:V5378" si="332">IF(F5315&lt;=12,"0-12 Months",IF(F5315&lt;=24,"13-24 Months",IF(F5315&lt;=36,"25-36 Months",IF(F5315&lt;=48,"37-48 Months",IF(F5315&lt;=60,"49-60 Months","61-72 Months")))))</f>
        <v>49-60 Months</v>
      </c>
      <c r="W5315">
        <f t="shared" ref="W5315:W5378" si="333">IF(U5315="Yes",1,0)</f>
        <v>0</v>
      </c>
      <c r="X5315">
        <f t="shared" ref="X5315:X5378" si="334">IF(U5315="Yes",S5315,0)</f>
        <v>0</v>
      </c>
      <c r="Y5315" t="str">
        <f t="shared" ref="Y5315:Y5378" si="335">IF(C5315=1,"Senior Citizen","Non-Senior")</f>
        <v>Non-Senior</v>
      </c>
    </row>
    <row r="5316" spans="1:25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332"/>
        <v>61-72 Months</v>
      </c>
      <c r="W5316">
        <f t="shared" si="333"/>
        <v>0</v>
      </c>
      <c r="X5316">
        <f t="shared" si="334"/>
        <v>0</v>
      </c>
      <c r="Y5316" t="str">
        <f t="shared" si="335"/>
        <v>Non-Senior</v>
      </c>
    </row>
    <row r="5317" spans="1:25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332"/>
        <v>0-12 Months</v>
      </c>
      <c r="W5317">
        <f t="shared" si="333"/>
        <v>1</v>
      </c>
      <c r="X5317">
        <f t="shared" si="334"/>
        <v>45.6</v>
      </c>
      <c r="Y5317" t="str">
        <f t="shared" si="335"/>
        <v>Non-Senior</v>
      </c>
    </row>
    <row r="5318" spans="1:25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332"/>
        <v>49-60 Months</v>
      </c>
      <c r="W5318">
        <f t="shared" si="333"/>
        <v>0</v>
      </c>
      <c r="X5318">
        <f t="shared" si="334"/>
        <v>0</v>
      </c>
      <c r="Y5318" t="str">
        <f t="shared" si="335"/>
        <v>Non-Senior</v>
      </c>
    </row>
    <row r="5319" spans="1:25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332"/>
        <v>0-12 Months</v>
      </c>
      <c r="W5319">
        <f t="shared" si="333"/>
        <v>1</v>
      </c>
      <c r="X5319">
        <f t="shared" si="334"/>
        <v>49.65</v>
      </c>
      <c r="Y5319" t="str">
        <f t="shared" si="335"/>
        <v>Non-Senior</v>
      </c>
    </row>
    <row r="5320" spans="1:25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332"/>
        <v>25-36 Months</v>
      </c>
      <c r="W5320">
        <f t="shared" si="333"/>
        <v>0</v>
      </c>
      <c r="X5320">
        <f t="shared" si="334"/>
        <v>0</v>
      </c>
      <c r="Y5320" t="str">
        <f t="shared" si="335"/>
        <v>Non-Senior</v>
      </c>
    </row>
    <row r="5321" spans="1:25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332"/>
        <v>61-72 Months</v>
      </c>
      <c r="W5321">
        <f t="shared" si="333"/>
        <v>0</v>
      </c>
      <c r="X5321">
        <f t="shared" si="334"/>
        <v>0</v>
      </c>
      <c r="Y5321" t="str">
        <f t="shared" si="335"/>
        <v>Senior Citizen</v>
      </c>
    </row>
    <row r="5322" spans="1:25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332"/>
        <v>37-48 Months</v>
      </c>
      <c r="W5322">
        <f t="shared" si="333"/>
        <v>0</v>
      </c>
      <c r="X5322">
        <f t="shared" si="334"/>
        <v>0</v>
      </c>
      <c r="Y5322" t="str">
        <f t="shared" si="335"/>
        <v>Non-Senior</v>
      </c>
    </row>
    <row r="5323" spans="1:25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332"/>
        <v>61-72 Months</v>
      </c>
      <c r="W5323">
        <f t="shared" si="333"/>
        <v>0</v>
      </c>
      <c r="X5323">
        <f t="shared" si="334"/>
        <v>0</v>
      </c>
      <c r="Y5323" t="str">
        <f t="shared" si="335"/>
        <v>Non-Senior</v>
      </c>
    </row>
    <row r="5324" spans="1:25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332"/>
        <v>25-36 Months</v>
      </c>
      <c r="W5324">
        <f t="shared" si="333"/>
        <v>0</v>
      </c>
      <c r="X5324">
        <f t="shared" si="334"/>
        <v>0</v>
      </c>
      <c r="Y5324" t="str">
        <f t="shared" si="335"/>
        <v>Non-Senior</v>
      </c>
    </row>
    <row r="5325" spans="1:25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332"/>
        <v>49-60 Months</v>
      </c>
      <c r="W5325">
        <f t="shared" si="333"/>
        <v>0</v>
      </c>
      <c r="X5325">
        <f t="shared" si="334"/>
        <v>0</v>
      </c>
      <c r="Y5325" t="str">
        <f t="shared" si="335"/>
        <v>Non-Senior</v>
      </c>
    </row>
    <row r="5326" spans="1:25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332"/>
        <v>13-24 Months</v>
      </c>
      <c r="W5326">
        <f t="shared" si="333"/>
        <v>0</v>
      </c>
      <c r="X5326">
        <f t="shared" si="334"/>
        <v>0</v>
      </c>
      <c r="Y5326" t="str">
        <f t="shared" si="335"/>
        <v>Non-Senior</v>
      </c>
    </row>
    <row r="5327" spans="1:25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7082</v>
      </c>
      <c r="J5327" t="s">
        <v>7084</v>
      </c>
      <c r="K5327" t="s">
        <v>46</v>
      </c>
      <c r="L5327" t="s">
        <v>7084</v>
      </c>
      <c r="M5327" t="s">
        <v>7084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332"/>
        <v>0-12 Months</v>
      </c>
      <c r="W5327">
        <f t="shared" si="333"/>
        <v>0</v>
      </c>
      <c r="X5327">
        <f t="shared" si="334"/>
        <v>0</v>
      </c>
      <c r="Y5327" t="str">
        <f t="shared" si="335"/>
        <v>Non-Senior</v>
      </c>
    </row>
    <row r="5328" spans="1:25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7082</v>
      </c>
      <c r="J5328" t="s">
        <v>7084</v>
      </c>
      <c r="K5328" t="s">
        <v>46</v>
      </c>
      <c r="L5328" t="s">
        <v>7084</v>
      </c>
      <c r="M5328" t="s">
        <v>7084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332"/>
        <v>13-24 Months</v>
      </c>
      <c r="W5328">
        <f t="shared" si="333"/>
        <v>1</v>
      </c>
      <c r="X5328">
        <f t="shared" si="334"/>
        <v>20</v>
      </c>
      <c r="Y5328" t="str">
        <f t="shared" si="335"/>
        <v>Non-Senior</v>
      </c>
    </row>
    <row r="5329" spans="1:25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7082</v>
      </c>
      <c r="J5329" t="s">
        <v>7084</v>
      </c>
      <c r="K5329" t="s">
        <v>46</v>
      </c>
      <c r="L5329" t="s">
        <v>7084</v>
      </c>
      <c r="M5329" t="s">
        <v>7084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332"/>
        <v>25-36 Months</v>
      </c>
      <c r="W5329">
        <f t="shared" si="333"/>
        <v>0</v>
      </c>
      <c r="X5329">
        <f t="shared" si="334"/>
        <v>0</v>
      </c>
      <c r="Y5329" t="str">
        <f t="shared" si="335"/>
        <v>Non-Senior</v>
      </c>
    </row>
    <row r="5330" spans="1:25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332"/>
        <v>49-60 Months</v>
      </c>
      <c r="W5330">
        <f t="shared" si="333"/>
        <v>0</v>
      </c>
      <c r="X5330">
        <f t="shared" si="334"/>
        <v>0</v>
      </c>
      <c r="Y5330" t="str">
        <f t="shared" si="335"/>
        <v>Non-Senior</v>
      </c>
    </row>
    <row r="5331" spans="1:25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332"/>
        <v>25-36 Months</v>
      </c>
      <c r="W5331">
        <f t="shared" si="333"/>
        <v>1</v>
      </c>
      <c r="X5331">
        <f t="shared" si="334"/>
        <v>34</v>
      </c>
      <c r="Y5331" t="str">
        <f t="shared" si="335"/>
        <v>Non-Senior</v>
      </c>
    </row>
    <row r="5332" spans="1:25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332"/>
        <v>0-12 Months</v>
      </c>
      <c r="W5332">
        <f t="shared" si="333"/>
        <v>1</v>
      </c>
      <c r="X5332">
        <f t="shared" si="334"/>
        <v>92.5</v>
      </c>
      <c r="Y5332" t="str">
        <f t="shared" si="335"/>
        <v>Senior Citizen</v>
      </c>
    </row>
    <row r="5333" spans="1:25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332"/>
        <v>37-48 Months</v>
      </c>
      <c r="W5333">
        <f t="shared" si="333"/>
        <v>0</v>
      </c>
      <c r="X5333">
        <f t="shared" si="334"/>
        <v>0</v>
      </c>
      <c r="Y5333" t="str">
        <f t="shared" si="335"/>
        <v>Non-Senior</v>
      </c>
    </row>
    <row r="5334" spans="1:25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332"/>
        <v>37-48 Months</v>
      </c>
      <c r="W5334">
        <f t="shared" si="333"/>
        <v>0</v>
      </c>
      <c r="X5334">
        <f t="shared" si="334"/>
        <v>0</v>
      </c>
      <c r="Y5334" t="str">
        <f t="shared" si="335"/>
        <v>Non-Senior</v>
      </c>
    </row>
    <row r="5335" spans="1:25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332"/>
        <v>13-24 Months</v>
      </c>
      <c r="W5335">
        <f t="shared" si="333"/>
        <v>1</v>
      </c>
      <c r="X5335">
        <f t="shared" si="334"/>
        <v>88.35</v>
      </c>
      <c r="Y5335" t="str">
        <f t="shared" si="335"/>
        <v>Non-Senior</v>
      </c>
    </row>
    <row r="5336" spans="1:25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332"/>
        <v>49-60 Months</v>
      </c>
      <c r="W5336">
        <f t="shared" si="333"/>
        <v>1</v>
      </c>
      <c r="X5336">
        <f t="shared" si="334"/>
        <v>107.95</v>
      </c>
      <c r="Y5336" t="str">
        <f t="shared" si="335"/>
        <v>Non-Senior</v>
      </c>
    </row>
    <row r="5337" spans="1:25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332"/>
        <v>61-72 Months</v>
      </c>
      <c r="W5337">
        <f t="shared" si="333"/>
        <v>0</v>
      </c>
      <c r="X5337">
        <f t="shared" si="334"/>
        <v>0</v>
      </c>
      <c r="Y5337" t="str">
        <f t="shared" si="335"/>
        <v>Non-Senior</v>
      </c>
    </row>
    <row r="5338" spans="1:25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7082</v>
      </c>
      <c r="J5338" t="s">
        <v>7084</v>
      </c>
      <c r="K5338" t="s">
        <v>46</v>
      </c>
      <c r="L5338" t="s">
        <v>7084</v>
      </c>
      <c r="M5338" t="s">
        <v>7084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332"/>
        <v>0-12 Months</v>
      </c>
      <c r="W5338">
        <f t="shared" si="333"/>
        <v>0</v>
      </c>
      <c r="X5338">
        <f t="shared" si="334"/>
        <v>0</v>
      </c>
      <c r="Y5338" t="str">
        <f t="shared" si="335"/>
        <v>Non-Senior</v>
      </c>
    </row>
    <row r="5339" spans="1:25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332"/>
        <v>13-24 Months</v>
      </c>
      <c r="W5339">
        <f t="shared" si="333"/>
        <v>0</v>
      </c>
      <c r="X5339">
        <f t="shared" si="334"/>
        <v>0</v>
      </c>
      <c r="Y5339" t="str">
        <f t="shared" si="335"/>
        <v>Non-Senior</v>
      </c>
    </row>
    <row r="5340" spans="1:25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332"/>
        <v>37-48 Months</v>
      </c>
      <c r="W5340">
        <f t="shared" si="333"/>
        <v>0</v>
      </c>
      <c r="X5340">
        <f t="shared" si="334"/>
        <v>0</v>
      </c>
      <c r="Y5340" t="str">
        <f t="shared" si="335"/>
        <v>Non-Senior</v>
      </c>
    </row>
    <row r="5341" spans="1:25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332"/>
        <v>25-36 Months</v>
      </c>
      <c r="W5341">
        <f t="shared" si="333"/>
        <v>0</v>
      </c>
      <c r="X5341">
        <f t="shared" si="334"/>
        <v>0</v>
      </c>
      <c r="Y5341" t="str">
        <f t="shared" si="335"/>
        <v>Non-Senior</v>
      </c>
    </row>
    <row r="5342" spans="1:25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332"/>
        <v>37-48 Months</v>
      </c>
      <c r="W5342">
        <f t="shared" si="333"/>
        <v>0</v>
      </c>
      <c r="X5342">
        <f t="shared" si="334"/>
        <v>0</v>
      </c>
      <c r="Y5342" t="str">
        <f t="shared" si="335"/>
        <v>Non-Senior</v>
      </c>
    </row>
    <row r="5343" spans="1:25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332"/>
        <v>0-12 Months</v>
      </c>
      <c r="W5343">
        <f t="shared" si="333"/>
        <v>1</v>
      </c>
      <c r="X5343">
        <f t="shared" si="334"/>
        <v>74.45</v>
      </c>
      <c r="Y5343" t="str">
        <f t="shared" si="335"/>
        <v>Senior Citizen</v>
      </c>
    </row>
    <row r="5344" spans="1:25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332"/>
        <v>37-48 Months</v>
      </c>
      <c r="W5344">
        <f t="shared" si="333"/>
        <v>1</v>
      </c>
      <c r="X5344">
        <f t="shared" si="334"/>
        <v>64.75</v>
      </c>
      <c r="Y5344" t="str">
        <f t="shared" si="335"/>
        <v>Non-Senior</v>
      </c>
    </row>
    <row r="5345" spans="1:25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332"/>
        <v>49-60 Months</v>
      </c>
      <c r="W5345">
        <f t="shared" si="333"/>
        <v>0</v>
      </c>
      <c r="X5345">
        <f t="shared" si="334"/>
        <v>0</v>
      </c>
      <c r="Y5345" t="str">
        <f t="shared" si="335"/>
        <v>Non-Senior</v>
      </c>
    </row>
    <row r="5346" spans="1:25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332"/>
        <v>61-72 Months</v>
      </c>
      <c r="W5346">
        <f t="shared" si="333"/>
        <v>0</v>
      </c>
      <c r="X5346">
        <f t="shared" si="334"/>
        <v>0</v>
      </c>
      <c r="Y5346" t="str">
        <f t="shared" si="335"/>
        <v>Non-Senior</v>
      </c>
    </row>
    <row r="5347" spans="1:25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332"/>
        <v>25-36 Months</v>
      </c>
      <c r="W5347">
        <f t="shared" si="333"/>
        <v>1</v>
      </c>
      <c r="X5347">
        <f t="shared" si="334"/>
        <v>89.8</v>
      </c>
      <c r="Y5347" t="str">
        <f t="shared" si="335"/>
        <v>Non-Senior</v>
      </c>
    </row>
    <row r="5348" spans="1:25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332"/>
        <v>61-72 Months</v>
      </c>
      <c r="W5348">
        <f t="shared" si="333"/>
        <v>0</v>
      </c>
      <c r="X5348">
        <f t="shared" si="334"/>
        <v>0</v>
      </c>
      <c r="Y5348" t="str">
        <f t="shared" si="335"/>
        <v>Non-Senior</v>
      </c>
    </row>
    <row r="5349" spans="1:25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332"/>
        <v>61-72 Months</v>
      </c>
      <c r="W5349">
        <f t="shared" si="333"/>
        <v>0</v>
      </c>
      <c r="X5349">
        <f t="shared" si="334"/>
        <v>0</v>
      </c>
      <c r="Y5349" t="str">
        <f t="shared" si="335"/>
        <v>Non-Senior</v>
      </c>
    </row>
    <row r="5350" spans="1:25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332"/>
        <v>25-36 Months</v>
      </c>
      <c r="W5350">
        <f t="shared" si="333"/>
        <v>0</v>
      </c>
      <c r="X5350">
        <f t="shared" si="334"/>
        <v>0</v>
      </c>
      <c r="Y5350" t="str">
        <f t="shared" si="335"/>
        <v>Non-Senior</v>
      </c>
    </row>
    <row r="5351" spans="1:25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332"/>
        <v>61-72 Months</v>
      </c>
      <c r="W5351">
        <f t="shared" si="333"/>
        <v>0</v>
      </c>
      <c r="X5351">
        <f t="shared" si="334"/>
        <v>0</v>
      </c>
      <c r="Y5351" t="str">
        <f t="shared" si="335"/>
        <v>Non-Senior</v>
      </c>
    </row>
    <row r="5352" spans="1:25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332"/>
        <v>49-60 Months</v>
      </c>
      <c r="W5352">
        <f t="shared" si="333"/>
        <v>0</v>
      </c>
      <c r="X5352">
        <f t="shared" si="334"/>
        <v>0</v>
      </c>
      <c r="Y5352" t="str">
        <f t="shared" si="335"/>
        <v>Non-Senior</v>
      </c>
    </row>
    <row r="5353" spans="1:25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332"/>
        <v>0-12 Months</v>
      </c>
      <c r="W5353">
        <f t="shared" si="333"/>
        <v>1</v>
      </c>
      <c r="X5353">
        <f t="shared" si="334"/>
        <v>95.5</v>
      </c>
      <c r="Y5353" t="str">
        <f t="shared" si="335"/>
        <v>Non-Senior</v>
      </c>
    </row>
    <row r="5354" spans="1:25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332"/>
        <v>25-36 Months</v>
      </c>
      <c r="W5354">
        <f t="shared" si="333"/>
        <v>0</v>
      </c>
      <c r="X5354">
        <f t="shared" si="334"/>
        <v>0</v>
      </c>
      <c r="Y5354" t="str">
        <f t="shared" si="335"/>
        <v>Non-Senior</v>
      </c>
    </row>
    <row r="5355" spans="1:25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332"/>
        <v>13-24 Months</v>
      </c>
      <c r="W5355">
        <f t="shared" si="333"/>
        <v>0</v>
      </c>
      <c r="X5355">
        <f t="shared" si="334"/>
        <v>0</v>
      </c>
      <c r="Y5355" t="str">
        <f t="shared" si="335"/>
        <v>Non-Senior</v>
      </c>
    </row>
    <row r="5356" spans="1:25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332"/>
        <v>0-12 Months</v>
      </c>
      <c r="W5356">
        <f t="shared" si="333"/>
        <v>0</v>
      </c>
      <c r="X5356">
        <f t="shared" si="334"/>
        <v>0</v>
      </c>
      <c r="Y5356" t="str">
        <f t="shared" si="335"/>
        <v>Non-Senior</v>
      </c>
    </row>
    <row r="5357" spans="1:25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332"/>
        <v>37-48 Months</v>
      </c>
      <c r="W5357">
        <f t="shared" si="333"/>
        <v>0</v>
      </c>
      <c r="X5357">
        <f t="shared" si="334"/>
        <v>0</v>
      </c>
      <c r="Y5357" t="str">
        <f t="shared" si="335"/>
        <v>Non-Senior</v>
      </c>
    </row>
    <row r="5358" spans="1:25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332"/>
        <v>25-36 Months</v>
      </c>
      <c r="W5358">
        <f t="shared" si="333"/>
        <v>0</v>
      </c>
      <c r="X5358">
        <f t="shared" si="334"/>
        <v>0</v>
      </c>
      <c r="Y5358" t="str">
        <f t="shared" si="335"/>
        <v>Non-Senior</v>
      </c>
    </row>
    <row r="5359" spans="1:25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7082</v>
      </c>
      <c r="J5359" t="s">
        <v>7084</v>
      </c>
      <c r="K5359" t="s">
        <v>46</v>
      </c>
      <c r="L5359" t="s">
        <v>7084</v>
      </c>
      <c r="M5359" t="s">
        <v>7084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332"/>
        <v>49-60 Months</v>
      </c>
      <c r="W5359">
        <f t="shared" si="333"/>
        <v>0</v>
      </c>
      <c r="X5359">
        <f t="shared" si="334"/>
        <v>0</v>
      </c>
      <c r="Y5359" t="str">
        <f t="shared" si="335"/>
        <v>Non-Senior</v>
      </c>
    </row>
    <row r="5360" spans="1:25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7082</v>
      </c>
      <c r="J5360" t="s">
        <v>7084</v>
      </c>
      <c r="K5360" t="s">
        <v>46</v>
      </c>
      <c r="L5360" t="s">
        <v>7084</v>
      </c>
      <c r="M5360" t="s">
        <v>7084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332"/>
        <v>13-24 Months</v>
      </c>
      <c r="W5360">
        <f t="shared" si="333"/>
        <v>0</v>
      </c>
      <c r="X5360">
        <f t="shared" si="334"/>
        <v>0</v>
      </c>
      <c r="Y5360" t="str">
        <f t="shared" si="335"/>
        <v>Non-Senior</v>
      </c>
    </row>
    <row r="5361" spans="1:25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332"/>
        <v>0-12 Months</v>
      </c>
      <c r="W5361">
        <f t="shared" si="333"/>
        <v>1</v>
      </c>
      <c r="X5361">
        <f t="shared" si="334"/>
        <v>29.65</v>
      </c>
      <c r="Y5361" t="str">
        <f t="shared" si="335"/>
        <v>Senior Citizen</v>
      </c>
    </row>
    <row r="5362" spans="1:25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332"/>
        <v>0-12 Months</v>
      </c>
      <c r="W5362">
        <f t="shared" si="333"/>
        <v>1</v>
      </c>
      <c r="X5362">
        <f t="shared" si="334"/>
        <v>84.5</v>
      </c>
      <c r="Y5362" t="str">
        <f t="shared" si="335"/>
        <v>Non-Senior</v>
      </c>
    </row>
    <row r="5363" spans="1:25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7082</v>
      </c>
      <c r="J5363" t="s">
        <v>7084</v>
      </c>
      <c r="K5363" t="s">
        <v>46</v>
      </c>
      <c r="L5363" t="s">
        <v>7084</v>
      </c>
      <c r="M5363" t="s">
        <v>7084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332"/>
        <v>0-12 Months</v>
      </c>
      <c r="W5363">
        <f t="shared" si="333"/>
        <v>0</v>
      </c>
      <c r="X5363">
        <f t="shared" si="334"/>
        <v>0</v>
      </c>
      <c r="Y5363" t="str">
        <f t="shared" si="335"/>
        <v>Non-Senior</v>
      </c>
    </row>
    <row r="5364" spans="1:25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7082</v>
      </c>
      <c r="J5364" t="s">
        <v>7084</v>
      </c>
      <c r="K5364" t="s">
        <v>46</v>
      </c>
      <c r="L5364" t="s">
        <v>7084</v>
      </c>
      <c r="M5364" t="s">
        <v>7084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332"/>
        <v>61-72 Months</v>
      </c>
      <c r="W5364">
        <f t="shared" si="333"/>
        <v>0</v>
      </c>
      <c r="X5364">
        <f t="shared" si="334"/>
        <v>0</v>
      </c>
      <c r="Y5364" t="str">
        <f t="shared" si="335"/>
        <v>Non-Senior</v>
      </c>
    </row>
    <row r="5365" spans="1:25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7082</v>
      </c>
      <c r="J5365" t="s">
        <v>7084</v>
      </c>
      <c r="K5365" t="s">
        <v>46</v>
      </c>
      <c r="L5365" t="s">
        <v>7084</v>
      </c>
      <c r="M5365" t="s">
        <v>7084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332"/>
        <v>61-72 Months</v>
      </c>
      <c r="W5365">
        <f t="shared" si="333"/>
        <v>0</v>
      </c>
      <c r="X5365">
        <f t="shared" si="334"/>
        <v>0</v>
      </c>
      <c r="Y5365" t="str">
        <f t="shared" si="335"/>
        <v>Non-Senior</v>
      </c>
    </row>
    <row r="5366" spans="1:25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332"/>
        <v>13-24 Months</v>
      </c>
      <c r="W5366">
        <f t="shared" si="333"/>
        <v>1</v>
      </c>
      <c r="X5366">
        <f t="shared" si="334"/>
        <v>90.7</v>
      </c>
      <c r="Y5366" t="str">
        <f t="shared" si="335"/>
        <v>Non-Senior</v>
      </c>
    </row>
    <row r="5367" spans="1:25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7082</v>
      </c>
      <c r="J5367" t="s">
        <v>7084</v>
      </c>
      <c r="K5367" t="s">
        <v>46</v>
      </c>
      <c r="L5367" t="s">
        <v>7084</v>
      </c>
      <c r="M5367" t="s">
        <v>7084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332"/>
        <v>61-72 Months</v>
      </c>
      <c r="W5367">
        <f t="shared" si="333"/>
        <v>0</v>
      </c>
      <c r="X5367">
        <f t="shared" si="334"/>
        <v>0</v>
      </c>
      <c r="Y5367" t="str">
        <f t="shared" si="335"/>
        <v>Non-Senior</v>
      </c>
    </row>
    <row r="5368" spans="1:25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332"/>
        <v>61-72 Months</v>
      </c>
      <c r="W5368">
        <f t="shared" si="333"/>
        <v>0</v>
      </c>
      <c r="X5368">
        <f t="shared" si="334"/>
        <v>0</v>
      </c>
      <c r="Y5368" t="str">
        <f t="shared" si="335"/>
        <v>Non-Senior</v>
      </c>
    </row>
    <row r="5369" spans="1:25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332"/>
        <v>61-72 Months</v>
      </c>
      <c r="W5369">
        <f t="shared" si="333"/>
        <v>0</v>
      </c>
      <c r="X5369">
        <f t="shared" si="334"/>
        <v>0</v>
      </c>
      <c r="Y5369" t="str">
        <f t="shared" si="335"/>
        <v>Non-Senior</v>
      </c>
    </row>
    <row r="5370" spans="1:25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332"/>
        <v>0-12 Months</v>
      </c>
      <c r="W5370">
        <f t="shared" si="333"/>
        <v>1</v>
      </c>
      <c r="X5370">
        <f t="shared" si="334"/>
        <v>70.3</v>
      </c>
      <c r="Y5370" t="str">
        <f t="shared" si="335"/>
        <v>Senior Citizen</v>
      </c>
    </row>
    <row r="5371" spans="1:25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7082</v>
      </c>
      <c r="J5371" t="s">
        <v>7084</v>
      </c>
      <c r="K5371" t="s">
        <v>46</v>
      </c>
      <c r="L5371" t="s">
        <v>7084</v>
      </c>
      <c r="M5371" t="s">
        <v>7084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332"/>
        <v>25-36 Months</v>
      </c>
      <c r="W5371">
        <f t="shared" si="333"/>
        <v>0</v>
      </c>
      <c r="X5371">
        <f t="shared" si="334"/>
        <v>0</v>
      </c>
      <c r="Y5371" t="str">
        <f t="shared" si="335"/>
        <v>Non-Senior</v>
      </c>
    </row>
    <row r="5372" spans="1:25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332"/>
        <v>13-24 Months</v>
      </c>
      <c r="W5372">
        <f t="shared" si="333"/>
        <v>0</v>
      </c>
      <c r="X5372">
        <f t="shared" si="334"/>
        <v>0</v>
      </c>
      <c r="Y5372" t="str">
        <f t="shared" si="335"/>
        <v>Non-Senior</v>
      </c>
    </row>
    <row r="5373" spans="1:25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332"/>
        <v>49-60 Months</v>
      </c>
      <c r="W5373">
        <f t="shared" si="333"/>
        <v>1</v>
      </c>
      <c r="X5373">
        <f t="shared" si="334"/>
        <v>103.95</v>
      </c>
      <c r="Y5373" t="str">
        <f t="shared" si="335"/>
        <v>Non-Senior</v>
      </c>
    </row>
    <row r="5374" spans="1:25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332"/>
        <v>49-60 Months</v>
      </c>
      <c r="W5374">
        <f t="shared" si="333"/>
        <v>0</v>
      </c>
      <c r="X5374">
        <f t="shared" si="334"/>
        <v>0</v>
      </c>
      <c r="Y5374" t="str">
        <f t="shared" si="335"/>
        <v>Senior Citizen</v>
      </c>
    </row>
    <row r="5375" spans="1:25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332"/>
        <v>61-72 Months</v>
      </c>
      <c r="W5375">
        <f t="shared" si="333"/>
        <v>0</v>
      </c>
      <c r="X5375">
        <f t="shared" si="334"/>
        <v>0</v>
      </c>
      <c r="Y5375" t="str">
        <f t="shared" si="335"/>
        <v>Non-Senior</v>
      </c>
    </row>
    <row r="5376" spans="1:25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332"/>
        <v>0-12 Months</v>
      </c>
      <c r="W5376">
        <f t="shared" si="333"/>
        <v>1</v>
      </c>
      <c r="X5376">
        <f t="shared" si="334"/>
        <v>74.75</v>
      </c>
      <c r="Y5376" t="str">
        <f t="shared" si="335"/>
        <v>Non-Senior</v>
      </c>
    </row>
    <row r="5377" spans="1:25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332"/>
        <v>0-12 Months</v>
      </c>
      <c r="W5377">
        <f t="shared" si="333"/>
        <v>1</v>
      </c>
      <c r="X5377">
        <f t="shared" si="334"/>
        <v>50.8</v>
      </c>
      <c r="Y5377" t="str">
        <f t="shared" si="335"/>
        <v>Non-Senior</v>
      </c>
    </row>
    <row r="5378" spans="1:25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7082</v>
      </c>
      <c r="J5378" t="s">
        <v>7084</v>
      </c>
      <c r="K5378" t="s">
        <v>46</v>
      </c>
      <c r="L5378" t="s">
        <v>7084</v>
      </c>
      <c r="M5378" t="s">
        <v>7084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si="332"/>
        <v>13-24 Months</v>
      </c>
      <c r="W5378">
        <f t="shared" si="333"/>
        <v>0</v>
      </c>
      <c r="X5378">
        <f t="shared" si="334"/>
        <v>0</v>
      </c>
      <c r="Y5378" t="str">
        <f t="shared" si="335"/>
        <v>Non-Senior</v>
      </c>
    </row>
    <row r="5379" spans="1:25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ref="V5379:V5442" si="336">IF(F5379&lt;=12,"0-12 Months",IF(F5379&lt;=24,"13-24 Months",IF(F5379&lt;=36,"25-36 Months",IF(F5379&lt;=48,"37-48 Months",IF(F5379&lt;=60,"49-60 Months","61-72 Months")))))</f>
        <v>0-12 Months</v>
      </c>
      <c r="W5379">
        <f t="shared" ref="W5379:W5442" si="337">IF(U5379="Yes",1,0)</f>
        <v>0</v>
      </c>
      <c r="X5379">
        <f t="shared" ref="X5379:X5442" si="338">IF(U5379="Yes",S5379,0)</f>
        <v>0</v>
      </c>
      <c r="Y5379" t="str">
        <f t="shared" ref="Y5379:Y5442" si="339">IF(C5379=1,"Senior Citizen","Non-Senior")</f>
        <v>Non-Senior</v>
      </c>
    </row>
    <row r="5380" spans="1:25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336"/>
        <v>49-60 Months</v>
      </c>
      <c r="W5380">
        <f t="shared" si="337"/>
        <v>0</v>
      </c>
      <c r="X5380">
        <f t="shared" si="338"/>
        <v>0</v>
      </c>
      <c r="Y5380" t="str">
        <f t="shared" si="339"/>
        <v>Non-Senior</v>
      </c>
    </row>
    <row r="5381" spans="1:25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336"/>
        <v>49-60 Months</v>
      </c>
      <c r="W5381">
        <f t="shared" si="337"/>
        <v>0</v>
      </c>
      <c r="X5381">
        <f t="shared" si="338"/>
        <v>0</v>
      </c>
      <c r="Y5381" t="str">
        <f t="shared" si="339"/>
        <v>Non-Senior</v>
      </c>
    </row>
    <row r="5382" spans="1:25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336"/>
        <v>0-12 Months</v>
      </c>
      <c r="W5382">
        <f t="shared" si="337"/>
        <v>1</v>
      </c>
      <c r="X5382">
        <f t="shared" si="338"/>
        <v>80.25</v>
      </c>
      <c r="Y5382" t="str">
        <f t="shared" si="339"/>
        <v>Non-Senior</v>
      </c>
    </row>
    <row r="5383" spans="1:25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336"/>
        <v>25-36 Months</v>
      </c>
      <c r="W5383">
        <f t="shared" si="337"/>
        <v>1</v>
      </c>
      <c r="X5383">
        <f t="shared" si="338"/>
        <v>78.900000000000006</v>
      </c>
      <c r="Y5383" t="str">
        <f t="shared" si="339"/>
        <v>Non-Senior</v>
      </c>
    </row>
    <row r="5384" spans="1:25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336"/>
        <v>49-60 Months</v>
      </c>
      <c r="W5384">
        <f t="shared" si="337"/>
        <v>0</v>
      </c>
      <c r="X5384">
        <f t="shared" si="338"/>
        <v>0</v>
      </c>
      <c r="Y5384" t="str">
        <f t="shared" si="339"/>
        <v>Non-Senior</v>
      </c>
    </row>
    <row r="5385" spans="1:25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336"/>
        <v>25-36 Months</v>
      </c>
      <c r="W5385">
        <f t="shared" si="337"/>
        <v>1</v>
      </c>
      <c r="X5385">
        <f t="shared" si="338"/>
        <v>84.75</v>
      </c>
      <c r="Y5385" t="str">
        <f t="shared" si="339"/>
        <v>Non-Senior</v>
      </c>
    </row>
    <row r="5386" spans="1:25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336"/>
        <v>0-12 Months</v>
      </c>
      <c r="W5386">
        <f t="shared" si="337"/>
        <v>0</v>
      </c>
      <c r="X5386">
        <f t="shared" si="338"/>
        <v>0</v>
      </c>
      <c r="Y5386" t="str">
        <f t="shared" si="339"/>
        <v>Non-Senior</v>
      </c>
    </row>
    <row r="5387" spans="1:25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336"/>
        <v>49-60 Months</v>
      </c>
      <c r="W5387">
        <f t="shared" si="337"/>
        <v>1</v>
      </c>
      <c r="X5387">
        <f t="shared" si="338"/>
        <v>85.45</v>
      </c>
      <c r="Y5387" t="str">
        <f t="shared" si="339"/>
        <v>Non-Senior</v>
      </c>
    </row>
    <row r="5388" spans="1:25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336"/>
        <v>0-12 Months</v>
      </c>
      <c r="W5388">
        <f t="shared" si="337"/>
        <v>0</v>
      </c>
      <c r="X5388">
        <f t="shared" si="338"/>
        <v>0</v>
      </c>
      <c r="Y5388" t="str">
        <f t="shared" si="339"/>
        <v>Non-Senior</v>
      </c>
    </row>
    <row r="5389" spans="1:25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336"/>
        <v>0-12 Months</v>
      </c>
      <c r="W5389">
        <f t="shared" si="337"/>
        <v>0</v>
      </c>
      <c r="X5389">
        <f t="shared" si="338"/>
        <v>0</v>
      </c>
      <c r="Y5389" t="str">
        <f t="shared" si="339"/>
        <v>Non-Senior</v>
      </c>
    </row>
    <row r="5390" spans="1:25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7082</v>
      </c>
      <c r="J5390" t="s">
        <v>7084</v>
      </c>
      <c r="K5390" t="s">
        <v>46</v>
      </c>
      <c r="L5390" t="s">
        <v>7084</v>
      </c>
      <c r="M5390" t="s">
        <v>7084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336"/>
        <v>0-12 Months</v>
      </c>
      <c r="W5390">
        <f t="shared" si="337"/>
        <v>1</v>
      </c>
      <c r="X5390">
        <f t="shared" si="338"/>
        <v>19.899999999999999</v>
      </c>
      <c r="Y5390" t="str">
        <f t="shared" si="339"/>
        <v>Non-Senior</v>
      </c>
    </row>
    <row r="5391" spans="1:25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336"/>
        <v>49-60 Months</v>
      </c>
      <c r="W5391">
        <f t="shared" si="337"/>
        <v>0</v>
      </c>
      <c r="X5391">
        <f t="shared" si="338"/>
        <v>0</v>
      </c>
      <c r="Y5391" t="str">
        <f t="shared" si="339"/>
        <v>Non-Senior</v>
      </c>
    </row>
    <row r="5392" spans="1:25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336"/>
        <v>0-12 Months</v>
      </c>
      <c r="W5392">
        <f t="shared" si="337"/>
        <v>1</v>
      </c>
      <c r="X5392">
        <f t="shared" si="338"/>
        <v>99.45</v>
      </c>
      <c r="Y5392" t="str">
        <f t="shared" si="339"/>
        <v>Senior Citizen</v>
      </c>
    </row>
    <row r="5393" spans="1:25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336"/>
        <v>0-12 Months</v>
      </c>
      <c r="W5393">
        <f t="shared" si="337"/>
        <v>0</v>
      </c>
      <c r="X5393">
        <f t="shared" si="338"/>
        <v>0</v>
      </c>
      <c r="Y5393" t="str">
        <f t="shared" si="339"/>
        <v>Non-Senior</v>
      </c>
    </row>
    <row r="5394" spans="1:25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336"/>
        <v>61-72 Months</v>
      </c>
      <c r="W5394">
        <f t="shared" si="337"/>
        <v>0</v>
      </c>
      <c r="X5394">
        <f t="shared" si="338"/>
        <v>0</v>
      </c>
      <c r="Y5394" t="str">
        <f t="shared" si="339"/>
        <v>Non-Senior</v>
      </c>
    </row>
    <row r="5395" spans="1:25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336"/>
        <v>0-12 Months</v>
      </c>
      <c r="W5395">
        <f t="shared" si="337"/>
        <v>1</v>
      </c>
      <c r="X5395">
        <f t="shared" si="338"/>
        <v>70.599999999999994</v>
      </c>
      <c r="Y5395" t="str">
        <f t="shared" si="339"/>
        <v>Non-Senior</v>
      </c>
    </row>
    <row r="5396" spans="1:25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336"/>
        <v>37-48 Months</v>
      </c>
      <c r="W5396">
        <f t="shared" si="337"/>
        <v>0</v>
      </c>
      <c r="X5396">
        <f t="shared" si="338"/>
        <v>0</v>
      </c>
      <c r="Y5396" t="str">
        <f t="shared" si="339"/>
        <v>Non-Senior</v>
      </c>
    </row>
    <row r="5397" spans="1:25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336"/>
        <v>0-12 Months</v>
      </c>
      <c r="W5397">
        <f t="shared" si="337"/>
        <v>1</v>
      </c>
      <c r="X5397">
        <f t="shared" si="338"/>
        <v>81</v>
      </c>
      <c r="Y5397" t="str">
        <f t="shared" si="339"/>
        <v>Non-Senior</v>
      </c>
    </row>
    <row r="5398" spans="1:25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7082</v>
      </c>
      <c r="J5398" t="s">
        <v>7084</v>
      </c>
      <c r="K5398" t="s">
        <v>46</v>
      </c>
      <c r="L5398" t="s">
        <v>7084</v>
      </c>
      <c r="M5398" t="s">
        <v>7084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336"/>
        <v>25-36 Months</v>
      </c>
      <c r="W5398">
        <f t="shared" si="337"/>
        <v>0</v>
      </c>
      <c r="X5398">
        <f t="shared" si="338"/>
        <v>0</v>
      </c>
      <c r="Y5398" t="str">
        <f t="shared" si="339"/>
        <v>Non-Senior</v>
      </c>
    </row>
    <row r="5399" spans="1:25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336"/>
        <v>0-12 Months</v>
      </c>
      <c r="W5399">
        <f t="shared" si="337"/>
        <v>1</v>
      </c>
      <c r="X5399">
        <f t="shared" si="338"/>
        <v>84.85</v>
      </c>
      <c r="Y5399" t="str">
        <f t="shared" si="339"/>
        <v>Non-Senior</v>
      </c>
    </row>
    <row r="5400" spans="1:25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7082</v>
      </c>
      <c r="J5400" t="s">
        <v>7084</v>
      </c>
      <c r="K5400" t="s">
        <v>46</v>
      </c>
      <c r="L5400" t="s">
        <v>7084</v>
      </c>
      <c r="M5400" t="s">
        <v>7084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336"/>
        <v>0-12 Months</v>
      </c>
      <c r="W5400">
        <f t="shared" si="337"/>
        <v>0</v>
      </c>
      <c r="X5400">
        <f t="shared" si="338"/>
        <v>0</v>
      </c>
      <c r="Y5400" t="str">
        <f t="shared" si="339"/>
        <v>Non-Senior</v>
      </c>
    </row>
    <row r="5401" spans="1:25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7082</v>
      </c>
      <c r="J5401" t="s">
        <v>7084</v>
      </c>
      <c r="K5401" t="s">
        <v>46</v>
      </c>
      <c r="L5401" t="s">
        <v>7084</v>
      </c>
      <c r="M5401" t="s">
        <v>7084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336"/>
        <v>49-60 Months</v>
      </c>
      <c r="W5401">
        <f t="shared" si="337"/>
        <v>0</v>
      </c>
      <c r="X5401">
        <f t="shared" si="338"/>
        <v>0</v>
      </c>
      <c r="Y5401" t="str">
        <f t="shared" si="339"/>
        <v>Non-Senior</v>
      </c>
    </row>
    <row r="5402" spans="1:25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336"/>
        <v>25-36 Months</v>
      </c>
      <c r="W5402">
        <f t="shared" si="337"/>
        <v>0</v>
      </c>
      <c r="X5402">
        <f t="shared" si="338"/>
        <v>0</v>
      </c>
      <c r="Y5402" t="str">
        <f t="shared" si="339"/>
        <v>Non-Senior</v>
      </c>
    </row>
    <row r="5403" spans="1:25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7082</v>
      </c>
      <c r="J5403" t="s">
        <v>7084</v>
      </c>
      <c r="K5403" t="s">
        <v>46</v>
      </c>
      <c r="L5403" t="s">
        <v>7084</v>
      </c>
      <c r="M5403" t="s">
        <v>7084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336"/>
        <v>25-36 Months</v>
      </c>
      <c r="W5403">
        <f t="shared" si="337"/>
        <v>0</v>
      </c>
      <c r="X5403">
        <f t="shared" si="338"/>
        <v>0</v>
      </c>
      <c r="Y5403" t="str">
        <f t="shared" si="339"/>
        <v>Non-Senior</v>
      </c>
    </row>
    <row r="5404" spans="1:25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7082</v>
      </c>
      <c r="J5404" t="s">
        <v>7084</v>
      </c>
      <c r="K5404" t="s">
        <v>46</v>
      </c>
      <c r="L5404" t="s">
        <v>7084</v>
      </c>
      <c r="M5404" t="s">
        <v>7084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336"/>
        <v>0-12 Months</v>
      </c>
      <c r="W5404">
        <f t="shared" si="337"/>
        <v>0</v>
      </c>
      <c r="X5404">
        <f t="shared" si="338"/>
        <v>0</v>
      </c>
      <c r="Y5404" t="str">
        <f t="shared" si="339"/>
        <v>Non-Senior</v>
      </c>
    </row>
    <row r="5405" spans="1:25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336"/>
        <v>49-60 Months</v>
      </c>
      <c r="W5405">
        <f t="shared" si="337"/>
        <v>0</v>
      </c>
      <c r="X5405">
        <f t="shared" si="338"/>
        <v>0</v>
      </c>
      <c r="Y5405" t="str">
        <f t="shared" si="339"/>
        <v>Non-Senior</v>
      </c>
    </row>
    <row r="5406" spans="1:25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336"/>
        <v>37-48 Months</v>
      </c>
      <c r="W5406">
        <f t="shared" si="337"/>
        <v>0</v>
      </c>
      <c r="X5406">
        <f t="shared" si="338"/>
        <v>0</v>
      </c>
      <c r="Y5406" t="str">
        <f t="shared" si="339"/>
        <v>Non-Senior</v>
      </c>
    </row>
    <row r="5407" spans="1:25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336"/>
        <v>25-36 Months</v>
      </c>
      <c r="W5407">
        <f t="shared" si="337"/>
        <v>0</v>
      </c>
      <c r="X5407">
        <f t="shared" si="338"/>
        <v>0</v>
      </c>
      <c r="Y5407" t="str">
        <f t="shared" si="339"/>
        <v>Non-Senior</v>
      </c>
    </row>
    <row r="5408" spans="1:25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336"/>
        <v>61-72 Months</v>
      </c>
      <c r="W5408">
        <f t="shared" si="337"/>
        <v>0</v>
      </c>
      <c r="X5408">
        <f t="shared" si="338"/>
        <v>0</v>
      </c>
      <c r="Y5408" t="str">
        <f t="shared" si="339"/>
        <v>Non-Senior</v>
      </c>
    </row>
    <row r="5409" spans="1:25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336"/>
        <v>61-72 Months</v>
      </c>
      <c r="W5409">
        <f t="shared" si="337"/>
        <v>0</v>
      </c>
      <c r="X5409">
        <f t="shared" si="338"/>
        <v>0</v>
      </c>
      <c r="Y5409" t="str">
        <f t="shared" si="339"/>
        <v>Non-Senior</v>
      </c>
    </row>
    <row r="5410" spans="1:25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7082</v>
      </c>
      <c r="J5410" t="s">
        <v>7084</v>
      </c>
      <c r="K5410" t="s">
        <v>46</v>
      </c>
      <c r="L5410" t="s">
        <v>7084</v>
      </c>
      <c r="M5410" t="s">
        <v>7084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336"/>
        <v>49-60 Months</v>
      </c>
      <c r="W5410">
        <f t="shared" si="337"/>
        <v>0</v>
      </c>
      <c r="X5410">
        <f t="shared" si="338"/>
        <v>0</v>
      </c>
      <c r="Y5410" t="str">
        <f t="shared" si="339"/>
        <v>Non-Senior</v>
      </c>
    </row>
    <row r="5411" spans="1:25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336"/>
        <v>25-36 Months</v>
      </c>
      <c r="W5411">
        <f t="shared" si="337"/>
        <v>1</v>
      </c>
      <c r="X5411">
        <f t="shared" si="338"/>
        <v>89.15</v>
      </c>
      <c r="Y5411" t="str">
        <f t="shared" si="339"/>
        <v>Senior Citizen</v>
      </c>
    </row>
    <row r="5412" spans="1:25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336"/>
        <v>61-72 Months</v>
      </c>
      <c r="W5412">
        <f t="shared" si="337"/>
        <v>0</v>
      </c>
      <c r="X5412">
        <f t="shared" si="338"/>
        <v>0</v>
      </c>
      <c r="Y5412" t="str">
        <f t="shared" si="339"/>
        <v>Non-Senior</v>
      </c>
    </row>
    <row r="5413" spans="1:25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336"/>
        <v>0-12 Months</v>
      </c>
      <c r="W5413">
        <f t="shared" si="337"/>
        <v>1</v>
      </c>
      <c r="X5413">
        <f t="shared" si="338"/>
        <v>24.8</v>
      </c>
      <c r="Y5413" t="str">
        <f t="shared" si="339"/>
        <v>Senior Citizen</v>
      </c>
    </row>
    <row r="5414" spans="1:25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336"/>
        <v>61-72 Months</v>
      </c>
      <c r="W5414">
        <f t="shared" si="337"/>
        <v>0</v>
      </c>
      <c r="X5414">
        <f t="shared" si="338"/>
        <v>0</v>
      </c>
      <c r="Y5414" t="str">
        <f t="shared" si="339"/>
        <v>Senior Citizen</v>
      </c>
    </row>
    <row r="5415" spans="1:25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336"/>
        <v>13-24 Months</v>
      </c>
      <c r="W5415">
        <f t="shared" si="337"/>
        <v>0</v>
      </c>
      <c r="X5415">
        <f t="shared" si="338"/>
        <v>0</v>
      </c>
      <c r="Y5415" t="str">
        <f t="shared" si="339"/>
        <v>Non-Senior</v>
      </c>
    </row>
    <row r="5416" spans="1:25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336"/>
        <v>61-72 Months</v>
      </c>
      <c r="W5416">
        <f t="shared" si="337"/>
        <v>1</v>
      </c>
      <c r="X5416">
        <f t="shared" si="338"/>
        <v>105.65</v>
      </c>
      <c r="Y5416" t="str">
        <f t="shared" si="339"/>
        <v>Non-Senior</v>
      </c>
    </row>
    <row r="5417" spans="1:25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336"/>
        <v>13-24 Months</v>
      </c>
      <c r="W5417">
        <f t="shared" si="337"/>
        <v>0</v>
      </c>
      <c r="X5417">
        <f t="shared" si="338"/>
        <v>0</v>
      </c>
      <c r="Y5417" t="str">
        <f t="shared" si="339"/>
        <v>Non-Senior</v>
      </c>
    </row>
    <row r="5418" spans="1:25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336"/>
        <v>49-60 Months</v>
      </c>
      <c r="W5418">
        <f t="shared" si="337"/>
        <v>0</v>
      </c>
      <c r="X5418">
        <f t="shared" si="338"/>
        <v>0</v>
      </c>
      <c r="Y5418" t="str">
        <f t="shared" si="339"/>
        <v>Non-Senior</v>
      </c>
    </row>
    <row r="5419" spans="1:25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336"/>
        <v>13-24 Months</v>
      </c>
      <c r="W5419">
        <f t="shared" si="337"/>
        <v>0</v>
      </c>
      <c r="X5419">
        <f t="shared" si="338"/>
        <v>0</v>
      </c>
      <c r="Y5419" t="str">
        <f t="shared" si="339"/>
        <v>Non-Senior</v>
      </c>
    </row>
    <row r="5420" spans="1:25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336"/>
        <v>13-24 Months</v>
      </c>
      <c r="W5420">
        <f t="shared" si="337"/>
        <v>0</v>
      </c>
      <c r="X5420">
        <f t="shared" si="338"/>
        <v>0</v>
      </c>
      <c r="Y5420" t="str">
        <f t="shared" si="339"/>
        <v>Senior Citizen</v>
      </c>
    </row>
    <row r="5421" spans="1:25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336"/>
        <v>61-72 Months</v>
      </c>
      <c r="W5421">
        <f t="shared" si="337"/>
        <v>0</v>
      </c>
      <c r="X5421">
        <f t="shared" si="338"/>
        <v>0</v>
      </c>
      <c r="Y5421" t="str">
        <f t="shared" si="339"/>
        <v>Senior Citizen</v>
      </c>
    </row>
    <row r="5422" spans="1:25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336"/>
        <v>61-72 Months</v>
      </c>
      <c r="W5422">
        <f t="shared" si="337"/>
        <v>0</v>
      </c>
      <c r="X5422">
        <f t="shared" si="338"/>
        <v>0</v>
      </c>
      <c r="Y5422" t="str">
        <f t="shared" si="339"/>
        <v>Non-Senior</v>
      </c>
    </row>
    <row r="5423" spans="1:25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7082</v>
      </c>
      <c r="J5423" t="s">
        <v>7084</v>
      </c>
      <c r="K5423" t="s">
        <v>46</v>
      </c>
      <c r="L5423" t="s">
        <v>7084</v>
      </c>
      <c r="M5423" t="s">
        <v>7084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336"/>
        <v>37-48 Months</v>
      </c>
      <c r="W5423">
        <f t="shared" si="337"/>
        <v>0</v>
      </c>
      <c r="X5423">
        <f t="shared" si="338"/>
        <v>0</v>
      </c>
      <c r="Y5423" t="str">
        <f t="shared" si="339"/>
        <v>Non-Senior</v>
      </c>
    </row>
    <row r="5424" spans="1:25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336"/>
        <v>61-72 Months</v>
      </c>
      <c r="W5424">
        <f t="shared" si="337"/>
        <v>0</v>
      </c>
      <c r="X5424">
        <f t="shared" si="338"/>
        <v>0</v>
      </c>
      <c r="Y5424" t="str">
        <f t="shared" si="339"/>
        <v>Non-Senior</v>
      </c>
    </row>
    <row r="5425" spans="1:25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336"/>
        <v>13-24 Months</v>
      </c>
      <c r="W5425">
        <f t="shared" si="337"/>
        <v>1</v>
      </c>
      <c r="X5425">
        <f t="shared" si="338"/>
        <v>80.849999999999994</v>
      </c>
      <c r="Y5425" t="str">
        <f t="shared" si="339"/>
        <v>Non-Senior</v>
      </c>
    </row>
    <row r="5426" spans="1:25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336"/>
        <v>61-72 Months</v>
      </c>
      <c r="W5426">
        <f t="shared" si="337"/>
        <v>0</v>
      </c>
      <c r="X5426">
        <f t="shared" si="338"/>
        <v>0</v>
      </c>
      <c r="Y5426" t="str">
        <f t="shared" si="339"/>
        <v>Senior Citizen</v>
      </c>
    </row>
    <row r="5427" spans="1:25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336"/>
        <v>25-36 Months</v>
      </c>
      <c r="W5427">
        <f t="shared" si="337"/>
        <v>0</v>
      </c>
      <c r="X5427">
        <f t="shared" si="338"/>
        <v>0</v>
      </c>
      <c r="Y5427" t="str">
        <f t="shared" si="339"/>
        <v>Non-Senior</v>
      </c>
    </row>
    <row r="5428" spans="1:25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336"/>
        <v>49-60 Months</v>
      </c>
      <c r="W5428">
        <f t="shared" si="337"/>
        <v>0</v>
      </c>
      <c r="X5428">
        <f t="shared" si="338"/>
        <v>0</v>
      </c>
      <c r="Y5428" t="str">
        <f t="shared" si="339"/>
        <v>Non-Senior</v>
      </c>
    </row>
    <row r="5429" spans="1:25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336"/>
        <v>25-36 Months</v>
      </c>
      <c r="W5429">
        <f t="shared" si="337"/>
        <v>0</v>
      </c>
      <c r="X5429">
        <f t="shared" si="338"/>
        <v>0</v>
      </c>
      <c r="Y5429" t="str">
        <f t="shared" si="339"/>
        <v>Non-Senior</v>
      </c>
    </row>
    <row r="5430" spans="1:25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336"/>
        <v>0-12 Months</v>
      </c>
      <c r="W5430">
        <f t="shared" si="337"/>
        <v>1</v>
      </c>
      <c r="X5430">
        <f t="shared" si="338"/>
        <v>89.45</v>
      </c>
      <c r="Y5430" t="str">
        <f t="shared" si="339"/>
        <v>Non-Senior</v>
      </c>
    </row>
    <row r="5431" spans="1:25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336"/>
        <v>61-72 Months</v>
      </c>
      <c r="W5431">
        <f t="shared" si="337"/>
        <v>0</v>
      </c>
      <c r="X5431">
        <f t="shared" si="338"/>
        <v>0</v>
      </c>
      <c r="Y5431" t="str">
        <f t="shared" si="339"/>
        <v>Non-Senior</v>
      </c>
    </row>
    <row r="5432" spans="1:25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336"/>
        <v>0-12 Months</v>
      </c>
      <c r="W5432">
        <f t="shared" si="337"/>
        <v>1</v>
      </c>
      <c r="X5432">
        <f t="shared" si="338"/>
        <v>72.150000000000006</v>
      </c>
      <c r="Y5432" t="str">
        <f t="shared" si="339"/>
        <v>Non-Senior</v>
      </c>
    </row>
    <row r="5433" spans="1:25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7082</v>
      </c>
      <c r="J5433" t="s">
        <v>7084</v>
      </c>
      <c r="K5433" t="s">
        <v>46</v>
      </c>
      <c r="L5433" t="s">
        <v>7084</v>
      </c>
      <c r="M5433" t="s">
        <v>7084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336"/>
        <v>37-48 Months</v>
      </c>
      <c r="W5433">
        <f t="shared" si="337"/>
        <v>0</v>
      </c>
      <c r="X5433">
        <f t="shared" si="338"/>
        <v>0</v>
      </c>
      <c r="Y5433" t="str">
        <f t="shared" si="339"/>
        <v>Non-Senior</v>
      </c>
    </row>
    <row r="5434" spans="1:25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336"/>
        <v>0-12 Months</v>
      </c>
      <c r="W5434">
        <f t="shared" si="337"/>
        <v>1</v>
      </c>
      <c r="X5434">
        <f t="shared" si="338"/>
        <v>76.400000000000006</v>
      </c>
      <c r="Y5434" t="str">
        <f t="shared" si="339"/>
        <v>Non-Senior</v>
      </c>
    </row>
    <row r="5435" spans="1:25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336"/>
        <v>49-60 Months</v>
      </c>
      <c r="W5435">
        <f t="shared" si="337"/>
        <v>0</v>
      </c>
      <c r="X5435">
        <f t="shared" si="338"/>
        <v>0</v>
      </c>
      <c r="Y5435" t="str">
        <f t="shared" si="339"/>
        <v>Non-Senior</v>
      </c>
    </row>
    <row r="5436" spans="1:25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336"/>
        <v>25-36 Months</v>
      </c>
      <c r="W5436">
        <f t="shared" si="337"/>
        <v>0</v>
      </c>
      <c r="X5436">
        <f t="shared" si="338"/>
        <v>0</v>
      </c>
      <c r="Y5436" t="str">
        <f t="shared" si="339"/>
        <v>Non-Senior</v>
      </c>
    </row>
    <row r="5437" spans="1:25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336"/>
        <v>37-48 Months</v>
      </c>
      <c r="W5437">
        <f t="shared" si="337"/>
        <v>0</v>
      </c>
      <c r="X5437">
        <f t="shared" si="338"/>
        <v>0</v>
      </c>
      <c r="Y5437" t="str">
        <f t="shared" si="339"/>
        <v>Non-Senior</v>
      </c>
    </row>
    <row r="5438" spans="1:25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336"/>
        <v>0-12 Months</v>
      </c>
      <c r="W5438">
        <f t="shared" si="337"/>
        <v>0</v>
      </c>
      <c r="X5438">
        <f t="shared" si="338"/>
        <v>0</v>
      </c>
      <c r="Y5438" t="str">
        <f t="shared" si="339"/>
        <v>Non-Senior</v>
      </c>
    </row>
    <row r="5439" spans="1:25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336"/>
        <v>13-24 Months</v>
      </c>
      <c r="W5439">
        <f t="shared" si="337"/>
        <v>1</v>
      </c>
      <c r="X5439">
        <f t="shared" si="338"/>
        <v>61.6</v>
      </c>
      <c r="Y5439" t="str">
        <f t="shared" si="339"/>
        <v>Senior Citizen</v>
      </c>
    </row>
    <row r="5440" spans="1:25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336"/>
        <v>0-12 Months</v>
      </c>
      <c r="W5440">
        <f t="shared" si="337"/>
        <v>1</v>
      </c>
      <c r="X5440">
        <f t="shared" si="338"/>
        <v>79.900000000000006</v>
      </c>
      <c r="Y5440" t="str">
        <f t="shared" si="339"/>
        <v>Non-Senior</v>
      </c>
    </row>
    <row r="5441" spans="1:25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336"/>
        <v>25-36 Months</v>
      </c>
      <c r="W5441">
        <f t="shared" si="337"/>
        <v>1</v>
      </c>
      <c r="X5441">
        <f t="shared" si="338"/>
        <v>96.15</v>
      </c>
      <c r="Y5441" t="str">
        <f t="shared" si="339"/>
        <v>Senior Citizen</v>
      </c>
    </row>
    <row r="5442" spans="1:25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si="336"/>
        <v>13-24 Months</v>
      </c>
      <c r="W5442">
        <f t="shared" si="337"/>
        <v>0</v>
      </c>
      <c r="X5442">
        <f t="shared" si="338"/>
        <v>0</v>
      </c>
      <c r="Y5442" t="str">
        <f t="shared" si="339"/>
        <v>Non-Senior</v>
      </c>
    </row>
    <row r="5443" spans="1:25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ref="V5443:V5506" si="340">IF(F5443&lt;=12,"0-12 Months",IF(F5443&lt;=24,"13-24 Months",IF(F5443&lt;=36,"25-36 Months",IF(F5443&lt;=48,"37-48 Months",IF(F5443&lt;=60,"49-60 Months","61-72 Months")))))</f>
        <v>61-72 Months</v>
      </c>
      <c r="W5443">
        <f t="shared" ref="W5443:W5506" si="341">IF(U5443="Yes",1,0)</f>
        <v>1</v>
      </c>
      <c r="X5443">
        <f t="shared" ref="X5443:X5506" si="342">IF(U5443="Yes",S5443,0)</f>
        <v>65.3</v>
      </c>
      <c r="Y5443" t="str">
        <f t="shared" ref="Y5443:Y5506" si="343">IF(C5443=1,"Senior Citizen","Non-Senior")</f>
        <v>Non-Senior</v>
      </c>
    </row>
    <row r="5444" spans="1:25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7082</v>
      </c>
      <c r="J5444" t="s">
        <v>7084</v>
      </c>
      <c r="K5444" t="s">
        <v>46</v>
      </c>
      <c r="L5444" t="s">
        <v>7084</v>
      </c>
      <c r="M5444" t="s">
        <v>7084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340"/>
        <v>61-72 Months</v>
      </c>
      <c r="W5444">
        <f t="shared" si="341"/>
        <v>0</v>
      </c>
      <c r="X5444">
        <f t="shared" si="342"/>
        <v>0</v>
      </c>
      <c r="Y5444" t="str">
        <f t="shared" si="343"/>
        <v>Non-Senior</v>
      </c>
    </row>
    <row r="5445" spans="1:25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340"/>
        <v>25-36 Months</v>
      </c>
      <c r="W5445">
        <f t="shared" si="341"/>
        <v>0</v>
      </c>
      <c r="X5445">
        <f t="shared" si="342"/>
        <v>0</v>
      </c>
      <c r="Y5445" t="str">
        <f t="shared" si="343"/>
        <v>Non-Senior</v>
      </c>
    </row>
    <row r="5446" spans="1:25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340"/>
        <v>37-48 Months</v>
      </c>
      <c r="W5446">
        <f t="shared" si="341"/>
        <v>0</v>
      </c>
      <c r="X5446">
        <f t="shared" si="342"/>
        <v>0</v>
      </c>
      <c r="Y5446" t="str">
        <f t="shared" si="343"/>
        <v>Non-Senior</v>
      </c>
    </row>
    <row r="5447" spans="1:25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340"/>
        <v>61-72 Months</v>
      </c>
      <c r="W5447">
        <f t="shared" si="341"/>
        <v>0</v>
      </c>
      <c r="X5447">
        <f t="shared" si="342"/>
        <v>0</v>
      </c>
      <c r="Y5447" t="str">
        <f t="shared" si="343"/>
        <v>Non-Senior</v>
      </c>
    </row>
    <row r="5448" spans="1:25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7082</v>
      </c>
      <c r="J5448" t="s">
        <v>7084</v>
      </c>
      <c r="K5448" t="s">
        <v>46</v>
      </c>
      <c r="L5448" t="s">
        <v>7084</v>
      </c>
      <c r="M5448" t="s">
        <v>7084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340"/>
        <v>0-12 Months</v>
      </c>
      <c r="W5448">
        <f t="shared" si="341"/>
        <v>1</v>
      </c>
      <c r="X5448">
        <f t="shared" si="342"/>
        <v>19.649999999999999</v>
      </c>
      <c r="Y5448" t="str">
        <f t="shared" si="343"/>
        <v>Non-Senior</v>
      </c>
    </row>
    <row r="5449" spans="1:25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340"/>
        <v>0-12 Months</v>
      </c>
      <c r="W5449">
        <f t="shared" si="341"/>
        <v>0</v>
      </c>
      <c r="X5449">
        <f t="shared" si="342"/>
        <v>0</v>
      </c>
      <c r="Y5449" t="str">
        <f t="shared" si="343"/>
        <v>Non-Senior</v>
      </c>
    </row>
    <row r="5450" spans="1:25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340"/>
        <v>37-48 Months</v>
      </c>
      <c r="W5450">
        <f t="shared" si="341"/>
        <v>0</v>
      </c>
      <c r="X5450">
        <f t="shared" si="342"/>
        <v>0</v>
      </c>
      <c r="Y5450" t="str">
        <f t="shared" si="343"/>
        <v>Non-Senior</v>
      </c>
    </row>
    <row r="5451" spans="1:25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340"/>
        <v>61-72 Months</v>
      </c>
      <c r="W5451">
        <f t="shared" si="341"/>
        <v>0</v>
      </c>
      <c r="X5451">
        <f t="shared" si="342"/>
        <v>0</v>
      </c>
      <c r="Y5451" t="str">
        <f t="shared" si="343"/>
        <v>Non-Senior</v>
      </c>
    </row>
    <row r="5452" spans="1:25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340"/>
        <v>0-12 Months</v>
      </c>
      <c r="W5452">
        <f t="shared" si="341"/>
        <v>1</v>
      </c>
      <c r="X5452">
        <f t="shared" si="342"/>
        <v>84.65</v>
      </c>
      <c r="Y5452" t="str">
        <f t="shared" si="343"/>
        <v>Non-Senior</v>
      </c>
    </row>
    <row r="5453" spans="1:25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340"/>
        <v>61-72 Months</v>
      </c>
      <c r="W5453">
        <f t="shared" si="341"/>
        <v>0</v>
      </c>
      <c r="X5453">
        <f t="shared" si="342"/>
        <v>0</v>
      </c>
      <c r="Y5453" t="str">
        <f t="shared" si="343"/>
        <v>Non-Senior</v>
      </c>
    </row>
    <row r="5454" spans="1:25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340"/>
        <v>37-48 Months</v>
      </c>
      <c r="W5454">
        <f t="shared" si="341"/>
        <v>0</v>
      </c>
      <c r="X5454">
        <f t="shared" si="342"/>
        <v>0</v>
      </c>
      <c r="Y5454" t="str">
        <f t="shared" si="343"/>
        <v>Non-Senior</v>
      </c>
    </row>
    <row r="5455" spans="1:25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340"/>
        <v>49-60 Months</v>
      </c>
      <c r="W5455">
        <f t="shared" si="341"/>
        <v>0</v>
      </c>
      <c r="X5455">
        <f t="shared" si="342"/>
        <v>0</v>
      </c>
      <c r="Y5455" t="str">
        <f t="shared" si="343"/>
        <v>Non-Senior</v>
      </c>
    </row>
    <row r="5456" spans="1:25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340"/>
        <v>0-12 Months</v>
      </c>
      <c r="W5456">
        <f t="shared" si="341"/>
        <v>1</v>
      </c>
      <c r="X5456">
        <f t="shared" si="342"/>
        <v>69.55</v>
      </c>
      <c r="Y5456" t="str">
        <f t="shared" si="343"/>
        <v>Senior Citizen</v>
      </c>
    </row>
    <row r="5457" spans="1:25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7082</v>
      </c>
      <c r="J5457" t="s">
        <v>7084</v>
      </c>
      <c r="K5457" t="s">
        <v>46</v>
      </c>
      <c r="L5457" t="s">
        <v>7084</v>
      </c>
      <c r="M5457" t="s">
        <v>7084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340"/>
        <v>0-12 Months</v>
      </c>
      <c r="W5457">
        <f t="shared" si="341"/>
        <v>0</v>
      </c>
      <c r="X5457">
        <f t="shared" si="342"/>
        <v>0</v>
      </c>
      <c r="Y5457" t="str">
        <f t="shared" si="343"/>
        <v>Non-Senior</v>
      </c>
    </row>
    <row r="5458" spans="1:25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340"/>
        <v>13-24 Months</v>
      </c>
      <c r="W5458">
        <f t="shared" si="341"/>
        <v>1</v>
      </c>
      <c r="X5458">
        <f t="shared" si="342"/>
        <v>31.05</v>
      </c>
      <c r="Y5458" t="str">
        <f t="shared" si="343"/>
        <v>Non-Senior</v>
      </c>
    </row>
    <row r="5459" spans="1:25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340"/>
        <v>0-12 Months</v>
      </c>
      <c r="W5459">
        <f t="shared" si="341"/>
        <v>0</v>
      </c>
      <c r="X5459">
        <f t="shared" si="342"/>
        <v>0</v>
      </c>
      <c r="Y5459" t="str">
        <f t="shared" si="343"/>
        <v>Non-Senior</v>
      </c>
    </row>
    <row r="5460" spans="1:25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340"/>
        <v>0-12 Months</v>
      </c>
      <c r="W5460">
        <f t="shared" si="341"/>
        <v>1</v>
      </c>
      <c r="X5460">
        <f t="shared" si="342"/>
        <v>51</v>
      </c>
      <c r="Y5460" t="str">
        <f t="shared" si="343"/>
        <v>Non-Senior</v>
      </c>
    </row>
    <row r="5461" spans="1:25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340"/>
        <v>0-12 Months</v>
      </c>
      <c r="W5461">
        <f t="shared" si="341"/>
        <v>0</v>
      </c>
      <c r="X5461">
        <f t="shared" si="342"/>
        <v>0</v>
      </c>
      <c r="Y5461" t="str">
        <f t="shared" si="343"/>
        <v>Non-Senior</v>
      </c>
    </row>
    <row r="5462" spans="1:25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7082</v>
      </c>
      <c r="J5462" t="s">
        <v>7084</v>
      </c>
      <c r="K5462" t="s">
        <v>46</v>
      </c>
      <c r="L5462" t="s">
        <v>7084</v>
      </c>
      <c r="M5462" t="s">
        <v>7084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340"/>
        <v>25-36 Months</v>
      </c>
      <c r="W5462">
        <f t="shared" si="341"/>
        <v>0</v>
      </c>
      <c r="X5462">
        <f t="shared" si="342"/>
        <v>0</v>
      </c>
      <c r="Y5462" t="str">
        <f t="shared" si="343"/>
        <v>Non-Senior</v>
      </c>
    </row>
    <row r="5463" spans="1:25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340"/>
        <v>61-72 Months</v>
      </c>
      <c r="W5463">
        <f t="shared" si="341"/>
        <v>0</v>
      </c>
      <c r="X5463">
        <f t="shared" si="342"/>
        <v>0</v>
      </c>
      <c r="Y5463" t="str">
        <f t="shared" si="343"/>
        <v>Non-Senior</v>
      </c>
    </row>
    <row r="5464" spans="1:25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340"/>
        <v>61-72 Months</v>
      </c>
      <c r="W5464">
        <f t="shared" si="341"/>
        <v>0</v>
      </c>
      <c r="X5464">
        <f t="shared" si="342"/>
        <v>0</v>
      </c>
      <c r="Y5464" t="str">
        <f t="shared" si="343"/>
        <v>Non-Senior</v>
      </c>
    </row>
    <row r="5465" spans="1:25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340"/>
        <v>0-12 Months</v>
      </c>
      <c r="W5465">
        <f t="shared" si="341"/>
        <v>1</v>
      </c>
      <c r="X5465">
        <f t="shared" si="342"/>
        <v>44.35</v>
      </c>
      <c r="Y5465" t="str">
        <f t="shared" si="343"/>
        <v>Non-Senior</v>
      </c>
    </row>
    <row r="5466" spans="1:25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7082</v>
      </c>
      <c r="J5466" t="s">
        <v>7084</v>
      </c>
      <c r="K5466" t="s">
        <v>46</v>
      </c>
      <c r="L5466" t="s">
        <v>7084</v>
      </c>
      <c r="M5466" t="s">
        <v>7084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340"/>
        <v>25-36 Months</v>
      </c>
      <c r="W5466">
        <f t="shared" si="341"/>
        <v>0</v>
      </c>
      <c r="X5466">
        <f t="shared" si="342"/>
        <v>0</v>
      </c>
      <c r="Y5466" t="str">
        <f t="shared" si="343"/>
        <v>Non-Senior</v>
      </c>
    </row>
    <row r="5467" spans="1:25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340"/>
        <v>25-36 Months</v>
      </c>
      <c r="W5467">
        <f t="shared" si="341"/>
        <v>0</v>
      </c>
      <c r="X5467">
        <f t="shared" si="342"/>
        <v>0</v>
      </c>
      <c r="Y5467" t="str">
        <f t="shared" si="343"/>
        <v>Non-Senior</v>
      </c>
    </row>
    <row r="5468" spans="1:25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7082</v>
      </c>
      <c r="J5468" t="s">
        <v>7084</v>
      </c>
      <c r="K5468" t="s">
        <v>46</v>
      </c>
      <c r="L5468" t="s">
        <v>7084</v>
      </c>
      <c r="M5468" t="s">
        <v>7084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340"/>
        <v>0-12 Months</v>
      </c>
      <c r="W5468">
        <f t="shared" si="341"/>
        <v>0</v>
      </c>
      <c r="X5468">
        <f t="shared" si="342"/>
        <v>0</v>
      </c>
      <c r="Y5468" t="str">
        <f t="shared" si="343"/>
        <v>Non-Senior</v>
      </c>
    </row>
    <row r="5469" spans="1:25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340"/>
        <v>49-60 Months</v>
      </c>
      <c r="W5469">
        <f t="shared" si="341"/>
        <v>0</v>
      </c>
      <c r="X5469">
        <f t="shared" si="342"/>
        <v>0</v>
      </c>
      <c r="Y5469" t="str">
        <f t="shared" si="343"/>
        <v>Non-Senior</v>
      </c>
    </row>
    <row r="5470" spans="1:25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340"/>
        <v>0-12 Months</v>
      </c>
      <c r="W5470">
        <f t="shared" si="341"/>
        <v>1</v>
      </c>
      <c r="X5470">
        <f t="shared" si="342"/>
        <v>79.7</v>
      </c>
      <c r="Y5470" t="str">
        <f t="shared" si="343"/>
        <v>Non-Senior</v>
      </c>
    </row>
    <row r="5471" spans="1:25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340"/>
        <v>25-36 Months</v>
      </c>
      <c r="W5471">
        <f t="shared" si="341"/>
        <v>0</v>
      </c>
      <c r="X5471">
        <f t="shared" si="342"/>
        <v>0</v>
      </c>
      <c r="Y5471" t="str">
        <f t="shared" si="343"/>
        <v>Non-Senior</v>
      </c>
    </row>
    <row r="5472" spans="1:25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340"/>
        <v>61-72 Months</v>
      </c>
      <c r="W5472">
        <f t="shared" si="341"/>
        <v>0</v>
      </c>
      <c r="X5472">
        <f t="shared" si="342"/>
        <v>0</v>
      </c>
      <c r="Y5472" t="str">
        <f t="shared" si="343"/>
        <v>Senior Citizen</v>
      </c>
    </row>
    <row r="5473" spans="1:25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340"/>
        <v>25-36 Months</v>
      </c>
      <c r="W5473">
        <f t="shared" si="341"/>
        <v>0</v>
      </c>
      <c r="X5473">
        <f t="shared" si="342"/>
        <v>0</v>
      </c>
      <c r="Y5473" t="str">
        <f t="shared" si="343"/>
        <v>Non-Senior</v>
      </c>
    </row>
    <row r="5474" spans="1:25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340"/>
        <v>13-24 Months</v>
      </c>
      <c r="W5474">
        <f t="shared" si="341"/>
        <v>0</v>
      </c>
      <c r="X5474">
        <f t="shared" si="342"/>
        <v>0</v>
      </c>
      <c r="Y5474" t="str">
        <f t="shared" si="343"/>
        <v>Non-Senior</v>
      </c>
    </row>
    <row r="5475" spans="1:25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340"/>
        <v>13-24 Months</v>
      </c>
      <c r="W5475">
        <f t="shared" si="341"/>
        <v>0</v>
      </c>
      <c r="X5475">
        <f t="shared" si="342"/>
        <v>0</v>
      </c>
      <c r="Y5475" t="str">
        <f t="shared" si="343"/>
        <v>Non-Senior</v>
      </c>
    </row>
    <row r="5476" spans="1:25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340"/>
        <v>0-12 Months</v>
      </c>
      <c r="W5476">
        <f t="shared" si="341"/>
        <v>0</v>
      </c>
      <c r="X5476">
        <f t="shared" si="342"/>
        <v>0</v>
      </c>
      <c r="Y5476" t="str">
        <f t="shared" si="343"/>
        <v>Non-Senior</v>
      </c>
    </row>
    <row r="5477" spans="1:25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340"/>
        <v>49-60 Months</v>
      </c>
      <c r="W5477">
        <f t="shared" si="341"/>
        <v>1</v>
      </c>
      <c r="X5477">
        <f t="shared" si="342"/>
        <v>55</v>
      </c>
      <c r="Y5477" t="str">
        <f t="shared" si="343"/>
        <v>Non-Senior</v>
      </c>
    </row>
    <row r="5478" spans="1:25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340"/>
        <v>0-12 Months</v>
      </c>
      <c r="W5478">
        <f t="shared" si="341"/>
        <v>1</v>
      </c>
      <c r="X5478">
        <f t="shared" si="342"/>
        <v>84.85</v>
      </c>
      <c r="Y5478" t="str">
        <f t="shared" si="343"/>
        <v>Senior Citizen</v>
      </c>
    </row>
    <row r="5479" spans="1:25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340"/>
        <v>61-72 Months</v>
      </c>
      <c r="W5479">
        <f t="shared" si="341"/>
        <v>0</v>
      </c>
      <c r="X5479">
        <f t="shared" si="342"/>
        <v>0</v>
      </c>
      <c r="Y5479" t="str">
        <f t="shared" si="343"/>
        <v>Non-Senior</v>
      </c>
    </row>
    <row r="5480" spans="1:25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340"/>
        <v>49-60 Months</v>
      </c>
      <c r="W5480">
        <f t="shared" si="341"/>
        <v>0</v>
      </c>
      <c r="X5480">
        <f t="shared" si="342"/>
        <v>0</v>
      </c>
      <c r="Y5480" t="str">
        <f t="shared" si="343"/>
        <v>Non-Senior</v>
      </c>
    </row>
    <row r="5481" spans="1:25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340"/>
        <v>0-12 Months</v>
      </c>
      <c r="W5481">
        <f t="shared" si="341"/>
        <v>0</v>
      </c>
      <c r="X5481">
        <f t="shared" si="342"/>
        <v>0</v>
      </c>
      <c r="Y5481" t="str">
        <f t="shared" si="343"/>
        <v>Non-Senior</v>
      </c>
    </row>
    <row r="5482" spans="1:25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340"/>
        <v>0-12 Months</v>
      </c>
      <c r="W5482">
        <f t="shared" si="341"/>
        <v>0</v>
      </c>
      <c r="X5482">
        <f t="shared" si="342"/>
        <v>0</v>
      </c>
      <c r="Y5482" t="str">
        <f t="shared" si="343"/>
        <v>Non-Senior</v>
      </c>
    </row>
    <row r="5483" spans="1:25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340"/>
        <v>0-12 Months</v>
      </c>
      <c r="W5483">
        <f t="shared" si="341"/>
        <v>1</v>
      </c>
      <c r="X5483">
        <f t="shared" si="342"/>
        <v>73.650000000000006</v>
      </c>
      <c r="Y5483" t="str">
        <f t="shared" si="343"/>
        <v>Senior Citizen</v>
      </c>
    </row>
    <row r="5484" spans="1:25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340"/>
        <v>25-36 Months</v>
      </c>
      <c r="W5484">
        <f t="shared" si="341"/>
        <v>1</v>
      </c>
      <c r="X5484">
        <f t="shared" si="342"/>
        <v>73.900000000000006</v>
      </c>
      <c r="Y5484" t="str">
        <f t="shared" si="343"/>
        <v>Non-Senior</v>
      </c>
    </row>
    <row r="5485" spans="1:25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340"/>
        <v>49-60 Months</v>
      </c>
      <c r="W5485">
        <f t="shared" si="341"/>
        <v>1</v>
      </c>
      <c r="X5485">
        <f t="shared" si="342"/>
        <v>77.75</v>
      </c>
      <c r="Y5485" t="str">
        <f t="shared" si="343"/>
        <v>Non-Senior</v>
      </c>
    </row>
    <row r="5486" spans="1:25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340"/>
        <v>61-72 Months</v>
      </c>
      <c r="W5486">
        <f t="shared" si="341"/>
        <v>0</v>
      </c>
      <c r="X5486">
        <f t="shared" si="342"/>
        <v>0</v>
      </c>
      <c r="Y5486" t="str">
        <f t="shared" si="343"/>
        <v>Non-Senior</v>
      </c>
    </row>
    <row r="5487" spans="1:25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340"/>
        <v>0-12 Months</v>
      </c>
      <c r="W5487">
        <f t="shared" si="341"/>
        <v>0</v>
      </c>
      <c r="X5487">
        <f t="shared" si="342"/>
        <v>0</v>
      </c>
      <c r="Y5487" t="str">
        <f t="shared" si="343"/>
        <v>Non-Senior</v>
      </c>
    </row>
    <row r="5488" spans="1:25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340"/>
        <v>49-60 Months</v>
      </c>
      <c r="W5488">
        <f t="shared" si="341"/>
        <v>0</v>
      </c>
      <c r="X5488">
        <f t="shared" si="342"/>
        <v>0</v>
      </c>
      <c r="Y5488" t="str">
        <f t="shared" si="343"/>
        <v>Non-Senior</v>
      </c>
    </row>
    <row r="5489" spans="1:25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7082</v>
      </c>
      <c r="J5489" t="s">
        <v>7084</v>
      </c>
      <c r="K5489" t="s">
        <v>46</v>
      </c>
      <c r="L5489" t="s">
        <v>7084</v>
      </c>
      <c r="M5489" t="s">
        <v>7084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340"/>
        <v>25-36 Months</v>
      </c>
      <c r="W5489">
        <f t="shared" si="341"/>
        <v>0</v>
      </c>
      <c r="X5489">
        <f t="shared" si="342"/>
        <v>0</v>
      </c>
      <c r="Y5489" t="str">
        <f t="shared" si="343"/>
        <v>Non-Senior</v>
      </c>
    </row>
    <row r="5490" spans="1:25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340"/>
        <v>37-48 Months</v>
      </c>
      <c r="W5490">
        <f t="shared" si="341"/>
        <v>0</v>
      </c>
      <c r="X5490">
        <f t="shared" si="342"/>
        <v>0</v>
      </c>
      <c r="Y5490" t="str">
        <f t="shared" si="343"/>
        <v>Senior Citizen</v>
      </c>
    </row>
    <row r="5491" spans="1:25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340"/>
        <v>0-12 Months</v>
      </c>
      <c r="W5491">
        <f t="shared" si="341"/>
        <v>0</v>
      </c>
      <c r="X5491">
        <f t="shared" si="342"/>
        <v>0</v>
      </c>
      <c r="Y5491" t="str">
        <f t="shared" si="343"/>
        <v>Non-Senior</v>
      </c>
    </row>
    <row r="5492" spans="1:25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340"/>
        <v>0-12 Months</v>
      </c>
      <c r="W5492">
        <f t="shared" si="341"/>
        <v>0</v>
      </c>
      <c r="X5492">
        <f t="shared" si="342"/>
        <v>0</v>
      </c>
      <c r="Y5492" t="str">
        <f t="shared" si="343"/>
        <v>Non-Senior</v>
      </c>
    </row>
    <row r="5493" spans="1:25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340"/>
        <v>13-24 Months</v>
      </c>
      <c r="W5493">
        <f t="shared" si="341"/>
        <v>0</v>
      </c>
      <c r="X5493">
        <f t="shared" si="342"/>
        <v>0</v>
      </c>
      <c r="Y5493" t="str">
        <f t="shared" si="343"/>
        <v>Non-Senior</v>
      </c>
    </row>
    <row r="5494" spans="1:25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7082</v>
      </c>
      <c r="J5494" t="s">
        <v>7084</v>
      </c>
      <c r="K5494" t="s">
        <v>46</v>
      </c>
      <c r="L5494" t="s">
        <v>7084</v>
      </c>
      <c r="M5494" t="s">
        <v>7084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340"/>
        <v>61-72 Months</v>
      </c>
      <c r="W5494">
        <f t="shared" si="341"/>
        <v>0</v>
      </c>
      <c r="X5494">
        <f t="shared" si="342"/>
        <v>0</v>
      </c>
      <c r="Y5494" t="str">
        <f t="shared" si="343"/>
        <v>Non-Senior</v>
      </c>
    </row>
    <row r="5495" spans="1:25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340"/>
        <v>0-12 Months</v>
      </c>
      <c r="W5495">
        <f t="shared" si="341"/>
        <v>1</v>
      </c>
      <c r="X5495">
        <f t="shared" si="342"/>
        <v>84.35</v>
      </c>
      <c r="Y5495" t="str">
        <f t="shared" si="343"/>
        <v>Senior Citizen</v>
      </c>
    </row>
    <row r="5496" spans="1:25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340"/>
        <v>0-12 Months</v>
      </c>
      <c r="W5496">
        <f t="shared" si="341"/>
        <v>1</v>
      </c>
      <c r="X5496">
        <f t="shared" si="342"/>
        <v>84.95</v>
      </c>
      <c r="Y5496" t="str">
        <f t="shared" si="343"/>
        <v>Non-Senior</v>
      </c>
    </row>
    <row r="5497" spans="1:25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340"/>
        <v>0-12 Months</v>
      </c>
      <c r="W5497">
        <f t="shared" si="341"/>
        <v>1</v>
      </c>
      <c r="X5497">
        <f t="shared" si="342"/>
        <v>73.849999999999994</v>
      </c>
      <c r="Y5497" t="str">
        <f t="shared" si="343"/>
        <v>Non-Senior</v>
      </c>
    </row>
    <row r="5498" spans="1:25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7082</v>
      </c>
      <c r="J5498" t="s">
        <v>7084</v>
      </c>
      <c r="K5498" t="s">
        <v>46</v>
      </c>
      <c r="L5498" t="s">
        <v>7084</v>
      </c>
      <c r="M5498" t="s">
        <v>7084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340"/>
        <v>37-48 Months</v>
      </c>
      <c r="W5498">
        <f t="shared" si="341"/>
        <v>0</v>
      </c>
      <c r="X5498">
        <f t="shared" si="342"/>
        <v>0</v>
      </c>
      <c r="Y5498" t="str">
        <f t="shared" si="343"/>
        <v>Non-Senior</v>
      </c>
    </row>
    <row r="5499" spans="1:25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340"/>
        <v>49-60 Months</v>
      </c>
      <c r="W5499">
        <f t="shared" si="341"/>
        <v>1</v>
      </c>
      <c r="X5499">
        <f t="shared" si="342"/>
        <v>51.8</v>
      </c>
      <c r="Y5499" t="str">
        <f t="shared" si="343"/>
        <v>Non-Senior</v>
      </c>
    </row>
    <row r="5500" spans="1:25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340"/>
        <v>0-12 Months</v>
      </c>
      <c r="W5500">
        <f t="shared" si="341"/>
        <v>1</v>
      </c>
      <c r="X5500">
        <f t="shared" si="342"/>
        <v>46</v>
      </c>
      <c r="Y5500" t="str">
        <f t="shared" si="343"/>
        <v>Senior Citizen</v>
      </c>
    </row>
    <row r="5501" spans="1:25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340"/>
        <v>13-24 Months</v>
      </c>
      <c r="W5501">
        <f t="shared" si="341"/>
        <v>1</v>
      </c>
      <c r="X5501">
        <f t="shared" si="342"/>
        <v>79.400000000000006</v>
      </c>
      <c r="Y5501" t="str">
        <f t="shared" si="343"/>
        <v>Senior Citizen</v>
      </c>
    </row>
    <row r="5502" spans="1:25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340"/>
        <v>49-60 Months</v>
      </c>
      <c r="W5502">
        <f t="shared" si="341"/>
        <v>0</v>
      </c>
      <c r="X5502">
        <f t="shared" si="342"/>
        <v>0</v>
      </c>
      <c r="Y5502" t="str">
        <f t="shared" si="343"/>
        <v>Non-Senior</v>
      </c>
    </row>
    <row r="5503" spans="1:25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340"/>
        <v>13-24 Months</v>
      </c>
      <c r="W5503">
        <f t="shared" si="341"/>
        <v>0</v>
      </c>
      <c r="X5503">
        <f t="shared" si="342"/>
        <v>0</v>
      </c>
      <c r="Y5503" t="str">
        <f t="shared" si="343"/>
        <v>Non-Senior</v>
      </c>
    </row>
    <row r="5504" spans="1:25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340"/>
        <v>13-24 Months</v>
      </c>
      <c r="W5504">
        <f t="shared" si="341"/>
        <v>1</v>
      </c>
      <c r="X5504">
        <f t="shared" si="342"/>
        <v>71.8</v>
      </c>
      <c r="Y5504" t="str">
        <f t="shared" si="343"/>
        <v>Senior Citizen</v>
      </c>
    </row>
    <row r="5505" spans="1:25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7082</v>
      </c>
      <c r="J5505" t="s">
        <v>7084</v>
      </c>
      <c r="K5505" t="s">
        <v>46</v>
      </c>
      <c r="L5505" t="s">
        <v>7084</v>
      </c>
      <c r="M5505" t="s">
        <v>7084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340"/>
        <v>25-36 Months</v>
      </c>
      <c r="W5505">
        <f t="shared" si="341"/>
        <v>0</v>
      </c>
      <c r="X5505">
        <f t="shared" si="342"/>
        <v>0</v>
      </c>
      <c r="Y5505" t="str">
        <f t="shared" si="343"/>
        <v>Non-Senior</v>
      </c>
    </row>
    <row r="5506" spans="1:25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si="340"/>
        <v>37-48 Months</v>
      </c>
      <c r="W5506">
        <f t="shared" si="341"/>
        <v>1</v>
      </c>
      <c r="X5506">
        <f t="shared" si="342"/>
        <v>88.4</v>
      </c>
      <c r="Y5506" t="str">
        <f t="shared" si="343"/>
        <v>Senior Citizen</v>
      </c>
    </row>
    <row r="5507" spans="1:25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ref="V5507:V5570" si="344">IF(F5507&lt;=12,"0-12 Months",IF(F5507&lt;=24,"13-24 Months",IF(F5507&lt;=36,"25-36 Months",IF(F5507&lt;=48,"37-48 Months",IF(F5507&lt;=60,"49-60 Months","61-72 Months")))))</f>
        <v>0-12 Months</v>
      </c>
      <c r="W5507">
        <f t="shared" ref="W5507:W5570" si="345">IF(U5507="Yes",1,0)</f>
        <v>0</v>
      </c>
      <c r="X5507">
        <f t="shared" ref="X5507:X5570" si="346">IF(U5507="Yes",S5507,0)</f>
        <v>0</v>
      </c>
      <c r="Y5507" t="str">
        <f t="shared" ref="Y5507:Y5570" si="347">IF(C5507=1,"Senior Citizen","Non-Senior")</f>
        <v>Non-Senior</v>
      </c>
    </row>
    <row r="5508" spans="1:25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7082</v>
      </c>
      <c r="J5508" t="s">
        <v>7084</v>
      </c>
      <c r="K5508" t="s">
        <v>46</v>
      </c>
      <c r="L5508" t="s">
        <v>7084</v>
      </c>
      <c r="M5508" t="s">
        <v>7084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344"/>
        <v>0-12 Months</v>
      </c>
      <c r="W5508">
        <f t="shared" si="345"/>
        <v>0</v>
      </c>
      <c r="X5508">
        <f t="shared" si="346"/>
        <v>0</v>
      </c>
      <c r="Y5508" t="str">
        <f t="shared" si="347"/>
        <v>Non-Senior</v>
      </c>
    </row>
    <row r="5509" spans="1:25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344"/>
        <v>25-36 Months</v>
      </c>
      <c r="W5509">
        <f t="shared" si="345"/>
        <v>0</v>
      </c>
      <c r="X5509">
        <f t="shared" si="346"/>
        <v>0</v>
      </c>
      <c r="Y5509" t="str">
        <f t="shared" si="347"/>
        <v>Non-Senior</v>
      </c>
    </row>
    <row r="5510" spans="1:25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7082</v>
      </c>
      <c r="J5510" t="s">
        <v>7084</v>
      </c>
      <c r="K5510" t="s">
        <v>46</v>
      </c>
      <c r="L5510" t="s">
        <v>7084</v>
      </c>
      <c r="M5510" t="s">
        <v>7084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344"/>
        <v>61-72 Months</v>
      </c>
      <c r="W5510">
        <f t="shared" si="345"/>
        <v>0</v>
      </c>
      <c r="X5510">
        <f t="shared" si="346"/>
        <v>0</v>
      </c>
      <c r="Y5510" t="str">
        <f t="shared" si="347"/>
        <v>Non-Senior</v>
      </c>
    </row>
    <row r="5511" spans="1:25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344"/>
        <v>0-12 Months</v>
      </c>
      <c r="W5511">
        <f t="shared" si="345"/>
        <v>1</v>
      </c>
      <c r="X5511">
        <f t="shared" si="346"/>
        <v>46</v>
      </c>
      <c r="Y5511" t="str">
        <f t="shared" si="347"/>
        <v>Non-Senior</v>
      </c>
    </row>
    <row r="5512" spans="1:25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344"/>
        <v>13-24 Months</v>
      </c>
      <c r="W5512">
        <f t="shared" si="345"/>
        <v>0</v>
      </c>
      <c r="X5512">
        <f t="shared" si="346"/>
        <v>0</v>
      </c>
      <c r="Y5512" t="str">
        <f t="shared" si="347"/>
        <v>Non-Senior</v>
      </c>
    </row>
    <row r="5513" spans="1:25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344"/>
        <v>61-72 Months</v>
      </c>
      <c r="W5513">
        <f t="shared" si="345"/>
        <v>0</v>
      </c>
      <c r="X5513">
        <f t="shared" si="346"/>
        <v>0</v>
      </c>
      <c r="Y5513" t="str">
        <f t="shared" si="347"/>
        <v>Non-Senior</v>
      </c>
    </row>
    <row r="5514" spans="1:25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344"/>
        <v>0-12 Months</v>
      </c>
      <c r="W5514">
        <f t="shared" si="345"/>
        <v>0</v>
      </c>
      <c r="X5514">
        <f t="shared" si="346"/>
        <v>0</v>
      </c>
      <c r="Y5514" t="str">
        <f t="shared" si="347"/>
        <v>Non-Senior</v>
      </c>
    </row>
    <row r="5515" spans="1:25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344"/>
        <v>61-72 Months</v>
      </c>
      <c r="W5515">
        <f t="shared" si="345"/>
        <v>0</v>
      </c>
      <c r="X5515">
        <f t="shared" si="346"/>
        <v>0</v>
      </c>
      <c r="Y5515" t="str">
        <f t="shared" si="347"/>
        <v>Senior Citizen</v>
      </c>
    </row>
    <row r="5516" spans="1:25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344"/>
        <v>0-12 Months</v>
      </c>
      <c r="W5516">
        <f t="shared" si="345"/>
        <v>0</v>
      </c>
      <c r="X5516">
        <f t="shared" si="346"/>
        <v>0</v>
      </c>
      <c r="Y5516" t="str">
        <f t="shared" si="347"/>
        <v>Non-Senior</v>
      </c>
    </row>
    <row r="5517" spans="1:25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7082</v>
      </c>
      <c r="J5517" t="s">
        <v>7084</v>
      </c>
      <c r="K5517" t="s">
        <v>46</v>
      </c>
      <c r="L5517" t="s">
        <v>7084</v>
      </c>
      <c r="M5517" t="s">
        <v>7084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344"/>
        <v>13-24 Months</v>
      </c>
      <c r="W5517">
        <f t="shared" si="345"/>
        <v>0</v>
      </c>
      <c r="X5517">
        <f t="shared" si="346"/>
        <v>0</v>
      </c>
      <c r="Y5517" t="str">
        <f t="shared" si="347"/>
        <v>Non-Senior</v>
      </c>
    </row>
    <row r="5518" spans="1:25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344"/>
        <v>0-12 Months</v>
      </c>
      <c r="W5518">
        <f t="shared" si="345"/>
        <v>1</v>
      </c>
      <c r="X5518">
        <f t="shared" si="346"/>
        <v>51.75</v>
      </c>
      <c r="Y5518" t="str">
        <f t="shared" si="347"/>
        <v>Non-Senior</v>
      </c>
    </row>
    <row r="5519" spans="1:25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344"/>
        <v>61-72 Months</v>
      </c>
      <c r="W5519">
        <f t="shared" si="345"/>
        <v>0</v>
      </c>
      <c r="X5519">
        <f t="shared" si="346"/>
        <v>0</v>
      </c>
      <c r="Y5519" t="str">
        <f t="shared" si="347"/>
        <v>Senior Citizen</v>
      </c>
    </row>
    <row r="5520" spans="1:25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344"/>
        <v>25-36 Months</v>
      </c>
      <c r="W5520">
        <f t="shared" si="345"/>
        <v>1</v>
      </c>
      <c r="X5520">
        <f t="shared" si="346"/>
        <v>94.4</v>
      </c>
      <c r="Y5520" t="str">
        <f t="shared" si="347"/>
        <v>Non-Senior</v>
      </c>
    </row>
    <row r="5521" spans="1:25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344"/>
        <v>0-12 Months</v>
      </c>
      <c r="W5521">
        <f t="shared" si="345"/>
        <v>0</v>
      </c>
      <c r="X5521">
        <f t="shared" si="346"/>
        <v>0</v>
      </c>
      <c r="Y5521" t="str">
        <f t="shared" si="347"/>
        <v>Non-Senior</v>
      </c>
    </row>
    <row r="5522" spans="1:25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344"/>
        <v>49-60 Months</v>
      </c>
      <c r="W5522">
        <f t="shared" si="345"/>
        <v>0</v>
      </c>
      <c r="X5522">
        <f t="shared" si="346"/>
        <v>0</v>
      </c>
      <c r="Y5522" t="str">
        <f t="shared" si="347"/>
        <v>Non-Senior</v>
      </c>
    </row>
    <row r="5523" spans="1:25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344"/>
        <v>49-60 Months</v>
      </c>
      <c r="W5523">
        <f t="shared" si="345"/>
        <v>0</v>
      </c>
      <c r="X5523">
        <f t="shared" si="346"/>
        <v>0</v>
      </c>
      <c r="Y5523" t="str">
        <f t="shared" si="347"/>
        <v>Non-Senior</v>
      </c>
    </row>
    <row r="5524" spans="1:25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344"/>
        <v>0-12 Months</v>
      </c>
      <c r="W5524">
        <f t="shared" si="345"/>
        <v>1</v>
      </c>
      <c r="X5524">
        <f t="shared" si="346"/>
        <v>70.150000000000006</v>
      </c>
      <c r="Y5524" t="str">
        <f t="shared" si="347"/>
        <v>Non-Senior</v>
      </c>
    </row>
    <row r="5525" spans="1:25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344"/>
        <v>0-12 Months</v>
      </c>
      <c r="W5525">
        <f t="shared" si="345"/>
        <v>0</v>
      </c>
      <c r="X5525">
        <f t="shared" si="346"/>
        <v>0</v>
      </c>
      <c r="Y5525" t="str">
        <f t="shared" si="347"/>
        <v>Non-Senior</v>
      </c>
    </row>
    <row r="5526" spans="1:25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344"/>
        <v>37-48 Months</v>
      </c>
      <c r="W5526">
        <f t="shared" si="345"/>
        <v>0</v>
      </c>
      <c r="X5526">
        <f t="shared" si="346"/>
        <v>0</v>
      </c>
      <c r="Y5526" t="str">
        <f t="shared" si="347"/>
        <v>Non-Senior</v>
      </c>
    </row>
    <row r="5527" spans="1:25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7082</v>
      </c>
      <c r="J5527" t="s">
        <v>7084</v>
      </c>
      <c r="K5527" t="s">
        <v>46</v>
      </c>
      <c r="L5527" t="s">
        <v>7084</v>
      </c>
      <c r="M5527" t="s">
        <v>7084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344"/>
        <v>49-60 Months</v>
      </c>
      <c r="W5527">
        <f t="shared" si="345"/>
        <v>0</v>
      </c>
      <c r="X5527">
        <f t="shared" si="346"/>
        <v>0</v>
      </c>
      <c r="Y5527" t="str">
        <f t="shared" si="347"/>
        <v>Non-Senior</v>
      </c>
    </row>
    <row r="5528" spans="1:25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7082</v>
      </c>
      <c r="J5528" t="s">
        <v>7084</v>
      </c>
      <c r="K5528" t="s">
        <v>46</v>
      </c>
      <c r="L5528" t="s">
        <v>7084</v>
      </c>
      <c r="M5528" t="s">
        <v>7084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344"/>
        <v>49-60 Months</v>
      </c>
      <c r="W5528">
        <f t="shared" si="345"/>
        <v>0</v>
      </c>
      <c r="X5528">
        <f t="shared" si="346"/>
        <v>0</v>
      </c>
      <c r="Y5528" t="str">
        <f t="shared" si="347"/>
        <v>Non-Senior</v>
      </c>
    </row>
    <row r="5529" spans="1:25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344"/>
        <v>61-72 Months</v>
      </c>
      <c r="W5529">
        <f t="shared" si="345"/>
        <v>0</v>
      </c>
      <c r="X5529">
        <f t="shared" si="346"/>
        <v>0</v>
      </c>
      <c r="Y5529" t="str">
        <f t="shared" si="347"/>
        <v>Senior Citizen</v>
      </c>
    </row>
    <row r="5530" spans="1:25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344"/>
        <v>37-48 Months</v>
      </c>
      <c r="W5530">
        <f t="shared" si="345"/>
        <v>0</v>
      </c>
      <c r="X5530">
        <f t="shared" si="346"/>
        <v>0</v>
      </c>
      <c r="Y5530" t="str">
        <f t="shared" si="347"/>
        <v>Non-Senior</v>
      </c>
    </row>
    <row r="5531" spans="1:25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7082</v>
      </c>
      <c r="J5531" t="s">
        <v>7084</v>
      </c>
      <c r="K5531" t="s">
        <v>46</v>
      </c>
      <c r="L5531" t="s">
        <v>7084</v>
      </c>
      <c r="M5531" t="s">
        <v>7084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344"/>
        <v>0-12 Months</v>
      </c>
      <c r="W5531">
        <f t="shared" si="345"/>
        <v>0</v>
      </c>
      <c r="X5531">
        <f t="shared" si="346"/>
        <v>0</v>
      </c>
      <c r="Y5531" t="str">
        <f t="shared" si="347"/>
        <v>Non-Senior</v>
      </c>
    </row>
    <row r="5532" spans="1:25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344"/>
        <v>61-72 Months</v>
      </c>
      <c r="W5532">
        <f t="shared" si="345"/>
        <v>0</v>
      </c>
      <c r="X5532">
        <f t="shared" si="346"/>
        <v>0</v>
      </c>
      <c r="Y5532" t="str">
        <f t="shared" si="347"/>
        <v>Non-Senior</v>
      </c>
    </row>
    <row r="5533" spans="1:25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344"/>
        <v>61-72 Months</v>
      </c>
      <c r="W5533">
        <f t="shared" si="345"/>
        <v>0</v>
      </c>
      <c r="X5533">
        <f t="shared" si="346"/>
        <v>0</v>
      </c>
      <c r="Y5533" t="str">
        <f t="shared" si="347"/>
        <v>Non-Senior</v>
      </c>
    </row>
    <row r="5534" spans="1:25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7082</v>
      </c>
      <c r="J5534" t="s">
        <v>7084</v>
      </c>
      <c r="K5534" t="s">
        <v>46</v>
      </c>
      <c r="L5534" t="s">
        <v>7084</v>
      </c>
      <c r="M5534" t="s">
        <v>7084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344"/>
        <v>25-36 Months</v>
      </c>
      <c r="W5534">
        <f t="shared" si="345"/>
        <v>0</v>
      </c>
      <c r="X5534">
        <f t="shared" si="346"/>
        <v>0</v>
      </c>
      <c r="Y5534" t="str">
        <f t="shared" si="347"/>
        <v>Non-Senior</v>
      </c>
    </row>
    <row r="5535" spans="1:25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344"/>
        <v>13-24 Months</v>
      </c>
      <c r="W5535">
        <f t="shared" si="345"/>
        <v>0</v>
      </c>
      <c r="X5535">
        <f t="shared" si="346"/>
        <v>0</v>
      </c>
      <c r="Y5535" t="str">
        <f t="shared" si="347"/>
        <v>Senior Citizen</v>
      </c>
    </row>
    <row r="5536" spans="1:25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344"/>
        <v>13-24 Months</v>
      </c>
      <c r="W5536">
        <f t="shared" si="345"/>
        <v>0</v>
      </c>
      <c r="X5536">
        <f t="shared" si="346"/>
        <v>0</v>
      </c>
      <c r="Y5536" t="str">
        <f t="shared" si="347"/>
        <v>Non-Senior</v>
      </c>
    </row>
    <row r="5537" spans="1:25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344"/>
        <v>49-60 Months</v>
      </c>
      <c r="W5537">
        <f t="shared" si="345"/>
        <v>0</v>
      </c>
      <c r="X5537">
        <f t="shared" si="346"/>
        <v>0</v>
      </c>
      <c r="Y5537" t="str">
        <f t="shared" si="347"/>
        <v>Non-Senior</v>
      </c>
    </row>
    <row r="5538" spans="1:25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344"/>
        <v>0-12 Months</v>
      </c>
      <c r="W5538">
        <f t="shared" si="345"/>
        <v>1</v>
      </c>
      <c r="X5538">
        <f t="shared" si="346"/>
        <v>34.700000000000003</v>
      </c>
      <c r="Y5538" t="str">
        <f t="shared" si="347"/>
        <v>Non-Senior</v>
      </c>
    </row>
    <row r="5539" spans="1:25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344"/>
        <v>61-72 Months</v>
      </c>
      <c r="W5539">
        <f t="shared" si="345"/>
        <v>0</v>
      </c>
      <c r="X5539">
        <f t="shared" si="346"/>
        <v>0</v>
      </c>
      <c r="Y5539" t="str">
        <f t="shared" si="347"/>
        <v>Senior Citizen</v>
      </c>
    </row>
    <row r="5540" spans="1:25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344"/>
        <v>0-12 Months</v>
      </c>
      <c r="W5540">
        <f t="shared" si="345"/>
        <v>1</v>
      </c>
      <c r="X5540">
        <f t="shared" si="346"/>
        <v>81.099999999999994</v>
      </c>
      <c r="Y5540" t="str">
        <f t="shared" si="347"/>
        <v>Non-Senior</v>
      </c>
    </row>
    <row r="5541" spans="1:25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7082</v>
      </c>
      <c r="J5541" t="s">
        <v>7084</v>
      </c>
      <c r="K5541" t="s">
        <v>46</v>
      </c>
      <c r="L5541" t="s">
        <v>7084</v>
      </c>
      <c r="M5541" t="s">
        <v>7084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344"/>
        <v>13-24 Months</v>
      </c>
      <c r="W5541">
        <f t="shared" si="345"/>
        <v>0</v>
      </c>
      <c r="X5541">
        <f t="shared" si="346"/>
        <v>0</v>
      </c>
      <c r="Y5541" t="str">
        <f t="shared" si="347"/>
        <v>Non-Senior</v>
      </c>
    </row>
    <row r="5542" spans="1:25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7082</v>
      </c>
      <c r="J5542" t="s">
        <v>7084</v>
      </c>
      <c r="K5542" t="s">
        <v>46</v>
      </c>
      <c r="L5542" t="s">
        <v>7084</v>
      </c>
      <c r="M5542" t="s">
        <v>7084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344"/>
        <v>0-12 Months</v>
      </c>
      <c r="W5542">
        <f t="shared" si="345"/>
        <v>1</v>
      </c>
      <c r="X5542">
        <f t="shared" si="346"/>
        <v>20.55</v>
      </c>
      <c r="Y5542" t="str">
        <f t="shared" si="347"/>
        <v>Non-Senior</v>
      </c>
    </row>
    <row r="5543" spans="1:25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344"/>
        <v>61-72 Months</v>
      </c>
      <c r="W5543">
        <f t="shared" si="345"/>
        <v>1</v>
      </c>
      <c r="X5543">
        <f t="shared" si="346"/>
        <v>106.6</v>
      </c>
      <c r="Y5543" t="str">
        <f t="shared" si="347"/>
        <v>Non-Senior</v>
      </c>
    </row>
    <row r="5544" spans="1:25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344"/>
        <v>61-72 Months</v>
      </c>
      <c r="W5544">
        <f t="shared" si="345"/>
        <v>0</v>
      </c>
      <c r="X5544">
        <f t="shared" si="346"/>
        <v>0</v>
      </c>
      <c r="Y5544" t="str">
        <f t="shared" si="347"/>
        <v>Non-Senior</v>
      </c>
    </row>
    <row r="5545" spans="1:25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344"/>
        <v>13-24 Months</v>
      </c>
      <c r="W5545">
        <f t="shared" si="345"/>
        <v>0</v>
      </c>
      <c r="X5545">
        <f t="shared" si="346"/>
        <v>0</v>
      </c>
      <c r="Y5545" t="str">
        <f t="shared" si="347"/>
        <v>Senior Citizen</v>
      </c>
    </row>
    <row r="5546" spans="1:25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344"/>
        <v>49-60 Months</v>
      </c>
      <c r="W5546">
        <f t="shared" si="345"/>
        <v>1</v>
      </c>
      <c r="X5546">
        <f t="shared" si="346"/>
        <v>106.75</v>
      </c>
      <c r="Y5546" t="str">
        <f t="shared" si="347"/>
        <v>Non-Senior</v>
      </c>
    </row>
    <row r="5547" spans="1:25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344"/>
        <v>13-24 Months</v>
      </c>
      <c r="W5547">
        <f t="shared" si="345"/>
        <v>0</v>
      </c>
      <c r="X5547">
        <f t="shared" si="346"/>
        <v>0</v>
      </c>
      <c r="Y5547" t="str">
        <f t="shared" si="347"/>
        <v>Senior Citizen</v>
      </c>
    </row>
    <row r="5548" spans="1:25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344"/>
        <v>0-12 Months</v>
      </c>
      <c r="W5548">
        <f t="shared" si="345"/>
        <v>0</v>
      </c>
      <c r="X5548">
        <f t="shared" si="346"/>
        <v>0</v>
      </c>
      <c r="Y5548" t="str">
        <f t="shared" si="347"/>
        <v>Non-Senior</v>
      </c>
    </row>
    <row r="5549" spans="1:25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344"/>
        <v>0-12 Months</v>
      </c>
      <c r="W5549">
        <f t="shared" si="345"/>
        <v>1</v>
      </c>
      <c r="X5549">
        <f t="shared" si="346"/>
        <v>89.45</v>
      </c>
      <c r="Y5549" t="str">
        <f t="shared" si="347"/>
        <v>Non-Senior</v>
      </c>
    </row>
    <row r="5550" spans="1:25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7082</v>
      </c>
      <c r="J5550" t="s">
        <v>7084</v>
      </c>
      <c r="K5550" t="s">
        <v>46</v>
      </c>
      <c r="L5550" t="s">
        <v>7084</v>
      </c>
      <c r="M5550" t="s">
        <v>7084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344"/>
        <v>61-72 Months</v>
      </c>
      <c r="W5550">
        <f t="shared" si="345"/>
        <v>0</v>
      </c>
      <c r="X5550">
        <f t="shared" si="346"/>
        <v>0</v>
      </c>
      <c r="Y5550" t="str">
        <f t="shared" si="347"/>
        <v>Non-Senior</v>
      </c>
    </row>
    <row r="5551" spans="1:25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344"/>
        <v>0-12 Months</v>
      </c>
      <c r="W5551">
        <f t="shared" si="345"/>
        <v>1</v>
      </c>
      <c r="X5551">
        <f t="shared" si="346"/>
        <v>97.9</v>
      </c>
      <c r="Y5551" t="str">
        <f t="shared" si="347"/>
        <v>Non-Senior</v>
      </c>
    </row>
    <row r="5552" spans="1:25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7082</v>
      </c>
      <c r="J5552" t="s">
        <v>7084</v>
      </c>
      <c r="K5552" t="s">
        <v>46</v>
      </c>
      <c r="L5552" t="s">
        <v>7084</v>
      </c>
      <c r="M5552" t="s">
        <v>7084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344"/>
        <v>13-24 Months</v>
      </c>
      <c r="W5552">
        <f t="shared" si="345"/>
        <v>0</v>
      </c>
      <c r="X5552">
        <f t="shared" si="346"/>
        <v>0</v>
      </c>
      <c r="Y5552" t="str">
        <f t="shared" si="347"/>
        <v>Senior Citizen</v>
      </c>
    </row>
    <row r="5553" spans="1:25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7082</v>
      </c>
      <c r="J5553" t="s">
        <v>7084</v>
      </c>
      <c r="K5553" t="s">
        <v>46</v>
      </c>
      <c r="L5553" t="s">
        <v>7084</v>
      </c>
      <c r="M5553" t="s">
        <v>7084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344"/>
        <v>13-24 Months</v>
      </c>
      <c r="W5553">
        <f t="shared" si="345"/>
        <v>0</v>
      </c>
      <c r="X5553">
        <f t="shared" si="346"/>
        <v>0</v>
      </c>
      <c r="Y5553" t="str">
        <f t="shared" si="347"/>
        <v>Non-Senior</v>
      </c>
    </row>
    <row r="5554" spans="1:25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7082</v>
      </c>
      <c r="J5554" t="s">
        <v>7084</v>
      </c>
      <c r="K5554" t="s">
        <v>46</v>
      </c>
      <c r="L5554" t="s">
        <v>7084</v>
      </c>
      <c r="M5554" t="s">
        <v>7084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344"/>
        <v>13-24 Months</v>
      </c>
      <c r="W5554">
        <f t="shared" si="345"/>
        <v>0</v>
      </c>
      <c r="X5554">
        <f t="shared" si="346"/>
        <v>0</v>
      </c>
      <c r="Y5554" t="str">
        <f t="shared" si="347"/>
        <v>Non-Senior</v>
      </c>
    </row>
    <row r="5555" spans="1:25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344"/>
        <v>0-12 Months</v>
      </c>
      <c r="W5555">
        <f t="shared" si="345"/>
        <v>1</v>
      </c>
      <c r="X5555">
        <f t="shared" si="346"/>
        <v>55.7</v>
      </c>
      <c r="Y5555" t="str">
        <f t="shared" si="347"/>
        <v>Non-Senior</v>
      </c>
    </row>
    <row r="5556" spans="1:25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7082</v>
      </c>
      <c r="J5556" t="s">
        <v>7084</v>
      </c>
      <c r="K5556" t="s">
        <v>46</v>
      </c>
      <c r="L5556" t="s">
        <v>7084</v>
      </c>
      <c r="M5556" t="s">
        <v>7084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344"/>
        <v>61-72 Months</v>
      </c>
      <c r="W5556">
        <f t="shared" si="345"/>
        <v>0</v>
      </c>
      <c r="X5556">
        <f t="shared" si="346"/>
        <v>0</v>
      </c>
      <c r="Y5556" t="str">
        <f t="shared" si="347"/>
        <v>Non-Senior</v>
      </c>
    </row>
    <row r="5557" spans="1:25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7082</v>
      </c>
      <c r="J5557" t="s">
        <v>7084</v>
      </c>
      <c r="K5557" t="s">
        <v>46</v>
      </c>
      <c r="L5557" t="s">
        <v>7084</v>
      </c>
      <c r="M5557" t="s">
        <v>7084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344"/>
        <v>61-72 Months</v>
      </c>
      <c r="W5557">
        <f t="shared" si="345"/>
        <v>0</v>
      </c>
      <c r="X5557">
        <f t="shared" si="346"/>
        <v>0</v>
      </c>
      <c r="Y5557" t="str">
        <f t="shared" si="347"/>
        <v>Non-Senior</v>
      </c>
    </row>
    <row r="5558" spans="1:25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344"/>
        <v>13-24 Months</v>
      </c>
      <c r="W5558">
        <f t="shared" si="345"/>
        <v>1</v>
      </c>
      <c r="X5558">
        <f t="shared" si="346"/>
        <v>79.8</v>
      </c>
      <c r="Y5558" t="str">
        <f t="shared" si="347"/>
        <v>Non-Senior</v>
      </c>
    </row>
    <row r="5559" spans="1:25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344"/>
        <v>0-12 Months</v>
      </c>
      <c r="W5559">
        <f t="shared" si="345"/>
        <v>0</v>
      </c>
      <c r="X5559">
        <f t="shared" si="346"/>
        <v>0</v>
      </c>
      <c r="Y5559" t="str">
        <f t="shared" si="347"/>
        <v>Non-Senior</v>
      </c>
    </row>
    <row r="5560" spans="1:25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344"/>
        <v>61-72 Months</v>
      </c>
      <c r="W5560">
        <f t="shared" si="345"/>
        <v>0</v>
      </c>
      <c r="X5560">
        <f t="shared" si="346"/>
        <v>0</v>
      </c>
      <c r="Y5560" t="str">
        <f t="shared" si="347"/>
        <v>Non-Senior</v>
      </c>
    </row>
    <row r="5561" spans="1:25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344"/>
        <v>13-24 Months</v>
      </c>
      <c r="W5561">
        <f t="shared" si="345"/>
        <v>0</v>
      </c>
      <c r="X5561">
        <f t="shared" si="346"/>
        <v>0</v>
      </c>
      <c r="Y5561" t="str">
        <f t="shared" si="347"/>
        <v>Non-Senior</v>
      </c>
    </row>
    <row r="5562" spans="1:25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344"/>
        <v>61-72 Months</v>
      </c>
      <c r="W5562">
        <f t="shared" si="345"/>
        <v>0</v>
      </c>
      <c r="X5562">
        <f t="shared" si="346"/>
        <v>0</v>
      </c>
      <c r="Y5562" t="str">
        <f t="shared" si="347"/>
        <v>Non-Senior</v>
      </c>
    </row>
    <row r="5563" spans="1:25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7082</v>
      </c>
      <c r="J5563" t="s">
        <v>7084</v>
      </c>
      <c r="K5563" t="s">
        <v>46</v>
      </c>
      <c r="L5563" t="s">
        <v>7084</v>
      </c>
      <c r="M5563" t="s">
        <v>7084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344"/>
        <v>0-12 Months</v>
      </c>
      <c r="W5563">
        <f t="shared" si="345"/>
        <v>0</v>
      </c>
      <c r="X5563">
        <f t="shared" si="346"/>
        <v>0</v>
      </c>
      <c r="Y5563" t="str">
        <f t="shared" si="347"/>
        <v>Non-Senior</v>
      </c>
    </row>
    <row r="5564" spans="1:25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344"/>
        <v>49-60 Months</v>
      </c>
      <c r="W5564">
        <f t="shared" si="345"/>
        <v>0</v>
      </c>
      <c r="X5564">
        <f t="shared" si="346"/>
        <v>0</v>
      </c>
      <c r="Y5564" t="str">
        <f t="shared" si="347"/>
        <v>Senior Citizen</v>
      </c>
    </row>
    <row r="5565" spans="1:25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7082</v>
      </c>
      <c r="J5565" t="s">
        <v>7084</v>
      </c>
      <c r="K5565" t="s">
        <v>46</v>
      </c>
      <c r="L5565" t="s">
        <v>7084</v>
      </c>
      <c r="M5565" t="s">
        <v>7084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344"/>
        <v>0-12 Months</v>
      </c>
      <c r="W5565">
        <f t="shared" si="345"/>
        <v>0</v>
      </c>
      <c r="X5565">
        <f t="shared" si="346"/>
        <v>0</v>
      </c>
      <c r="Y5565" t="str">
        <f t="shared" si="347"/>
        <v>Non-Senior</v>
      </c>
    </row>
    <row r="5566" spans="1:25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344"/>
        <v>25-36 Months</v>
      </c>
      <c r="W5566">
        <f t="shared" si="345"/>
        <v>0</v>
      </c>
      <c r="X5566">
        <f t="shared" si="346"/>
        <v>0</v>
      </c>
      <c r="Y5566" t="str">
        <f t="shared" si="347"/>
        <v>Non-Senior</v>
      </c>
    </row>
    <row r="5567" spans="1:25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344"/>
        <v>13-24 Months</v>
      </c>
      <c r="W5567">
        <f t="shared" si="345"/>
        <v>1</v>
      </c>
      <c r="X5567">
        <f t="shared" si="346"/>
        <v>39.049999999999997</v>
      </c>
      <c r="Y5567" t="str">
        <f t="shared" si="347"/>
        <v>Non-Senior</v>
      </c>
    </row>
    <row r="5568" spans="1:25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344"/>
        <v>61-72 Months</v>
      </c>
      <c r="W5568">
        <f t="shared" si="345"/>
        <v>0</v>
      </c>
      <c r="X5568">
        <f t="shared" si="346"/>
        <v>0</v>
      </c>
      <c r="Y5568" t="str">
        <f t="shared" si="347"/>
        <v>Non-Senior</v>
      </c>
    </row>
    <row r="5569" spans="1:25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344"/>
        <v>49-60 Months</v>
      </c>
      <c r="W5569">
        <f t="shared" si="345"/>
        <v>0</v>
      </c>
      <c r="X5569">
        <f t="shared" si="346"/>
        <v>0</v>
      </c>
      <c r="Y5569" t="str">
        <f t="shared" si="347"/>
        <v>Senior Citizen</v>
      </c>
    </row>
    <row r="5570" spans="1:25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si="344"/>
        <v>37-48 Months</v>
      </c>
      <c r="W5570">
        <f t="shared" si="345"/>
        <v>0</v>
      </c>
      <c r="X5570">
        <f t="shared" si="346"/>
        <v>0</v>
      </c>
      <c r="Y5570" t="str">
        <f t="shared" si="347"/>
        <v>Non-Senior</v>
      </c>
    </row>
    <row r="5571" spans="1:25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ref="V5571:V5634" si="348">IF(F5571&lt;=12,"0-12 Months",IF(F5571&lt;=24,"13-24 Months",IF(F5571&lt;=36,"25-36 Months",IF(F5571&lt;=48,"37-48 Months",IF(F5571&lt;=60,"49-60 Months","61-72 Months")))))</f>
        <v>0-12 Months</v>
      </c>
      <c r="W5571">
        <f t="shared" ref="W5571:W5634" si="349">IF(U5571="Yes",1,0)</f>
        <v>1</v>
      </c>
      <c r="X5571">
        <f t="shared" ref="X5571:X5634" si="350">IF(U5571="Yes",S5571,0)</f>
        <v>83.9</v>
      </c>
      <c r="Y5571" t="str">
        <f t="shared" ref="Y5571:Y5634" si="351">IF(C5571=1,"Senior Citizen","Non-Senior")</f>
        <v>Senior Citizen</v>
      </c>
    </row>
    <row r="5572" spans="1:25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348"/>
        <v>37-48 Months</v>
      </c>
      <c r="W5572">
        <f t="shared" si="349"/>
        <v>0</v>
      </c>
      <c r="X5572">
        <f t="shared" si="350"/>
        <v>0</v>
      </c>
      <c r="Y5572" t="str">
        <f t="shared" si="351"/>
        <v>Non-Senior</v>
      </c>
    </row>
    <row r="5573" spans="1:25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348"/>
        <v>61-72 Months</v>
      </c>
      <c r="W5573">
        <f t="shared" si="349"/>
        <v>0</v>
      </c>
      <c r="X5573">
        <f t="shared" si="350"/>
        <v>0</v>
      </c>
      <c r="Y5573" t="str">
        <f t="shared" si="351"/>
        <v>Non-Senior</v>
      </c>
    </row>
    <row r="5574" spans="1:25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348"/>
        <v>61-72 Months</v>
      </c>
      <c r="W5574">
        <f t="shared" si="349"/>
        <v>0</v>
      </c>
      <c r="X5574">
        <f t="shared" si="350"/>
        <v>0</v>
      </c>
      <c r="Y5574" t="str">
        <f t="shared" si="351"/>
        <v>Non-Senior</v>
      </c>
    </row>
    <row r="5575" spans="1:25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348"/>
        <v>0-12 Months</v>
      </c>
      <c r="W5575">
        <f t="shared" si="349"/>
        <v>1</v>
      </c>
      <c r="X5575">
        <f t="shared" si="350"/>
        <v>69.849999999999994</v>
      </c>
      <c r="Y5575" t="str">
        <f t="shared" si="351"/>
        <v>Senior Citizen</v>
      </c>
    </row>
    <row r="5576" spans="1:25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7082</v>
      </c>
      <c r="J5576" t="s">
        <v>7084</v>
      </c>
      <c r="K5576" t="s">
        <v>46</v>
      </c>
      <c r="L5576" t="s">
        <v>7084</v>
      </c>
      <c r="M5576" t="s">
        <v>7084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348"/>
        <v>37-48 Months</v>
      </c>
      <c r="W5576">
        <f t="shared" si="349"/>
        <v>0</v>
      </c>
      <c r="X5576">
        <f t="shared" si="350"/>
        <v>0</v>
      </c>
      <c r="Y5576" t="str">
        <f t="shared" si="351"/>
        <v>Non-Senior</v>
      </c>
    </row>
    <row r="5577" spans="1:25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348"/>
        <v>61-72 Months</v>
      </c>
      <c r="W5577">
        <f t="shared" si="349"/>
        <v>0</v>
      </c>
      <c r="X5577">
        <f t="shared" si="350"/>
        <v>0</v>
      </c>
      <c r="Y5577" t="str">
        <f t="shared" si="351"/>
        <v>Non-Senior</v>
      </c>
    </row>
    <row r="5578" spans="1:25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348"/>
        <v>0-12 Months</v>
      </c>
      <c r="W5578">
        <f t="shared" si="349"/>
        <v>1</v>
      </c>
      <c r="X5578">
        <f t="shared" si="350"/>
        <v>53.55</v>
      </c>
      <c r="Y5578" t="str">
        <f t="shared" si="351"/>
        <v>Non-Senior</v>
      </c>
    </row>
    <row r="5579" spans="1:25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7082</v>
      </c>
      <c r="J5579" t="s">
        <v>7084</v>
      </c>
      <c r="K5579" t="s">
        <v>46</v>
      </c>
      <c r="L5579" t="s">
        <v>7084</v>
      </c>
      <c r="M5579" t="s">
        <v>7084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348"/>
        <v>49-60 Months</v>
      </c>
      <c r="W5579">
        <f t="shared" si="349"/>
        <v>0</v>
      </c>
      <c r="X5579">
        <f t="shared" si="350"/>
        <v>0</v>
      </c>
      <c r="Y5579" t="str">
        <f t="shared" si="351"/>
        <v>Non-Senior</v>
      </c>
    </row>
    <row r="5580" spans="1:25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7082</v>
      </c>
      <c r="J5580" t="s">
        <v>7084</v>
      </c>
      <c r="K5580" t="s">
        <v>46</v>
      </c>
      <c r="L5580" t="s">
        <v>7084</v>
      </c>
      <c r="M5580" t="s">
        <v>7084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348"/>
        <v>37-48 Months</v>
      </c>
      <c r="W5580">
        <f t="shared" si="349"/>
        <v>0</v>
      </c>
      <c r="X5580">
        <f t="shared" si="350"/>
        <v>0</v>
      </c>
      <c r="Y5580" t="str">
        <f t="shared" si="351"/>
        <v>Non-Senior</v>
      </c>
    </row>
    <row r="5581" spans="1:25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348"/>
        <v>61-72 Months</v>
      </c>
      <c r="W5581">
        <f t="shared" si="349"/>
        <v>1</v>
      </c>
      <c r="X5581">
        <f t="shared" si="350"/>
        <v>93.9</v>
      </c>
      <c r="Y5581" t="str">
        <f t="shared" si="351"/>
        <v>Non-Senior</v>
      </c>
    </row>
    <row r="5582" spans="1:25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7082</v>
      </c>
      <c r="J5582" t="s">
        <v>7084</v>
      </c>
      <c r="K5582" t="s">
        <v>46</v>
      </c>
      <c r="L5582" t="s">
        <v>7084</v>
      </c>
      <c r="M5582" t="s">
        <v>7084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348"/>
        <v>37-48 Months</v>
      </c>
      <c r="W5582">
        <f t="shared" si="349"/>
        <v>0</v>
      </c>
      <c r="X5582">
        <f t="shared" si="350"/>
        <v>0</v>
      </c>
      <c r="Y5582" t="str">
        <f t="shared" si="351"/>
        <v>Non-Senior</v>
      </c>
    </row>
    <row r="5583" spans="1:25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348"/>
        <v>61-72 Months</v>
      </c>
      <c r="W5583">
        <f t="shared" si="349"/>
        <v>1</v>
      </c>
      <c r="X5583">
        <f t="shared" si="350"/>
        <v>113.15</v>
      </c>
      <c r="Y5583" t="str">
        <f t="shared" si="351"/>
        <v>Non-Senior</v>
      </c>
    </row>
    <row r="5584" spans="1:25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7082</v>
      </c>
      <c r="J5584" t="s">
        <v>7084</v>
      </c>
      <c r="K5584" t="s">
        <v>46</v>
      </c>
      <c r="L5584" t="s">
        <v>7084</v>
      </c>
      <c r="M5584" t="s">
        <v>7084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348"/>
        <v>37-48 Months</v>
      </c>
      <c r="W5584">
        <f t="shared" si="349"/>
        <v>0</v>
      </c>
      <c r="X5584">
        <f t="shared" si="350"/>
        <v>0</v>
      </c>
      <c r="Y5584" t="str">
        <f t="shared" si="351"/>
        <v>Non-Senior</v>
      </c>
    </row>
    <row r="5585" spans="1:25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348"/>
        <v>25-36 Months</v>
      </c>
      <c r="W5585">
        <f t="shared" si="349"/>
        <v>1</v>
      </c>
      <c r="X5585">
        <f t="shared" si="350"/>
        <v>84.95</v>
      </c>
      <c r="Y5585" t="str">
        <f t="shared" si="351"/>
        <v>Senior Citizen</v>
      </c>
    </row>
    <row r="5586" spans="1:25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348"/>
        <v>0-12 Months</v>
      </c>
      <c r="W5586">
        <f t="shared" si="349"/>
        <v>1</v>
      </c>
      <c r="X5586">
        <f t="shared" si="350"/>
        <v>80.5</v>
      </c>
      <c r="Y5586" t="str">
        <f t="shared" si="351"/>
        <v>Non-Senior</v>
      </c>
    </row>
    <row r="5587" spans="1:25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7082</v>
      </c>
      <c r="J5587" t="s">
        <v>7084</v>
      </c>
      <c r="K5587" t="s">
        <v>46</v>
      </c>
      <c r="L5587" t="s">
        <v>7084</v>
      </c>
      <c r="M5587" t="s">
        <v>7084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348"/>
        <v>0-12 Months</v>
      </c>
      <c r="W5587">
        <f t="shared" si="349"/>
        <v>1</v>
      </c>
      <c r="X5587">
        <f t="shared" si="350"/>
        <v>19.3</v>
      </c>
      <c r="Y5587" t="str">
        <f t="shared" si="351"/>
        <v>Non-Senior</v>
      </c>
    </row>
    <row r="5588" spans="1:25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7082</v>
      </c>
      <c r="J5588" t="s">
        <v>7084</v>
      </c>
      <c r="K5588" t="s">
        <v>46</v>
      </c>
      <c r="L5588" t="s">
        <v>7084</v>
      </c>
      <c r="M5588" t="s">
        <v>7084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348"/>
        <v>25-36 Months</v>
      </c>
      <c r="W5588">
        <f t="shared" si="349"/>
        <v>0</v>
      </c>
      <c r="X5588">
        <f t="shared" si="350"/>
        <v>0</v>
      </c>
      <c r="Y5588" t="str">
        <f t="shared" si="351"/>
        <v>Non-Senior</v>
      </c>
    </row>
    <row r="5589" spans="1:25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348"/>
        <v>37-48 Months</v>
      </c>
      <c r="W5589">
        <f t="shared" si="349"/>
        <v>0</v>
      </c>
      <c r="X5589">
        <f t="shared" si="350"/>
        <v>0</v>
      </c>
      <c r="Y5589" t="str">
        <f t="shared" si="351"/>
        <v>Senior Citizen</v>
      </c>
    </row>
    <row r="5590" spans="1:25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348"/>
        <v>0-12 Months</v>
      </c>
      <c r="W5590">
        <f t="shared" si="349"/>
        <v>1</v>
      </c>
      <c r="X5590">
        <f t="shared" si="350"/>
        <v>49.65</v>
      </c>
      <c r="Y5590" t="str">
        <f t="shared" si="351"/>
        <v>Non-Senior</v>
      </c>
    </row>
    <row r="5591" spans="1:25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348"/>
        <v>37-48 Months</v>
      </c>
      <c r="W5591">
        <f t="shared" si="349"/>
        <v>1</v>
      </c>
      <c r="X5591">
        <f t="shared" si="350"/>
        <v>54.35</v>
      </c>
      <c r="Y5591" t="str">
        <f t="shared" si="351"/>
        <v>Non-Senior</v>
      </c>
    </row>
    <row r="5592" spans="1:25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7082</v>
      </c>
      <c r="J5592" t="s">
        <v>7084</v>
      </c>
      <c r="K5592" t="s">
        <v>46</v>
      </c>
      <c r="L5592" t="s">
        <v>7084</v>
      </c>
      <c r="M5592" t="s">
        <v>7084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348"/>
        <v>25-36 Months</v>
      </c>
      <c r="W5592">
        <f t="shared" si="349"/>
        <v>0</v>
      </c>
      <c r="X5592">
        <f t="shared" si="350"/>
        <v>0</v>
      </c>
      <c r="Y5592" t="str">
        <f t="shared" si="351"/>
        <v>Non-Senior</v>
      </c>
    </row>
    <row r="5593" spans="1:25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348"/>
        <v>0-12 Months</v>
      </c>
      <c r="W5593">
        <f t="shared" si="349"/>
        <v>1</v>
      </c>
      <c r="X5593">
        <f t="shared" si="350"/>
        <v>88.45</v>
      </c>
      <c r="Y5593" t="str">
        <f t="shared" si="351"/>
        <v>Non-Senior</v>
      </c>
    </row>
    <row r="5594" spans="1:25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7082</v>
      </c>
      <c r="J5594" t="s">
        <v>7084</v>
      </c>
      <c r="K5594" t="s">
        <v>46</v>
      </c>
      <c r="L5594" t="s">
        <v>7084</v>
      </c>
      <c r="M5594" t="s">
        <v>7084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348"/>
        <v>13-24 Months</v>
      </c>
      <c r="W5594">
        <f t="shared" si="349"/>
        <v>0</v>
      </c>
      <c r="X5594">
        <f t="shared" si="350"/>
        <v>0</v>
      </c>
      <c r="Y5594" t="str">
        <f t="shared" si="351"/>
        <v>Non-Senior</v>
      </c>
    </row>
    <row r="5595" spans="1:25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348"/>
        <v>25-36 Months</v>
      </c>
      <c r="W5595">
        <f t="shared" si="349"/>
        <v>0</v>
      </c>
      <c r="X5595">
        <f t="shared" si="350"/>
        <v>0</v>
      </c>
      <c r="Y5595" t="str">
        <f t="shared" si="351"/>
        <v>Non-Senior</v>
      </c>
    </row>
    <row r="5596" spans="1:25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348"/>
        <v>13-24 Months</v>
      </c>
      <c r="W5596">
        <f t="shared" si="349"/>
        <v>0</v>
      </c>
      <c r="X5596">
        <f t="shared" si="350"/>
        <v>0</v>
      </c>
      <c r="Y5596" t="str">
        <f t="shared" si="351"/>
        <v>Non-Senior</v>
      </c>
    </row>
    <row r="5597" spans="1:25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7082</v>
      </c>
      <c r="J5597" t="s">
        <v>7084</v>
      </c>
      <c r="K5597" t="s">
        <v>46</v>
      </c>
      <c r="L5597" t="s">
        <v>7084</v>
      </c>
      <c r="M5597" t="s">
        <v>7084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348"/>
        <v>0-12 Months</v>
      </c>
      <c r="W5597">
        <f t="shared" si="349"/>
        <v>0</v>
      </c>
      <c r="X5597">
        <f t="shared" si="350"/>
        <v>0</v>
      </c>
      <c r="Y5597" t="str">
        <f t="shared" si="351"/>
        <v>Non-Senior</v>
      </c>
    </row>
    <row r="5598" spans="1:25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7082</v>
      </c>
      <c r="J5598" t="s">
        <v>7084</v>
      </c>
      <c r="K5598" t="s">
        <v>46</v>
      </c>
      <c r="L5598" t="s">
        <v>7084</v>
      </c>
      <c r="M5598" t="s">
        <v>7084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348"/>
        <v>61-72 Months</v>
      </c>
      <c r="W5598">
        <f t="shared" si="349"/>
        <v>0</v>
      </c>
      <c r="X5598">
        <f t="shared" si="350"/>
        <v>0</v>
      </c>
      <c r="Y5598" t="str">
        <f t="shared" si="351"/>
        <v>Non-Senior</v>
      </c>
    </row>
    <row r="5599" spans="1:25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348"/>
        <v>13-24 Months</v>
      </c>
      <c r="W5599">
        <f t="shared" si="349"/>
        <v>1</v>
      </c>
      <c r="X5599">
        <f t="shared" si="350"/>
        <v>90.5</v>
      </c>
      <c r="Y5599" t="str">
        <f t="shared" si="351"/>
        <v>Senior Citizen</v>
      </c>
    </row>
    <row r="5600" spans="1:25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7082</v>
      </c>
      <c r="J5600" t="s">
        <v>7084</v>
      </c>
      <c r="K5600" t="s">
        <v>46</v>
      </c>
      <c r="L5600" t="s">
        <v>7084</v>
      </c>
      <c r="M5600" t="s">
        <v>7084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348"/>
        <v>49-60 Months</v>
      </c>
      <c r="W5600">
        <f t="shared" si="349"/>
        <v>0</v>
      </c>
      <c r="X5600">
        <f t="shared" si="350"/>
        <v>0</v>
      </c>
      <c r="Y5600" t="str">
        <f t="shared" si="351"/>
        <v>Non-Senior</v>
      </c>
    </row>
    <row r="5601" spans="1:25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348"/>
        <v>0-12 Months</v>
      </c>
      <c r="W5601">
        <f t="shared" si="349"/>
        <v>1</v>
      </c>
      <c r="X5601">
        <f t="shared" si="350"/>
        <v>94.85</v>
      </c>
      <c r="Y5601" t="str">
        <f t="shared" si="351"/>
        <v>Non-Senior</v>
      </c>
    </row>
    <row r="5602" spans="1:25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348"/>
        <v>0-12 Months</v>
      </c>
      <c r="W5602">
        <f t="shared" si="349"/>
        <v>1</v>
      </c>
      <c r="X5602">
        <f t="shared" si="350"/>
        <v>69.95</v>
      </c>
      <c r="Y5602" t="str">
        <f t="shared" si="351"/>
        <v>Non-Senior</v>
      </c>
    </row>
    <row r="5603" spans="1:25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348"/>
        <v>25-36 Months</v>
      </c>
      <c r="W5603">
        <f t="shared" si="349"/>
        <v>0</v>
      </c>
      <c r="X5603">
        <f t="shared" si="350"/>
        <v>0</v>
      </c>
      <c r="Y5603" t="str">
        <f t="shared" si="351"/>
        <v>Non-Senior</v>
      </c>
    </row>
    <row r="5604" spans="1:25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348"/>
        <v>0-12 Months</v>
      </c>
      <c r="W5604">
        <f t="shared" si="349"/>
        <v>0</v>
      </c>
      <c r="X5604">
        <f t="shared" si="350"/>
        <v>0</v>
      </c>
      <c r="Y5604" t="str">
        <f t="shared" si="351"/>
        <v>Non-Senior</v>
      </c>
    </row>
    <row r="5605" spans="1:25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348"/>
        <v>0-12 Months</v>
      </c>
      <c r="W5605">
        <f t="shared" si="349"/>
        <v>1</v>
      </c>
      <c r="X5605">
        <f t="shared" si="350"/>
        <v>48.6</v>
      </c>
      <c r="Y5605" t="str">
        <f t="shared" si="351"/>
        <v>Non-Senior</v>
      </c>
    </row>
    <row r="5606" spans="1:25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348"/>
        <v>13-24 Months</v>
      </c>
      <c r="W5606">
        <f t="shared" si="349"/>
        <v>0</v>
      </c>
      <c r="X5606">
        <f t="shared" si="350"/>
        <v>0</v>
      </c>
      <c r="Y5606" t="str">
        <f t="shared" si="351"/>
        <v>Non-Senior</v>
      </c>
    </row>
    <row r="5607" spans="1:25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348"/>
        <v>0-12 Months</v>
      </c>
      <c r="W5607">
        <f t="shared" si="349"/>
        <v>0</v>
      </c>
      <c r="X5607">
        <f t="shared" si="350"/>
        <v>0</v>
      </c>
      <c r="Y5607" t="str">
        <f t="shared" si="351"/>
        <v>Non-Senior</v>
      </c>
    </row>
    <row r="5608" spans="1:25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348"/>
        <v>13-24 Months</v>
      </c>
      <c r="W5608">
        <f t="shared" si="349"/>
        <v>0</v>
      </c>
      <c r="X5608">
        <f t="shared" si="350"/>
        <v>0</v>
      </c>
      <c r="Y5608" t="str">
        <f t="shared" si="351"/>
        <v>Non-Senior</v>
      </c>
    </row>
    <row r="5609" spans="1:25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348"/>
        <v>37-48 Months</v>
      </c>
      <c r="W5609">
        <f t="shared" si="349"/>
        <v>1</v>
      </c>
      <c r="X5609">
        <f t="shared" si="350"/>
        <v>55.8</v>
      </c>
      <c r="Y5609" t="str">
        <f t="shared" si="351"/>
        <v>Senior Citizen</v>
      </c>
    </row>
    <row r="5610" spans="1:25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348"/>
        <v>13-24 Months</v>
      </c>
      <c r="W5610">
        <f t="shared" si="349"/>
        <v>0</v>
      </c>
      <c r="X5610">
        <f t="shared" si="350"/>
        <v>0</v>
      </c>
      <c r="Y5610" t="str">
        <f t="shared" si="351"/>
        <v>Non-Senior</v>
      </c>
    </row>
    <row r="5611" spans="1:25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348"/>
        <v>25-36 Months</v>
      </c>
      <c r="W5611">
        <f t="shared" si="349"/>
        <v>1</v>
      </c>
      <c r="X5611">
        <f t="shared" si="350"/>
        <v>80.150000000000006</v>
      </c>
      <c r="Y5611" t="str">
        <f t="shared" si="351"/>
        <v>Non-Senior</v>
      </c>
    </row>
    <row r="5612" spans="1:25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348"/>
        <v>0-12 Months</v>
      </c>
      <c r="W5612">
        <f t="shared" si="349"/>
        <v>1</v>
      </c>
      <c r="X5612">
        <f t="shared" si="350"/>
        <v>75.5</v>
      </c>
      <c r="Y5612" t="str">
        <f t="shared" si="351"/>
        <v>Non-Senior</v>
      </c>
    </row>
    <row r="5613" spans="1:25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348"/>
        <v>49-60 Months</v>
      </c>
      <c r="W5613">
        <f t="shared" si="349"/>
        <v>0</v>
      </c>
      <c r="X5613">
        <f t="shared" si="350"/>
        <v>0</v>
      </c>
      <c r="Y5613" t="str">
        <f t="shared" si="351"/>
        <v>Senior Citizen</v>
      </c>
    </row>
    <row r="5614" spans="1:25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348"/>
        <v>37-48 Months</v>
      </c>
      <c r="W5614">
        <f t="shared" si="349"/>
        <v>0</v>
      </c>
      <c r="X5614">
        <f t="shared" si="350"/>
        <v>0</v>
      </c>
      <c r="Y5614" t="str">
        <f t="shared" si="351"/>
        <v>Non-Senior</v>
      </c>
    </row>
    <row r="5615" spans="1:25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348"/>
        <v>61-72 Months</v>
      </c>
      <c r="W5615">
        <f t="shared" si="349"/>
        <v>0</v>
      </c>
      <c r="X5615">
        <f t="shared" si="350"/>
        <v>0</v>
      </c>
      <c r="Y5615" t="str">
        <f t="shared" si="351"/>
        <v>Non-Senior</v>
      </c>
    </row>
    <row r="5616" spans="1:25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348"/>
        <v>61-72 Months</v>
      </c>
      <c r="W5616">
        <f t="shared" si="349"/>
        <v>0</v>
      </c>
      <c r="X5616">
        <f t="shared" si="350"/>
        <v>0</v>
      </c>
      <c r="Y5616" t="str">
        <f t="shared" si="351"/>
        <v>Non-Senior</v>
      </c>
    </row>
    <row r="5617" spans="1:25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7082</v>
      </c>
      <c r="J5617" t="s">
        <v>7084</v>
      </c>
      <c r="K5617" t="s">
        <v>46</v>
      </c>
      <c r="L5617" t="s">
        <v>7084</v>
      </c>
      <c r="M5617" t="s">
        <v>7084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348"/>
        <v>0-12 Months</v>
      </c>
      <c r="W5617">
        <f t="shared" si="349"/>
        <v>1</v>
      </c>
      <c r="X5617">
        <f t="shared" si="350"/>
        <v>20.2</v>
      </c>
      <c r="Y5617" t="str">
        <f t="shared" si="351"/>
        <v>Non-Senior</v>
      </c>
    </row>
    <row r="5618" spans="1:25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348"/>
        <v>37-48 Months</v>
      </c>
      <c r="W5618">
        <f t="shared" si="349"/>
        <v>0</v>
      </c>
      <c r="X5618">
        <f t="shared" si="350"/>
        <v>0</v>
      </c>
      <c r="Y5618" t="str">
        <f t="shared" si="351"/>
        <v>Non-Senior</v>
      </c>
    </row>
    <row r="5619" spans="1:25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7082</v>
      </c>
      <c r="J5619" t="s">
        <v>7084</v>
      </c>
      <c r="K5619" t="s">
        <v>46</v>
      </c>
      <c r="L5619" t="s">
        <v>7084</v>
      </c>
      <c r="M5619" t="s">
        <v>7084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348"/>
        <v>0-12 Months</v>
      </c>
      <c r="W5619">
        <f t="shared" si="349"/>
        <v>0</v>
      </c>
      <c r="X5619">
        <f t="shared" si="350"/>
        <v>0</v>
      </c>
      <c r="Y5619" t="str">
        <f t="shared" si="351"/>
        <v>Non-Senior</v>
      </c>
    </row>
    <row r="5620" spans="1:25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7082</v>
      </c>
      <c r="J5620" t="s">
        <v>7084</v>
      </c>
      <c r="K5620" t="s">
        <v>46</v>
      </c>
      <c r="L5620" t="s">
        <v>7084</v>
      </c>
      <c r="M5620" t="s">
        <v>7084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348"/>
        <v>0-12 Months</v>
      </c>
      <c r="W5620">
        <f t="shared" si="349"/>
        <v>0</v>
      </c>
      <c r="X5620">
        <f t="shared" si="350"/>
        <v>0</v>
      </c>
      <c r="Y5620" t="str">
        <f t="shared" si="351"/>
        <v>Non-Senior</v>
      </c>
    </row>
    <row r="5621" spans="1:25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348"/>
        <v>13-24 Months</v>
      </c>
      <c r="W5621">
        <f t="shared" si="349"/>
        <v>0</v>
      </c>
      <c r="X5621">
        <f t="shared" si="350"/>
        <v>0</v>
      </c>
      <c r="Y5621" t="str">
        <f t="shared" si="351"/>
        <v>Senior Citizen</v>
      </c>
    </row>
    <row r="5622" spans="1:25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348"/>
        <v>61-72 Months</v>
      </c>
      <c r="W5622">
        <f t="shared" si="349"/>
        <v>0</v>
      </c>
      <c r="X5622">
        <f t="shared" si="350"/>
        <v>0</v>
      </c>
      <c r="Y5622" t="str">
        <f t="shared" si="351"/>
        <v>Non-Senior</v>
      </c>
    </row>
    <row r="5623" spans="1:25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348"/>
        <v>0-12 Months</v>
      </c>
      <c r="W5623">
        <f t="shared" si="349"/>
        <v>1</v>
      </c>
      <c r="X5623">
        <f t="shared" si="350"/>
        <v>74.75</v>
      </c>
      <c r="Y5623" t="str">
        <f t="shared" si="351"/>
        <v>Non-Senior</v>
      </c>
    </row>
    <row r="5624" spans="1:25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348"/>
        <v>13-24 Months</v>
      </c>
      <c r="W5624">
        <f t="shared" si="349"/>
        <v>1</v>
      </c>
      <c r="X5624">
        <f t="shared" si="350"/>
        <v>104.05</v>
      </c>
      <c r="Y5624" t="str">
        <f t="shared" si="351"/>
        <v>Non-Senior</v>
      </c>
    </row>
    <row r="5625" spans="1:25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348"/>
        <v>37-48 Months</v>
      </c>
      <c r="W5625">
        <f t="shared" si="349"/>
        <v>0</v>
      </c>
      <c r="X5625">
        <f t="shared" si="350"/>
        <v>0</v>
      </c>
      <c r="Y5625" t="str">
        <f t="shared" si="351"/>
        <v>Non-Senior</v>
      </c>
    </row>
    <row r="5626" spans="1:25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348"/>
        <v>61-72 Months</v>
      </c>
      <c r="W5626">
        <f t="shared" si="349"/>
        <v>0</v>
      </c>
      <c r="X5626">
        <f t="shared" si="350"/>
        <v>0</v>
      </c>
      <c r="Y5626" t="str">
        <f t="shared" si="351"/>
        <v>Senior Citizen</v>
      </c>
    </row>
    <row r="5627" spans="1:25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7082</v>
      </c>
      <c r="J5627" t="s">
        <v>7084</v>
      </c>
      <c r="K5627" t="s">
        <v>46</v>
      </c>
      <c r="L5627" t="s">
        <v>7084</v>
      </c>
      <c r="M5627" t="s">
        <v>7084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348"/>
        <v>13-24 Months</v>
      </c>
      <c r="W5627">
        <f t="shared" si="349"/>
        <v>0</v>
      </c>
      <c r="X5627">
        <f t="shared" si="350"/>
        <v>0</v>
      </c>
      <c r="Y5627" t="str">
        <f t="shared" si="351"/>
        <v>Non-Senior</v>
      </c>
    </row>
    <row r="5628" spans="1:25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348"/>
        <v>0-12 Months</v>
      </c>
      <c r="W5628">
        <f t="shared" si="349"/>
        <v>0</v>
      </c>
      <c r="X5628">
        <f t="shared" si="350"/>
        <v>0</v>
      </c>
      <c r="Y5628" t="str">
        <f t="shared" si="351"/>
        <v>Non-Senior</v>
      </c>
    </row>
    <row r="5629" spans="1:25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348"/>
        <v>0-12 Months</v>
      </c>
      <c r="W5629">
        <f t="shared" si="349"/>
        <v>0</v>
      </c>
      <c r="X5629">
        <f t="shared" si="350"/>
        <v>0</v>
      </c>
      <c r="Y5629" t="str">
        <f t="shared" si="351"/>
        <v>Senior Citizen</v>
      </c>
    </row>
    <row r="5630" spans="1:25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348"/>
        <v>13-24 Months</v>
      </c>
      <c r="W5630">
        <f t="shared" si="349"/>
        <v>1</v>
      </c>
      <c r="X5630">
        <f t="shared" si="350"/>
        <v>96.65</v>
      </c>
      <c r="Y5630" t="str">
        <f t="shared" si="351"/>
        <v>Non-Senior</v>
      </c>
    </row>
    <row r="5631" spans="1:25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7082</v>
      </c>
      <c r="J5631" t="s">
        <v>7084</v>
      </c>
      <c r="K5631" t="s">
        <v>46</v>
      </c>
      <c r="L5631" t="s">
        <v>7084</v>
      </c>
      <c r="M5631" t="s">
        <v>7084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348"/>
        <v>0-12 Months</v>
      </c>
      <c r="W5631">
        <f t="shared" si="349"/>
        <v>1</v>
      </c>
      <c r="X5631">
        <f t="shared" si="350"/>
        <v>20.05</v>
      </c>
      <c r="Y5631" t="str">
        <f t="shared" si="351"/>
        <v>Senior Citizen</v>
      </c>
    </row>
    <row r="5632" spans="1:25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348"/>
        <v>37-48 Months</v>
      </c>
      <c r="W5632">
        <f t="shared" si="349"/>
        <v>1</v>
      </c>
      <c r="X5632">
        <f t="shared" si="350"/>
        <v>103.45</v>
      </c>
      <c r="Y5632" t="str">
        <f t="shared" si="351"/>
        <v>Non-Senior</v>
      </c>
    </row>
    <row r="5633" spans="1:25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348"/>
        <v>0-12 Months</v>
      </c>
      <c r="W5633">
        <f t="shared" si="349"/>
        <v>0</v>
      </c>
      <c r="X5633">
        <f t="shared" si="350"/>
        <v>0</v>
      </c>
      <c r="Y5633" t="str">
        <f t="shared" si="351"/>
        <v>Non-Senior</v>
      </c>
    </row>
    <row r="5634" spans="1:25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7082</v>
      </c>
      <c r="J5634" t="s">
        <v>7084</v>
      </c>
      <c r="K5634" t="s">
        <v>46</v>
      </c>
      <c r="L5634" t="s">
        <v>7084</v>
      </c>
      <c r="M5634" t="s">
        <v>7084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si="348"/>
        <v>49-60 Months</v>
      </c>
      <c r="W5634">
        <f t="shared" si="349"/>
        <v>0</v>
      </c>
      <c r="X5634">
        <f t="shared" si="350"/>
        <v>0</v>
      </c>
      <c r="Y5634" t="str">
        <f t="shared" si="351"/>
        <v>Non-Senior</v>
      </c>
    </row>
    <row r="5635" spans="1:25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7082</v>
      </c>
      <c r="J5635" t="s">
        <v>7084</v>
      </c>
      <c r="K5635" t="s">
        <v>46</v>
      </c>
      <c r="L5635" t="s">
        <v>7084</v>
      </c>
      <c r="M5635" t="s">
        <v>7084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ref="V5635:V5698" si="352">IF(F5635&lt;=12,"0-12 Months",IF(F5635&lt;=24,"13-24 Months",IF(F5635&lt;=36,"25-36 Months",IF(F5635&lt;=48,"37-48 Months",IF(F5635&lt;=60,"49-60 Months","61-72 Months")))))</f>
        <v>0-12 Months</v>
      </c>
      <c r="W5635">
        <f t="shared" ref="W5635:W5698" si="353">IF(U5635="Yes",1,0)</f>
        <v>0</v>
      </c>
      <c r="X5635">
        <f t="shared" ref="X5635:X5698" si="354">IF(U5635="Yes",S5635,0)</f>
        <v>0</v>
      </c>
      <c r="Y5635" t="str">
        <f t="shared" ref="Y5635:Y5698" si="355">IF(C5635=1,"Senior Citizen","Non-Senior")</f>
        <v>Non-Senior</v>
      </c>
    </row>
    <row r="5636" spans="1:25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7082</v>
      </c>
      <c r="J5636" t="s">
        <v>7084</v>
      </c>
      <c r="K5636" t="s">
        <v>46</v>
      </c>
      <c r="L5636" t="s">
        <v>7084</v>
      </c>
      <c r="M5636" t="s">
        <v>7084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352"/>
        <v>0-12 Months</v>
      </c>
      <c r="W5636">
        <f t="shared" si="353"/>
        <v>1</v>
      </c>
      <c r="X5636">
        <f t="shared" si="354"/>
        <v>19.899999999999999</v>
      </c>
      <c r="Y5636" t="str">
        <f t="shared" si="355"/>
        <v>Non-Senior</v>
      </c>
    </row>
    <row r="5637" spans="1:25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352"/>
        <v>13-24 Months</v>
      </c>
      <c r="W5637">
        <f t="shared" si="353"/>
        <v>0</v>
      </c>
      <c r="X5637">
        <f t="shared" si="354"/>
        <v>0</v>
      </c>
      <c r="Y5637" t="str">
        <f t="shared" si="355"/>
        <v>Non-Senior</v>
      </c>
    </row>
    <row r="5638" spans="1:25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352"/>
        <v>13-24 Months</v>
      </c>
      <c r="W5638">
        <f t="shared" si="353"/>
        <v>1</v>
      </c>
      <c r="X5638">
        <f t="shared" si="354"/>
        <v>46.35</v>
      </c>
      <c r="Y5638" t="str">
        <f t="shared" si="355"/>
        <v>Non-Senior</v>
      </c>
    </row>
    <row r="5639" spans="1:25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352"/>
        <v>61-72 Months</v>
      </c>
      <c r="W5639">
        <f t="shared" si="353"/>
        <v>0</v>
      </c>
      <c r="X5639">
        <f t="shared" si="354"/>
        <v>0</v>
      </c>
      <c r="Y5639" t="str">
        <f t="shared" si="355"/>
        <v>Non-Senior</v>
      </c>
    </row>
    <row r="5640" spans="1:25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7082</v>
      </c>
      <c r="J5640" t="s">
        <v>7084</v>
      </c>
      <c r="K5640" t="s">
        <v>46</v>
      </c>
      <c r="L5640" t="s">
        <v>7084</v>
      </c>
      <c r="M5640" t="s">
        <v>7084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352"/>
        <v>0-12 Months</v>
      </c>
      <c r="W5640">
        <f t="shared" si="353"/>
        <v>1</v>
      </c>
      <c r="X5640">
        <f t="shared" si="354"/>
        <v>19.95</v>
      </c>
      <c r="Y5640" t="str">
        <f t="shared" si="355"/>
        <v>Non-Senior</v>
      </c>
    </row>
    <row r="5641" spans="1:25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7082</v>
      </c>
      <c r="J5641" t="s">
        <v>7084</v>
      </c>
      <c r="K5641" t="s">
        <v>46</v>
      </c>
      <c r="L5641" t="s">
        <v>7084</v>
      </c>
      <c r="M5641" t="s">
        <v>7084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352"/>
        <v>0-12 Months</v>
      </c>
      <c r="W5641">
        <f t="shared" si="353"/>
        <v>0</v>
      </c>
      <c r="X5641">
        <f t="shared" si="354"/>
        <v>0</v>
      </c>
      <c r="Y5641" t="str">
        <f t="shared" si="355"/>
        <v>Non-Senior</v>
      </c>
    </row>
    <row r="5642" spans="1:25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352"/>
        <v>0-12 Months</v>
      </c>
      <c r="W5642">
        <f t="shared" si="353"/>
        <v>1</v>
      </c>
      <c r="X5642">
        <f t="shared" si="354"/>
        <v>79.599999999999994</v>
      </c>
      <c r="Y5642" t="str">
        <f t="shared" si="355"/>
        <v>Non-Senior</v>
      </c>
    </row>
    <row r="5643" spans="1:25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7082</v>
      </c>
      <c r="J5643" t="s">
        <v>7084</v>
      </c>
      <c r="K5643" t="s">
        <v>46</v>
      </c>
      <c r="L5643" t="s">
        <v>7084</v>
      </c>
      <c r="M5643" t="s">
        <v>7084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352"/>
        <v>37-48 Months</v>
      </c>
      <c r="W5643">
        <f t="shared" si="353"/>
        <v>0</v>
      </c>
      <c r="X5643">
        <f t="shared" si="354"/>
        <v>0</v>
      </c>
      <c r="Y5643" t="str">
        <f t="shared" si="355"/>
        <v>Non-Senior</v>
      </c>
    </row>
    <row r="5644" spans="1:25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7082</v>
      </c>
      <c r="J5644" t="s">
        <v>7084</v>
      </c>
      <c r="K5644" t="s">
        <v>46</v>
      </c>
      <c r="L5644" t="s">
        <v>7084</v>
      </c>
      <c r="M5644" t="s">
        <v>7084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352"/>
        <v>13-24 Months</v>
      </c>
      <c r="W5644">
        <f t="shared" si="353"/>
        <v>0</v>
      </c>
      <c r="X5644">
        <f t="shared" si="354"/>
        <v>0</v>
      </c>
      <c r="Y5644" t="str">
        <f t="shared" si="355"/>
        <v>Non-Senior</v>
      </c>
    </row>
    <row r="5645" spans="1:25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352"/>
        <v>0-12 Months</v>
      </c>
      <c r="W5645">
        <f t="shared" si="353"/>
        <v>1</v>
      </c>
      <c r="X5645">
        <f t="shared" si="354"/>
        <v>75.900000000000006</v>
      </c>
      <c r="Y5645" t="str">
        <f t="shared" si="355"/>
        <v>Non-Senior</v>
      </c>
    </row>
    <row r="5646" spans="1:25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352"/>
        <v>0-12 Months</v>
      </c>
      <c r="W5646">
        <f t="shared" si="353"/>
        <v>1</v>
      </c>
      <c r="X5646">
        <f t="shared" si="354"/>
        <v>76.2</v>
      </c>
      <c r="Y5646" t="str">
        <f t="shared" si="355"/>
        <v>Non-Senior</v>
      </c>
    </row>
    <row r="5647" spans="1:25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352"/>
        <v>61-72 Months</v>
      </c>
      <c r="W5647">
        <f t="shared" si="353"/>
        <v>0</v>
      </c>
      <c r="X5647">
        <f t="shared" si="354"/>
        <v>0</v>
      </c>
      <c r="Y5647" t="str">
        <f t="shared" si="355"/>
        <v>Non-Senior</v>
      </c>
    </row>
    <row r="5648" spans="1:25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7082</v>
      </c>
      <c r="J5648" t="s">
        <v>7084</v>
      </c>
      <c r="K5648" t="s">
        <v>46</v>
      </c>
      <c r="L5648" t="s">
        <v>7084</v>
      </c>
      <c r="M5648" t="s">
        <v>7084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352"/>
        <v>0-12 Months</v>
      </c>
      <c r="W5648">
        <f t="shared" si="353"/>
        <v>1</v>
      </c>
      <c r="X5648">
        <f t="shared" si="354"/>
        <v>19.25</v>
      </c>
      <c r="Y5648" t="str">
        <f t="shared" si="355"/>
        <v>Non-Senior</v>
      </c>
    </row>
    <row r="5649" spans="1:25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352"/>
        <v>37-48 Months</v>
      </c>
      <c r="W5649">
        <f t="shared" si="353"/>
        <v>0</v>
      </c>
      <c r="X5649">
        <f t="shared" si="354"/>
        <v>0</v>
      </c>
      <c r="Y5649" t="str">
        <f t="shared" si="355"/>
        <v>Non-Senior</v>
      </c>
    </row>
    <row r="5650" spans="1:25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352"/>
        <v>25-36 Months</v>
      </c>
      <c r="W5650">
        <f t="shared" si="353"/>
        <v>0</v>
      </c>
      <c r="X5650">
        <f t="shared" si="354"/>
        <v>0</v>
      </c>
      <c r="Y5650" t="str">
        <f t="shared" si="355"/>
        <v>Senior Citizen</v>
      </c>
    </row>
    <row r="5651" spans="1:25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7082</v>
      </c>
      <c r="J5651" t="s">
        <v>7084</v>
      </c>
      <c r="K5651" t="s">
        <v>46</v>
      </c>
      <c r="L5651" t="s">
        <v>7084</v>
      </c>
      <c r="M5651" t="s">
        <v>7084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352"/>
        <v>25-36 Months</v>
      </c>
      <c r="W5651">
        <f t="shared" si="353"/>
        <v>0</v>
      </c>
      <c r="X5651">
        <f t="shared" si="354"/>
        <v>0</v>
      </c>
      <c r="Y5651" t="str">
        <f t="shared" si="355"/>
        <v>Non-Senior</v>
      </c>
    </row>
    <row r="5652" spans="1:25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352"/>
        <v>37-48 Months</v>
      </c>
      <c r="W5652">
        <f t="shared" si="353"/>
        <v>0</v>
      </c>
      <c r="X5652">
        <f t="shared" si="354"/>
        <v>0</v>
      </c>
      <c r="Y5652" t="str">
        <f t="shared" si="355"/>
        <v>Non-Senior</v>
      </c>
    </row>
    <row r="5653" spans="1:25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352"/>
        <v>37-48 Months</v>
      </c>
      <c r="W5653">
        <f t="shared" si="353"/>
        <v>1</v>
      </c>
      <c r="X5653">
        <f t="shared" si="354"/>
        <v>84.3</v>
      </c>
      <c r="Y5653" t="str">
        <f t="shared" si="355"/>
        <v>Non-Senior</v>
      </c>
    </row>
    <row r="5654" spans="1:25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352"/>
        <v>0-12 Months</v>
      </c>
      <c r="W5654">
        <f t="shared" si="353"/>
        <v>0</v>
      </c>
      <c r="X5654">
        <f t="shared" si="354"/>
        <v>0</v>
      </c>
      <c r="Y5654" t="str">
        <f t="shared" si="355"/>
        <v>Non-Senior</v>
      </c>
    </row>
    <row r="5655" spans="1:25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352"/>
        <v>0-12 Months</v>
      </c>
      <c r="W5655">
        <f t="shared" si="353"/>
        <v>1</v>
      </c>
      <c r="X5655">
        <f t="shared" si="354"/>
        <v>79</v>
      </c>
      <c r="Y5655" t="str">
        <f t="shared" si="355"/>
        <v>Non-Senior</v>
      </c>
    </row>
    <row r="5656" spans="1:25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352"/>
        <v>61-72 Months</v>
      </c>
      <c r="W5656">
        <f t="shared" si="353"/>
        <v>0</v>
      </c>
      <c r="X5656">
        <f t="shared" si="354"/>
        <v>0</v>
      </c>
      <c r="Y5656" t="str">
        <f t="shared" si="355"/>
        <v>Senior Citizen</v>
      </c>
    </row>
    <row r="5657" spans="1:25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7082</v>
      </c>
      <c r="J5657" t="s">
        <v>7084</v>
      </c>
      <c r="K5657" t="s">
        <v>46</v>
      </c>
      <c r="L5657" t="s">
        <v>7084</v>
      </c>
      <c r="M5657" t="s">
        <v>7084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352"/>
        <v>61-72 Months</v>
      </c>
      <c r="W5657">
        <f t="shared" si="353"/>
        <v>0</v>
      </c>
      <c r="X5657">
        <f t="shared" si="354"/>
        <v>0</v>
      </c>
      <c r="Y5657" t="str">
        <f t="shared" si="355"/>
        <v>Non-Senior</v>
      </c>
    </row>
    <row r="5658" spans="1:25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352"/>
        <v>0-12 Months</v>
      </c>
      <c r="W5658">
        <f t="shared" si="353"/>
        <v>0</v>
      </c>
      <c r="X5658">
        <f t="shared" si="354"/>
        <v>0</v>
      </c>
      <c r="Y5658" t="str">
        <f t="shared" si="355"/>
        <v>Non-Senior</v>
      </c>
    </row>
    <row r="5659" spans="1:25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352"/>
        <v>13-24 Months</v>
      </c>
      <c r="W5659">
        <f t="shared" si="353"/>
        <v>0</v>
      </c>
      <c r="X5659">
        <f t="shared" si="354"/>
        <v>0</v>
      </c>
      <c r="Y5659" t="str">
        <f t="shared" si="355"/>
        <v>Non-Senior</v>
      </c>
    </row>
    <row r="5660" spans="1:25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352"/>
        <v>13-24 Months</v>
      </c>
      <c r="W5660">
        <f t="shared" si="353"/>
        <v>0</v>
      </c>
      <c r="X5660">
        <f t="shared" si="354"/>
        <v>0</v>
      </c>
      <c r="Y5660" t="str">
        <f t="shared" si="355"/>
        <v>Non-Senior</v>
      </c>
    </row>
    <row r="5661" spans="1:25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352"/>
        <v>61-72 Months</v>
      </c>
      <c r="W5661">
        <f t="shared" si="353"/>
        <v>0</v>
      </c>
      <c r="X5661">
        <f t="shared" si="354"/>
        <v>0</v>
      </c>
      <c r="Y5661" t="str">
        <f t="shared" si="355"/>
        <v>Non-Senior</v>
      </c>
    </row>
    <row r="5662" spans="1:25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352"/>
        <v>37-48 Months</v>
      </c>
      <c r="W5662">
        <f t="shared" si="353"/>
        <v>0</v>
      </c>
      <c r="X5662">
        <f t="shared" si="354"/>
        <v>0</v>
      </c>
      <c r="Y5662" t="str">
        <f t="shared" si="355"/>
        <v>Non-Senior</v>
      </c>
    </row>
    <row r="5663" spans="1:25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7082</v>
      </c>
      <c r="J5663" t="s">
        <v>7084</v>
      </c>
      <c r="K5663" t="s">
        <v>46</v>
      </c>
      <c r="L5663" t="s">
        <v>7084</v>
      </c>
      <c r="M5663" t="s">
        <v>7084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352"/>
        <v>0-12 Months</v>
      </c>
      <c r="W5663">
        <f t="shared" si="353"/>
        <v>0</v>
      </c>
      <c r="X5663">
        <f t="shared" si="354"/>
        <v>0</v>
      </c>
      <c r="Y5663" t="str">
        <f t="shared" si="355"/>
        <v>Non-Senior</v>
      </c>
    </row>
    <row r="5664" spans="1:25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352"/>
        <v>0-12 Months</v>
      </c>
      <c r="W5664">
        <f t="shared" si="353"/>
        <v>1</v>
      </c>
      <c r="X5664">
        <f t="shared" si="354"/>
        <v>70.25</v>
      </c>
      <c r="Y5664" t="str">
        <f t="shared" si="355"/>
        <v>Non-Senior</v>
      </c>
    </row>
    <row r="5665" spans="1:25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352"/>
        <v>37-48 Months</v>
      </c>
      <c r="W5665">
        <f t="shared" si="353"/>
        <v>0</v>
      </c>
      <c r="X5665">
        <f t="shared" si="354"/>
        <v>0</v>
      </c>
      <c r="Y5665" t="str">
        <f t="shared" si="355"/>
        <v>Non-Senior</v>
      </c>
    </row>
    <row r="5666" spans="1:25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352"/>
        <v>0-12 Months</v>
      </c>
      <c r="W5666">
        <f t="shared" si="353"/>
        <v>1</v>
      </c>
      <c r="X5666">
        <f t="shared" si="354"/>
        <v>84.6</v>
      </c>
      <c r="Y5666" t="str">
        <f t="shared" si="355"/>
        <v>Senior Citizen</v>
      </c>
    </row>
    <row r="5667" spans="1:25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352"/>
        <v>25-36 Months</v>
      </c>
      <c r="W5667">
        <f t="shared" si="353"/>
        <v>0</v>
      </c>
      <c r="X5667">
        <f t="shared" si="354"/>
        <v>0</v>
      </c>
      <c r="Y5667" t="str">
        <f t="shared" si="355"/>
        <v>Non-Senior</v>
      </c>
    </row>
    <row r="5668" spans="1:25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352"/>
        <v>25-36 Months</v>
      </c>
      <c r="W5668">
        <f t="shared" si="353"/>
        <v>0</v>
      </c>
      <c r="X5668">
        <f t="shared" si="354"/>
        <v>0</v>
      </c>
      <c r="Y5668" t="str">
        <f t="shared" si="355"/>
        <v>Non-Senior</v>
      </c>
    </row>
    <row r="5669" spans="1:25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7082</v>
      </c>
      <c r="J5669" t="s">
        <v>7084</v>
      </c>
      <c r="K5669" t="s">
        <v>46</v>
      </c>
      <c r="L5669" t="s">
        <v>7084</v>
      </c>
      <c r="M5669" t="s">
        <v>7084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352"/>
        <v>0-12 Months</v>
      </c>
      <c r="W5669">
        <f t="shared" si="353"/>
        <v>0</v>
      </c>
      <c r="X5669">
        <f t="shared" si="354"/>
        <v>0</v>
      </c>
      <c r="Y5669" t="str">
        <f t="shared" si="355"/>
        <v>Non-Senior</v>
      </c>
    </row>
    <row r="5670" spans="1:25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352"/>
        <v>37-48 Months</v>
      </c>
      <c r="W5670">
        <f t="shared" si="353"/>
        <v>0</v>
      </c>
      <c r="X5670">
        <f t="shared" si="354"/>
        <v>0</v>
      </c>
      <c r="Y5670" t="str">
        <f t="shared" si="355"/>
        <v>Senior Citizen</v>
      </c>
    </row>
    <row r="5671" spans="1:25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352"/>
        <v>37-48 Months</v>
      </c>
      <c r="W5671">
        <f t="shared" si="353"/>
        <v>0</v>
      </c>
      <c r="X5671">
        <f t="shared" si="354"/>
        <v>0</v>
      </c>
      <c r="Y5671" t="str">
        <f t="shared" si="355"/>
        <v>Senior Citizen</v>
      </c>
    </row>
    <row r="5672" spans="1:25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7082</v>
      </c>
      <c r="J5672" t="s">
        <v>7084</v>
      </c>
      <c r="K5672" t="s">
        <v>46</v>
      </c>
      <c r="L5672" t="s">
        <v>7084</v>
      </c>
      <c r="M5672" t="s">
        <v>7084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352"/>
        <v>13-24 Months</v>
      </c>
      <c r="W5672">
        <f t="shared" si="353"/>
        <v>1</v>
      </c>
      <c r="X5672">
        <f t="shared" si="354"/>
        <v>24.1</v>
      </c>
      <c r="Y5672" t="str">
        <f t="shared" si="355"/>
        <v>Non-Senior</v>
      </c>
    </row>
    <row r="5673" spans="1:25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7082</v>
      </c>
      <c r="J5673" t="s">
        <v>7084</v>
      </c>
      <c r="K5673" t="s">
        <v>46</v>
      </c>
      <c r="L5673" t="s">
        <v>7084</v>
      </c>
      <c r="M5673" t="s">
        <v>7084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352"/>
        <v>61-72 Months</v>
      </c>
      <c r="W5673">
        <f t="shared" si="353"/>
        <v>0</v>
      </c>
      <c r="X5673">
        <f t="shared" si="354"/>
        <v>0</v>
      </c>
      <c r="Y5673" t="str">
        <f t="shared" si="355"/>
        <v>Non-Senior</v>
      </c>
    </row>
    <row r="5674" spans="1:25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352"/>
        <v>49-60 Months</v>
      </c>
      <c r="W5674">
        <f t="shared" si="353"/>
        <v>0</v>
      </c>
      <c r="X5674">
        <f t="shared" si="354"/>
        <v>0</v>
      </c>
      <c r="Y5674" t="str">
        <f t="shared" si="355"/>
        <v>Non-Senior</v>
      </c>
    </row>
    <row r="5675" spans="1:25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7082</v>
      </c>
      <c r="J5675" t="s">
        <v>7084</v>
      </c>
      <c r="K5675" t="s">
        <v>46</v>
      </c>
      <c r="L5675" t="s">
        <v>7084</v>
      </c>
      <c r="M5675" t="s">
        <v>7084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352"/>
        <v>0-12 Months</v>
      </c>
      <c r="W5675">
        <f t="shared" si="353"/>
        <v>0</v>
      </c>
      <c r="X5675">
        <f t="shared" si="354"/>
        <v>0</v>
      </c>
      <c r="Y5675" t="str">
        <f t="shared" si="355"/>
        <v>Non-Senior</v>
      </c>
    </row>
    <row r="5676" spans="1:25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352"/>
        <v>61-72 Months</v>
      </c>
      <c r="W5676">
        <f t="shared" si="353"/>
        <v>0</v>
      </c>
      <c r="X5676">
        <f t="shared" si="354"/>
        <v>0</v>
      </c>
      <c r="Y5676" t="str">
        <f t="shared" si="355"/>
        <v>Non-Senior</v>
      </c>
    </row>
    <row r="5677" spans="1:25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352"/>
        <v>0-12 Months</v>
      </c>
      <c r="W5677">
        <f t="shared" si="353"/>
        <v>0</v>
      </c>
      <c r="X5677">
        <f t="shared" si="354"/>
        <v>0</v>
      </c>
      <c r="Y5677" t="str">
        <f t="shared" si="355"/>
        <v>Non-Senior</v>
      </c>
    </row>
    <row r="5678" spans="1:25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7082</v>
      </c>
      <c r="J5678" t="s">
        <v>7084</v>
      </c>
      <c r="K5678" t="s">
        <v>46</v>
      </c>
      <c r="L5678" t="s">
        <v>7084</v>
      </c>
      <c r="M5678" t="s">
        <v>7084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352"/>
        <v>0-12 Months</v>
      </c>
      <c r="W5678">
        <f t="shared" si="353"/>
        <v>0</v>
      </c>
      <c r="X5678">
        <f t="shared" si="354"/>
        <v>0</v>
      </c>
      <c r="Y5678" t="str">
        <f t="shared" si="355"/>
        <v>Non-Senior</v>
      </c>
    </row>
    <row r="5679" spans="1:25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352"/>
        <v>37-48 Months</v>
      </c>
      <c r="W5679">
        <f t="shared" si="353"/>
        <v>0</v>
      </c>
      <c r="X5679">
        <f t="shared" si="354"/>
        <v>0</v>
      </c>
      <c r="Y5679" t="str">
        <f t="shared" si="355"/>
        <v>Non-Senior</v>
      </c>
    </row>
    <row r="5680" spans="1:25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352"/>
        <v>0-12 Months</v>
      </c>
      <c r="W5680">
        <f t="shared" si="353"/>
        <v>1</v>
      </c>
      <c r="X5680">
        <f t="shared" si="354"/>
        <v>60</v>
      </c>
      <c r="Y5680" t="str">
        <f t="shared" si="355"/>
        <v>Non-Senior</v>
      </c>
    </row>
    <row r="5681" spans="1:25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352"/>
        <v>0-12 Months</v>
      </c>
      <c r="W5681">
        <f t="shared" si="353"/>
        <v>1</v>
      </c>
      <c r="X5681">
        <f t="shared" si="354"/>
        <v>86.55</v>
      </c>
      <c r="Y5681" t="str">
        <f t="shared" si="355"/>
        <v>Non-Senior</v>
      </c>
    </row>
    <row r="5682" spans="1:25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7082</v>
      </c>
      <c r="J5682" t="s">
        <v>7084</v>
      </c>
      <c r="K5682" t="s">
        <v>46</v>
      </c>
      <c r="L5682" t="s">
        <v>7084</v>
      </c>
      <c r="M5682" t="s">
        <v>7084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352"/>
        <v>0-12 Months</v>
      </c>
      <c r="W5682">
        <f t="shared" si="353"/>
        <v>1</v>
      </c>
      <c r="X5682">
        <f t="shared" si="354"/>
        <v>20.85</v>
      </c>
      <c r="Y5682" t="str">
        <f t="shared" si="355"/>
        <v>Senior Citizen</v>
      </c>
    </row>
    <row r="5683" spans="1:25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352"/>
        <v>25-36 Months</v>
      </c>
      <c r="W5683">
        <f t="shared" si="353"/>
        <v>0</v>
      </c>
      <c r="X5683">
        <f t="shared" si="354"/>
        <v>0</v>
      </c>
      <c r="Y5683" t="str">
        <f t="shared" si="355"/>
        <v>Senior Citizen</v>
      </c>
    </row>
    <row r="5684" spans="1:25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352"/>
        <v>0-12 Months</v>
      </c>
      <c r="W5684">
        <f t="shared" si="353"/>
        <v>0</v>
      </c>
      <c r="X5684">
        <f t="shared" si="354"/>
        <v>0</v>
      </c>
      <c r="Y5684" t="str">
        <f t="shared" si="355"/>
        <v>Non-Senior</v>
      </c>
    </row>
    <row r="5685" spans="1:25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352"/>
        <v>37-48 Months</v>
      </c>
      <c r="W5685">
        <f t="shared" si="353"/>
        <v>1</v>
      </c>
      <c r="X5685">
        <f t="shared" si="354"/>
        <v>50.75</v>
      </c>
      <c r="Y5685" t="str">
        <f t="shared" si="355"/>
        <v>Non-Senior</v>
      </c>
    </row>
    <row r="5686" spans="1:25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352"/>
        <v>49-60 Months</v>
      </c>
      <c r="W5686">
        <f t="shared" si="353"/>
        <v>1</v>
      </c>
      <c r="X5686">
        <f t="shared" si="354"/>
        <v>105.5</v>
      </c>
      <c r="Y5686" t="str">
        <f t="shared" si="355"/>
        <v>Senior Citizen</v>
      </c>
    </row>
    <row r="5687" spans="1:25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7082</v>
      </c>
      <c r="J5687" t="s">
        <v>7084</v>
      </c>
      <c r="K5687" t="s">
        <v>46</v>
      </c>
      <c r="L5687" t="s">
        <v>7084</v>
      </c>
      <c r="M5687" t="s">
        <v>7084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352"/>
        <v>37-48 Months</v>
      </c>
      <c r="W5687">
        <f t="shared" si="353"/>
        <v>0</v>
      </c>
      <c r="X5687">
        <f t="shared" si="354"/>
        <v>0</v>
      </c>
      <c r="Y5687" t="str">
        <f t="shared" si="355"/>
        <v>Non-Senior</v>
      </c>
    </row>
    <row r="5688" spans="1:25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352"/>
        <v>0-12 Months</v>
      </c>
      <c r="W5688">
        <f t="shared" si="353"/>
        <v>1</v>
      </c>
      <c r="X5688">
        <f t="shared" si="354"/>
        <v>85.15</v>
      </c>
      <c r="Y5688" t="str">
        <f t="shared" si="355"/>
        <v>Senior Citizen</v>
      </c>
    </row>
    <row r="5689" spans="1:25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352"/>
        <v>37-48 Months</v>
      </c>
      <c r="W5689">
        <f t="shared" si="353"/>
        <v>0</v>
      </c>
      <c r="X5689">
        <f t="shared" si="354"/>
        <v>0</v>
      </c>
      <c r="Y5689" t="str">
        <f t="shared" si="355"/>
        <v>Non-Senior</v>
      </c>
    </row>
    <row r="5690" spans="1:25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7082</v>
      </c>
      <c r="J5690" t="s">
        <v>7084</v>
      </c>
      <c r="K5690" t="s">
        <v>46</v>
      </c>
      <c r="L5690" t="s">
        <v>7084</v>
      </c>
      <c r="M5690" t="s">
        <v>7084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352"/>
        <v>37-48 Months</v>
      </c>
      <c r="W5690">
        <f t="shared" si="353"/>
        <v>0</v>
      </c>
      <c r="X5690">
        <f t="shared" si="354"/>
        <v>0</v>
      </c>
      <c r="Y5690" t="str">
        <f t="shared" si="355"/>
        <v>Non-Senior</v>
      </c>
    </row>
    <row r="5691" spans="1:25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352"/>
        <v>0-12 Months</v>
      </c>
      <c r="W5691">
        <f t="shared" si="353"/>
        <v>0</v>
      </c>
      <c r="X5691">
        <f t="shared" si="354"/>
        <v>0</v>
      </c>
      <c r="Y5691" t="str">
        <f t="shared" si="355"/>
        <v>Non-Senior</v>
      </c>
    </row>
    <row r="5692" spans="1:25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352"/>
        <v>61-72 Months</v>
      </c>
      <c r="W5692">
        <f t="shared" si="353"/>
        <v>0</v>
      </c>
      <c r="X5692">
        <f t="shared" si="354"/>
        <v>0</v>
      </c>
      <c r="Y5692" t="str">
        <f t="shared" si="355"/>
        <v>Non-Senior</v>
      </c>
    </row>
    <row r="5693" spans="1:25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7082</v>
      </c>
      <c r="J5693" t="s">
        <v>7084</v>
      </c>
      <c r="K5693" t="s">
        <v>46</v>
      </c>
      <c r="L5693" t="s">
        <v>7084</v>
      </c>
      <c r="M5693" t="s">
        <v>7084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352"/>
        <v>0-12 Months</v>
      </c>
      <c r="W5693">
        <f t="shared" si="353"/>
        <v>0</v>
      </c>
      <c r="X5693">
        <f t="shared" si="354"/>
        <v>0</v>
      </c>
      <c r="Y5693" t="str">
        <f t="shared" si="355"/>
        <v>Non-Senior</v>
      </c>
    </row>
    <row r="5694" spans="1:25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352"/>
        <v>0-12 Months</v>
      </c>
      <c r="W5694">
        <f t="shared" si="353"/>
        <v>0</v>
      </c>
      <c r="X5694">
        <f t="shared" si="354"/>
        <v>0</v>
      </c>
      <c r="Y5694" t="str">
        <f t="shared" si="355"/>
        <v>Non-Senior</v>
      </c>
    </row>
    <row r="5695" spans="1:25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352"/>
        <v>61-72 Months</v>
      </c>
      <c r="W5695">
        <f t="shared" si="353"/>
        <v>0</v>
      </c>
      <c r="X5695">
        <f t="shared" si="354"/>
        <v>0</v>
      </c>
      <c r="Y5695" t="str">
        <f t="shared" si="355"/>
        <v>Senior Citizen</v>
      </c>
    </row>
    <row r="5696" spans="1:25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352"/>
        <v>25-36 Months</v>
      </c>
      <c r="W5696">
        <f t="shared" si="353"/>
        <v>0</v>
      </c>
      <c r="X5696">
        <f t="shared" si="354"/>
        <v>0</v>
      </c>
      <c r="Y5696" t="str">
        <f t="shared" si="355"/>
        <v>Non-Senior</v>
      </c>
    </row>
    <row r="5697" spans="1:25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352"/>
        <v>61-72 Months</v>
      </c>
      <c r="W5697">
        <f t="shared" si="353"/>
        <v>0</v>
      </c>
      <c r="X5697">
        <f t="shared" si="354"/>
        <v>0</v>
      </c>
      <c r="Y5697" t="str">
        <f t="shared" si="355"/>
        <v>Non-Senior</v>
      </c>
    </row>
    <row r="5698" spans="1:25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si="352"/>
        <v>13-24 Months</v>
      </c>
      <c r="W5698">
        <f t="shared" si="353"/>
        <v>1</v>
      </c>
      <c r="X5698">
        <f t="shared" si="354"/>
        <v>54.2</v>
      </c>
      <c r="Y5698" t="str">
        <f t="shared" si="355"/>
        <v>Non-Senior</v>
      </c>
    </row>
    <row r="5699" spans="1:25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ref="V5699:V5762" si="356">IF(F5699&lt;=12,"0-12 Months",IF(F5699&lt;=24,"13-24 Months",IF(F5699&lt;=36,"25-36 Months",IF(F5699&lt;=48,"37-48 Months",IF(F5699&lt;=60,"49-60 Months","61-72 Months")))))</f>
        <v>61-72 Months</v>
      </c>
      <c r="W5699">
        <f t="shared" ref="W5699:W5762" si="357">IF(U5699="Yes",1,0)</f>
        <v>1</v>
      </c>
      <c r="X5699">
        <f t="shared" ref="X5699:X5762" si="358">IF(U5699="Yes",S5699,0)</f>
        <v>109.5</v>
      </c>
      <c r="Y5699" t="str">
        <f t="shared" ref="Y5699:Y5762" si="359">IF(C5699=1,"Senior Citizen","Non-Senior")</f>
        <v>Non-Senior</v>
      </c>
    </row>
    <row r="5700" spans="1:25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356"/>
        <v>13-24 Months</v>
      </c>
      <c r="W5700">
        <f t="shared" si="357"/>
        <v>1</v>
      </c>
      <c r="X5700">
        <f t="shared" si="358"/>
        <v>104.4</v>
      </c>
      <c r="Y5700" t="str">
        <f t="shared" si="359"/>
        <v>Non-Senior</v>
      </c>
    </row>
    <row r="5701" spans="1:25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356"/>
        <v>13-24 Months</v>
      </c>
      <c r="W5701">
        <f t="shared" si="357"/>
        <v>0</v>
      </c>
      <c r="X5701">
        <f t="shared" si="358"/>
        <v>0</v>
      </c>
      <c r="Y5701" t="str">
        <f t="shared" si="359"/>
        <v>Non-Senior</v>
      </c>
    </row>
    <row r="5702" spans="1:25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356"/>
        <v>25-36 Months</v>
      </c>
      <c r="W5702">
        <f t="shared" si="357"/>
        <v>0</v>
      </c>
      <c r="X5702">
        <f t="shared" si="358"/>
        <v>0</v>
      </c>
      <c r="Y5702" t="str">
        <f t="shared" si="359"/>
        <v>Senior Citizen</v>
      </c>
    </row>
    <row r="5703" spans="1:25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356"/>
        <v>13-24 Months</v>
      </c>
      <c r="W5703">
        <f t="shared" si="357"/>
        <v>0</v>
      </c>
      <c r="X5703">
        <f t="shared" si="358"/>
        <v>0</v>
      </c>
      <c r="Y5703" t="str">
        <f t="shared" si="359"/>
        <v>Non-Senior</v>
      </c>
    </row>
    <row r="5704" spans="1:25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356"/>
        <v>61-72 Months</v>
      </c>
      <c r="W5704">
        <f t="shared" si="357"/>
        <v>1</v>
      </c>
      <c r="X5704">
        <f t="shared" si="358"/>
        <v>105.1</v>
      </c>
      <c r="Y5704" t="str">
        <f t="shared" si="359"/>
        <v>Senior Citizen</v>
      </c>
    </row>
    <row r="5705" spans="1:25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7082</v>
      </c>
      <c r="J5705" t="s">
        <v>7084</v>
      </c>
      <c r="K5705" t="s">
        <v>46</v>
      </c>
      <c r="L5705" t="s">
        <v>7084</v>
      </c>
      <c r="M5705" t="s">
        <v>7084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356"/>
        <v>61-72 Months</v>
      </c>
      <c r="W5705">
        <f t="shared" si="357"/>
        <v>0</v>
      </c>
      <c r="X5705">
        <f t="shared" si="358"/>
        <v>0</v>
      </c>
      <c r="Y5705" t="str">
        <f t="shared" si="359"/>
        <v>Senior Citizen</v>
      </c>
    </row>
    <row r="5706" spans="1:25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356"/>
        <v>13-24 Months</v>
      </c>
      <c r="W5706">
        <f t="shared" si="357"/>
        <v>0</v>
      </c>
      <c r="X5706">
        <f t="shared" si="358"/>
        <v>0</v>
      </c>
      <c r="Y5706" t="str">
        <f t="shared" si="359"/>
        <v>Non-Senior</v>
      </c>
    </row>
    <row r="5707" spans="1:25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7082</v>
      </c>
      <c r="J5707" t="s">
        <v>7084</v>
      </c>
      <c r="K5707" t="s">
        <v>46</v>
      </c>
      <c r="L5707" t="s">
        <v>7084</v>
      </c>
      <c r="M5707" t="s">
        <v>7084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356"/>
        <v>0-12 Months</v>
      </c>
      <c r="W5707">
        <f t="shared" si="357"/>
        <v>0</v>
      </c>
      <c r="X5707">
        <f t="shared" si="358"/>
        <v>0</v>
      </c>
      <c r="Y5707" t="str">
        <f t="shared" si="359"/>
        <v>Non-Senior</v>
      </c>
    </row>
    <row r="5708" spans="1:25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356"/>
        <v>0-12 Months</v>
      </c>
      <c r="W5708">
        <f t="shared" si="357"/>
        <v>1</v>
      </c>
      <c r="X5708">
        <f t="shared" si="358"/>
        <v>75.7</v>
      </c>
      <c r="Y5708" t="str">
        <f t="shared" si="359"/>
        <v>Non-Senior</v>
      </c>
    </row>
    <row r="5709" spans="1:25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356"/>
        <v>0-12 Months</v>
      </c>
      <c r="W5709">
        <f t="shared" si="357"/>
        <v>0</v>
      </c>
      <c r="X5709">
        <f t="shared" si="358"/>
        <v>0</v>
      </c>
      <c r="Y5709" t="str">
        <f t="shared" si="359"/>
        <v>Non-Senior</v>
      </c>
    </row>
    <row r="5710" spans="1:25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356"/>
        <v>0-12 Months</v>
      </c>
      <c r="W5710">
        <f t="shared" si="357"/>
        <v>0</v>
      </c>
      <c r="X5710">
        <f t="shared" si="358"/>
        <v>0</v>
      </c>
      <c r="Y5710" t="str">
        <f t="shared" si="359"/>
        <v>Senior Citizen</v>
      </c>
    </row>
    <row r="5711" spans="1:25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7082</v>
      </c>
      <c r="J5711" t="s">
        <v>7084</v>
      </c>
      <c r="K5711" t="s">
        <v>46</v>
      </c>
      <c r="L5711" t="s">
        <v>7084</v>
      </c>
      <c r="M5711" t="s">
        <v>7084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356"/>
        <v>0-12 Months</v>
      </c>
      <c r="W5711">
        <f t="shared" si="357"/>
        <v>0</v>
      </c>
      <c r="X5711">
        <f t="shared" si="358"/>
        <v>0</v>
      </c>
      <c r="Y5711" t="str">
        <f t="shared" si="359"/>
        <v>Non-Senior</v>
      </c>
    </row>
    <row r="5712" spans="1:25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356"/>
        <v>61-72 Months</v>
      </c>
      <c r="W5712">
        <f t="shared" si="357"/>
        <v>0</v>
      </c>
      <c r="X5712">
        <f t="shared" si="358"/>
        <v>0</v>
      </c>
      <c r="Y5712" t="str">
        <f t="shared" si="359"/>
        <v>Non-Senior</v>
      </c>
    </row>
    <row r="5713" spans="1:25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356"/>
        <v>13-24 Months</v>
      </c>
      <c r="W5713">
        <f t="shared" si="357"/>
        <v>1</v>
      </c>
      <c r="X5713">
        <f t="shared" si="358"/>
        <v>90.8</v>
      </c>
      <c r="Y5713" t="str">
        <f t="shared" si="359"/>
        <v>Senior Citizen</v>
      </c>
    </row>
    <row r="5714" spans="1:25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7082</v>
      </c>
      <c r="J5714" t="s">
        <v>7084</v>
      </c>
      <c r="K5714" t="s">
        <v>46</v>
      </c>
      <c r="L5714" t="s">
        <v>7084</v>
      </c>
      <c r="M5714" t="s">
        <v>7084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356"/>
        <v>13-24 Months</v>
      </c>
      <c r="W5714">
        <f t="shared" si="357"/>
        <v>0</v>
      </c>
      <c r="X5714">
        <f t="shared" si="358"/>
        <v>0</v>
      </c>
      <c r="Y5714" t="str">
        <f t="shared" si="359"/>
        <v>Non-Senior</v>
      </c>
    </row>
    <row r="5715" spans="1:25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356"/>
        <v>49-60 Months</v>
      </c>
      <c r="W5715">
        <f t="shared" si="357"/>
        <v>0</v>
      </c>
      <c r="X5715">
        <f t="shared" si="358"/>
        <v>0</v>
      </c>
      <c r="Y5715" t="str">
        <f t="shared" si="359"/>
        <v>Senior Citizen</v>
      </c>
    </row>
    <row r="5716" spans="1:25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356"/>
        <v>0-12 Months</v>
      </c>
      <c r="W5716">
        <f t="shared" si="357"/>
        <v>1</v>
      </c>
      <c r="X5716">
        <f t="shared" si="358"/>
        <v>97.95</v>
      </c>
      <c r="Y5716" t="str">
        <f t="shared" si="359"/>
        <v>Non-Senior</v>
      </c>
    </row>
    <row r="5717" spans="1:25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356"/>
        <v>25-36 Months</v>
      </c>
      <c r="W5717">
        <f t="shared" si="357"/>
        <v>1</v>
      </c>
      <c r="X5717">
        <f t="shared" si="358"/>
        <v>108.15</v>
      </c>
      <c r="Y5717" t="str">
        <f t="shared" si="359"/>
        <v>Non-Senior</v>
      </c>
    </row>
    <row r="5718" spans="1:25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356"/>
        <v>0-12 Months</v>
      </c>
      <c r="W5718">
        <f t="shared" si="357"/>
        <v>0</v>
      </c>
      <c r="X5718">
        <f t="shared" si="358"/>
        <v>0</v>
      </c>
      <c r="Y5718" t="str">
        <f t="shared" si="359"/>
        <v>Non-Senior</v>
      </c>
    </row>
    <row r="5719" spans="1:25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356"/>
        <v>61-72 Months</v>
      </c>
      <c r="W5719">
        <f t="shared" si="357"/>
        <v>0</v>
      </c>
      <c r="X5719">
        <f t="shared" si="358"/>
        <v>0</v>
      </c>
      <c r="Y5719" t="str">
        <f t="shared" si="359"/>
        <v>Senior Citizen</v>
      </c>
    </row>
    <row r="5720" spans="1:25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356"/>
        <v>0-12 Months</v>
      </c>
      <c r="W5720">
        <f t="shared" si="357"/>
        <v>1</v>
      </c>
      <c r="X5720">
        <f t="shared" si="358"/>
        <v>80.5</v>
      </c>
      <c r="Y5720" t="str">
        <f t="shared" si="359"/>
        <v>Non-Senior</v>
      </c>
    </row>
    <row r="5721" spans="1:25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7082</v>
      </c>
      <c r="J5721" t="s">
        <v>7084</v>
      </c>
      <c r="K5721" t="s">
        <v>46</v>
      </c>
      <c r="L5721" t="s">
        <v>7084</v>
      </c>
      <c r="M5721" t="s">
        <v>7084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356"/>
        <v>13-24 Months</v>
      </c>
      <c r="W5721">
        <f t="shared" si="357"/>
        <v>0</v>
      </c>
      <c r="X5721">
        <f t="shared" si="358"/>
        <v>0</v>
      </c>
      <c r="Y5721" t="str">
        <f t="shared" si="359"/>
        <v>Non-Senior</v>
      </c>
    </row>
    <row r="5722" spans="1:25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356"/>
        <v>25-36 Months</v>
      </c>
      <c r="W5722">
        <f t="shared" si="357"/>
        <v>0</v>
      </c>
      <c r="X5722">
        <f t="shared" si="358"/>
        <v>0</v>
      </c>
      <c r="Y5722" t="str">
        <f t="shared" si="359"/>
        <v>Non-Senior</v>
      </c>
    </row>
    <row r="5723" spans="1:25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356"/>
        <v>25-36 Months</v>
      </c>
      <c r="W5723">
        <f t="shared" si="357"/>
        <v>0</v>
      </c>
      <c r="X5723">
        <f t="shared" si="358"/>
        <v>0</v>
      </c>
      <c r="Y5723" t="str">
        <f t="shared" si="359"/>
        <v>Non-Senior</v>
      </c>
    </row>
    <row r="5724" spans="1:25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356"/>
        <v>25-36 Months</v>
      </c>
      <c r="W5724">
        <f t="shared" si="357"/>
        <v>1</v>
      </c>
      <c r="X5724">
        <f t="shared" si="358"/>
        <v>104.3</v>
      </c>
      <c r="Y5724" t="str">
        <f t="shared" si="359"/>
        <v>Senior Citizen</v>
      </c>
    </row>
    <row r="5725" spans="1:25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356"/>
        <v>49-60 Months</v>
      </c>
      <c r="W5725">
        <f t="shared" si="357"/>
        <v>0</v>
      </c>
      <c r="X5725">
        <f t="shared" si="358"/>
        <v>0</v>
      </c>
      <c r="Y5725" t="str">
        <f t="shared" si="359"/>
        <v>Non-Senior</v>
      </c>
    </row>
    <row r="5726" spans="1:25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356"/>
        <v>0-12 Months</v>
      </c>
      <c r="W5726">
        <f t="shared" si="357"/>
        <v>1</v>
      </c>
      <c r="X5726">
        <f t="shared" si="358"/>
        <v>71.349999999999994</v>
      </c>
      <c r="Y5726" t="str">
        <f t="shared" si="359"/>
        <v>Non-Senior</v>
      </c>
    </row>
    <row r="5727" spans="1:25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7082</v>
      </c>
      <c r="J5727" t="s">
        <v>7084</v>
      </c>
      <c r="K5727" t="s">
        <v>46</v>
      </c>
      <c r="L5727" t="s">
        <v>7084</v>
      </c>
      <c r="M5727" t="s">
        <v>7084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356"/>
        <v>13-24 Months</v>
      </c>
      <c r="W5727">
        <f t="shared" si="357"/>
        <v>0</v>
      </c>
      <c r="X5727">
        <f t="shared" si="358"/>
        <v>0</v>
      </c>
      <c r="Y5727" t="str">
        <f t="shared" si="359"/>
        <v>Non-Senior</v>
      </c>
    </row>
    <row r="5728" spans="1:25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7082</v>
      </c>
      <c r="J5728" t="s">
        <v>7084</v>
      </c>
      <c r="K5728" t="s">
        <v>46</v>
      </c>
      <c r="L5728" t="s">
        <v>7084</v>
      </c>
      <c r="M5728" t="s">
        <v>7084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356"/>
        <v>37-48 Months</v>
      </c>
      <c r="W5728">
        <f t="shared" si="357"/>
        <v>0</v>
      </c>
      <c r="X5728">
        <f t="shared" si="358"/>
        <v>0</v>
      </c>
      <c r="Y5728" t="str">
        <f t="shared" si="359"/>
        <v>Non-Senior</v>
      </c>
    </row>
    <row r="5729" spans="1:25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356"/>
        <v>61-72 Months</v>
      </c>
      <c r="W5729">
        <f t="shared" si="357"/>
        <v>0</v>
      </c>
      <c r="X5729">
        <f t="shared" si="358"/>
        <v>0</v>
      </c>
      <c r="Y5729" t="str">
        <f t="shared" si="359"/>
        <v>Non-Senior</v>
      </c>
    </row>
    <row r="5730" spans="1:25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356"/>
        <v>13-24 Months</v>
      </c>
      <c r="W5730">
        <f t="shared" si="357"/>
        <v>1</v>
      </c>
      <c r="X5730">
        <f t="shared" si="358"/>
        <v>89.4</v>
      </c>
      <c r="Y5730" t="str">
        <f t="shared" si="359"/>
        <v>Non-Senior</v>
      </c>
    </row>
    <row r="5731" spans="1:25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356"/>
        <v>25-36 Months</v>
      </c>
      <c r="W5731">
        <f t="shared" si="357"/>
        <v>0</v>
      </c>
      <c r="X5731">
        <f t="shared" si="358"/>
        <v>0</v>
      </c>
      <c r="Y5731" t="str">
        <f t="shared" si="359"/>
        <v>Non-Senior</v>
      </c>
    </row>
    <row r="5732" spans="1:25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7082</v>
      </c>
      <c r="J5732" t="s">
        <v>7084</v>
      </c>
      <c r="K5732" t="s">
        <v>46</v>
      </c>
      <c r="L5732" t="s">
        <v>7084</v>
      </c>
      <c r="M5732" t="s">
        <v>7084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356"/>
        <v>61-72 Months</v>
      </c>
      <c r="W5732">
        <f t="shared" si="357"/>
        <v>0</v>
      </c>
      <c r="X5732">
        <f t="shared" si="358"/>
        <v>0</v>
      </c>
      <c r="Y5732" t="str">
        <f t="shared" si="359"/>
        <v>Non-Senior</v>
      </c>
    </row>
    <row r="5733" spans="1:25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7082</v>
      </c>
      <c r="J5733" t="s">
        <v>7084</v>
      </c>
      <c r="K5733" t="s">
        <v>46</v>
      </c>
      <c r="L5733" t="s">
        <v>7084</v>
      </c>
      <c r="M5733" t="s">
        <v>7084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356"/>
        <v>0-12 Months</v>
      </c>
      <c r="W5733">
        <f t="shared" si="357"/>
        <v>0</v>
      </c>
      <c r="X5733">
        <f t="shared" si="358"/>
        <v>0</v>
      </c>
      <c r="Y5733" t="str">
        <f t="shared" si="359"/>
        <v>Non-Senior</v>
      </c>
    </row>
    <row r="5734" spans="1:25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356"/>
        <v>13-24 Months</v>
      </c>
      <c r="W5734">
        <f t="shared" si="357"/>
        <v>0</v>
      </c>
      <c r="X5734">
        <f t="shared" si="358"/>
        <v>0</v>
      </c>
      <c r="Y5734" t="str">
        <f t="shared" si="359"/>
        <v>Senior Citizen</v>
      </c>
    </row>
    <row r="5735" spans="1:25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7082</v>
      </c>
      <c r="J5735" t="s">
        <v>7084</v>
      </c>
      <c r="K5735" t="s">
        <v>46</v>
      </c>
      <c r="L5735" t="s">
        <v>7084</v>
      </c>
      <c r="M5735" t="s">
        <v>7084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356"/>
        <v>61-72 Months</v>
      </c>
      <c r="W5735">
        <f t="shared" si="357"/>
        <v>0</v>
      </c>
      <c r="X5735">
        <f t="shared" si="358"/>
        <v>0</v>
      </c>
      <c r="Y5735" t="str">
        <f t="shared" si="359"/>
        <v>Non-Senior</v>
      </c>
    </row>
    <row r="5736" spans="1:25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356"/>
        <v>61-72 Months</v>
      </c>
      <c r="W5736">
        <f t="shared" si="357"/>
        <v>0</v>
      </c>
      <c r="X5736">
        <f t="shared" si="358"/>
        <v>0</v>
      </c>
      <c r="Y5736" t="str">
        <f t="shared" si="359"/>
        <v>Non-Senior</v>
      </c>
    </row>
    <row r="5737" spans="1:25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7082</v>
      </c>
      <c r="J5737" t="s">
        <v>7084</v>
      </c>
      <c r="K5737" t="s">
        <v>46</v>
      </c>
      <c r="L5737" t="s">
        <v>7084</v>
      </c>
      <c r="M5737" t="s">
        <v>7084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356"/>
        <v>37-48 Months</v>
      </c>
      <c r="W5737">
        <f t="shared" si="357"/>
        <v>0</v>
      </c>
      <c r="X5737">
        <f t="shared" si="358"/>
        <v>0</v>
      </c>
      <c r="Y5737" t="str">
        <f t="shared" si="359"/>
        <v>Non-Senior</v>
      </c>
    </row>
    <row r="5738" spans="1:25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7082</v>
      </c>
      <c r="J5738" t="s">
        <v>7084</v>
      </c>
      <c r="K5738" t="s">
        <v>46</v>
      </c>
      <c r="L5738" t="s">
        <v>7084</v>
      </c>
      <c r="M5738" t="s">
        <v>7084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356"/>
        <v>0-12 Months</v>
      </c>
      <c r="W5738">
        <f t="shared" si="357"/>
        <v>0</v>
      </c>
      <c r="X5738">
        <f t="shared" si="358"/>
        <v>0</v>
      </c>
      <c r="Y5738" t="str">
        <f t="shared" si="359"/>
        <v>Non-Senior</v>
      </c>
    </row>
    <row r="5739" spans="1:25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356"/>
        <v>13-24 Months</v>
      </c>
      <c r="W5739">
        <f t="shared" si="357"/>
        <v>0</v>
      </c>
      <c r="X5739">
        <f t="shared" si="358"/>
        <v>0</v>
      </c>
      <c r="Y5739" t="str">
        <f t="shared" si="359"/>
        <v>Non-Senior</v>
      </c>
    </row>
    <row r="5740" spans="1:25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7082</v>
      </c>
      <c r="J5740" t="s">
        <v>7084</v>
      </c>
      <c r="K5740" t="s">
        <v>46</v>
      </c>
      <c r="L5740" t="s">
        <v>7084</v>
      </c>
      <c r="M5740" t="s">
        <v>7084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356"/>
        <v>0-12 Months</v>
      </c>
      <c r="W5740">
        <f t="shared" si="357"/>
        <v>1</v>
      </c>
      <c r="X5740">
        <f t="shared" si="358"/>
        <v>20.6</v>
      </c>
      <c r="Y5740" t="str">
        <f t="shared" si="359"/>
        <v>Non-Senior</v>
      </c>
    </row>
    <row r="5741" spans="1:25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356"/>
        <v>61-72 Months</v>
      </c>
      <c r="W5741">
        <f t="shared" si="357"/>
        <v>0</v>
      </c>
      <c r="X5741">
        <f t="shared" si="358"/>
        <v>0</v>
      </c>
      <c r="Y5741" t="str">
        <f t="shared" si="359"/>
        <v>Senior Citizen</v>
      </c>
    </row>
    <row r="5742" spans="1:25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356"/>
        <v>61-72 Months</v>
      </c>
      <c r="W5742">
        <f t="shared" si="357"/>
        <v>0</v>
      </c>
      <c r="X5742">
        <f t="shared" si="358"/>
        <v>0</v>
      </c>
      <c r="Y5742" t="str">
        <f t="shared" si="359"/>
        <v>Non-Senior</v>
      </c>
    </row>
    <row r="5743" spans="1:25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356"/>
        <v>13-24 Months</v>
      </c>
      <c r="W5743">
        <f t="shared" si="357"/>
        <v>1</v>
      </c>
      <c r="X5743">
        <f t="shared" si="358"/>
        <v>99.95</v>
      </c>
      <c r="Y5743" t="str">
        <f t="shared" si="359"/>
        <v>Non-Senior</v>
      </c>
    </row>
    <row r="5744" spans="1:25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356"/>
        <v>61-72 Months</v>
      </c>
      <c r="W5744">
        <f t="shared" si="357"/>
        <v>0</v>
      </c>
      <c r="X5744">
        <f t="shared" si="358"/>
        <v>0</v>
      </c>
      <c r="Y5744" t="str">
        <f t="shared" si="359"/>
        <v>Senior Citizen</v>
      </c>
    </row>
    <row r="5745" spans="1:25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7082</v>
      </c>
      <c r="J5745" t="s">
        <v>7084</v>
      </c>
      <c r="K5745" t="s">
        <v>46</v>
      </c>
      <c r="L5745" t="s">
        <v>7084</v>
      </c>
      <c r="M5745" t="s">
        <v>7084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356"/>
        <v>37-48 Months</v>
      </c>
      <c r="W5745">
        <f t="shared" si="357"/>
        <v>0</v>
      </c>
      <c r="X5745">
        <f t="shared" si="358"/>
        <v>0</v>
      </c>
      <c r="Y5745" t="str">
        <f t="shared" si="359"/>
        <v>Senior Citizen</v>
      </c>
    </row>
    <row r="5746" spans="1:25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356"/>
        <v>37-48 Months</v>
      </c>
      <c r="W5746">
        <f t="shared" si="357"/>
        <v>0</v>
      </c>
      <c r="X5746">
        <f t="shared" si="358"/>
        <v>0</v>
      </c>
      <c r="Y5746" t="str">
        <f t="shared" si="359"/>
        <v>Senior Citizen</v>
      </c>
    </row>
    <row r="5747" spans="1:25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7082</v>
      </c>
      <c r="J5747" t="s">
        <v>7084</v>
      </c>
      <c r="K5747" t="s">
        <v>46</v>
      </c>
      <c r="L5747" t="s">
        <v>7084</v>
      </c>
      <c r="M5747" t="s">
        <v>7084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356"/>
        <v>61-72 Months</v>
      </c>
      <c r="W5747">
        <f t="shared" si="357"/>
        <v>0</v>
      </c>
      <c r="X5747">
        <f t="shared" si="358"/>
        <v>0</v>
      </c>
      <c r="Y5747" t="str">
        <f t="shared" si="359"/>
        <v>Non-Senior</v>
      </c>
    </row>
    <row r="5748" spans="1:25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356"/>
        <v>0-12 Months</v>
      </c>
      <c r="W5748">
        <f t="shared" si="357"/>
        <v>1</v>
      </c>
      <c r="X5748">
        <f t="shared" si="358"/>
        <v>81</v>
      </c>
      <c r="Y5748" t="str">
        <f t="shared" si="359"/>
        <v>Non-Senior</v>
      </c>
    </row>
    <row r="5749" spans="1:25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356"/>
        <v>25-36 Months</v>
      </c>
      <c r="W5749">
        <f t="shared" si="357"/>
        <v>0</v>
      </c>
      <c r="X5749">
        <f t="shared" si="358"/>
        <v>0</v>
      </c>
      <c r="Y5749" t="str">
        <f t="shared" si="359"/>
        <v>Non-Senior</v>
      </c>
    </row>
    <row r="5750" spans="1:25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356"/>
        <v>13-24 Months</v>
      </c>
      <c r="W5750">
        <f t="shared" si="357"/>
        <v>0</v>
      </c>
      <c r="X5750">
        <f t="shared" si="358"/>
        <v>0</v>
      </c>
      <c r="Y5750" t="str">
        <f t="shared" si="359"/>
        <v>Non-Senior</v>
      </c>
    </row>
    <row r="5751" spans="1:25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356"/>
        <v>49-60 Months</v>
      </c>
      <c r="W5751">
        <f t="shared" si="357"/>
        <v>0</v>
      </c>
      <c r="X5751">
        <f t="shared" si="358"/>
        <v>0</v>
      </c>
      <c r="Y5751" t="str">
        <f t="shared" si="359"/>
        <v>Senior Citizen</v>
      </c>
    </row>
    <row r="5752" spans="1:25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356"/>
        <v>13-24 Months</v>
      </c>
      <c r="W5752">
        <f t="shared" si="357"/>
        <v>1</v>
      </c>
      <c r="X5752">
        <f t="shared" si="358"/>
        <v>70.150000000000006</v>
      </c>
      <c r="Y5752" t="str">
        <f t="shared" si="359"/>
        <v>Senior Citizen</v>
      </c>
    </row>
    <row r="5753" spans="1:25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7082</v>
      </c>
      <c r="J5753" t="s">
        <v>7084</v>
      </c>
      <c r="K5753" t="s">
        <v>46</v>
      </c>
      <c r="L5753" t="s">
        <v>7084</v>
      </c>
      <c r="M5753" t="s">
        <v>7084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356"/>
        <v>37-48 Months</v>
      </c>
      <c r="W5753">
        <f t="shared" si="357"/>
        <v>0</v>
      </c>
      <c r="X5753">
        <f t="shared" si="358"/>
        <v>0</v>
      </c>
      <c r="Y5753" t="str">
        <f t="shared" si="359"/>
        <v>Non-Senior</v>
      </c>
    </row>
    <row r="5754" spans="1:25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7082</v>
      </c>
      <c r="J5754" t="s">
        <v>7084</v>
      </c>
      <c r="K5754" t="s">
        <v>46</v>
      </c>
      <c r="L5754" t="s">
        <v>7084</v>
      </c>
      <c r="M5754" t="s">
        <v>7084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356"/>
        <v>61-72 Months</v>
      </c>
      <c r="W5754">
        <f t="shared" si="357"/>
        <v>0</v>
      </c>
      <c r="X5754">
        <f t="shared" si="358"/>
        <v>0</v>
      </c>
      <c r="Y5754" t="str">
        <f t="shared" si="359"/>
        <v>Non-Senior</v>
      </c>
    </row>
    <row r="5755" spans="1:25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7082</v>
      </c>
      <c r="J5755" t="s">
        <v>7084</v>
      </c>
      <c r="K5755" t="s">
        <v>46</v>
      </c>
      <c r="L5755" t="s">
        <v>7084</v>
      </c>
      <c r="M5755" t="s">
        <v>7084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356"/>
        <v>0-12 Months</v>
      </c>
      <c r="W5755">
        <f t="shared" si="357"/>
        <v>0</v>
      </c>
      <c r="X5755">
        <f t="shared" si="358"/>
        <v>0</v>
      </c>
      <c r="Y5755" t="str">
        <f t="shared" si="359"/>
        <v>Non-Senior</v>
      </c>
    </row>
    <row r="5756" spans="1:25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7082</v>
      </c>
      <c r="J5756" t="s">
        <v>7084</v>
      </c>
      <c r="K5756" t="s">
        <v>46</v>
      </c>
      <c r="L5756" t="s">
        <v>7084</v>
      </c>
      <c r="M5756" t="s">
        <v>7084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356"/>
        <v>13-24 Months</v>
      </c>
      <c r="W5756">
        <f t="shared" si="357"/>
        <v>0</v>
      </c>
      <c r="X5756">
        <f t="shared" si="358"/>
        <v>0</v>
      </c>
      <c r="Y5756" t="str">
        <f t="shared" si="359"/>
        <v>Non-Senior</v>
      </c>
    </row>
    <row r="5757" spans="1:25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356"/>
        <v>13-24 Months</v>
      </c>
      <c r="W5757">
        <f t="shared" si="357"/>
        <v>0</v>
      </c>
      <c r="X5757">
        <f t="shared" si="358"/>
        <v>0</v>
      </c>
      <c r="Y5757" t="str">
        <f t="shared" si="359"/>
        <v>Senior Citizen</v>
      </c>
    </row>
    <row r="5758" spans="1:25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7082</v>
      </c>
      <c r="J5758" t="s">
        <v>7084</v>
      </c>
      <c r="K5758" t="s">
        <v>46</v>
      </c>
      <c r="L5758" t="s">
        <v>7084</v>
      </c>
      <c r="M5758" t="s">
        <v>7084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356"/>
        <v>49-60 Months</v>
      </c>
      <c r="W5758">
        <f t="shared" si="357"/>
        <v>0</v>
      </c>
      <c r="X5758">
        <f t="shared" si="358"/>
        <v>0</v>
      </c>
      <c r="Y5758" t="str">
        <f t="shared" si="359"/>
        <v>Non-Senior</v>
      </c>
    </row>
    <row r="5759" spans="1:25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7082</v>
      </c>
      <c r="J5759" t="s">
        <v>7084</v>
      </c>
      <c r="K5759" t="s">
        <v>46</v>
      </c>
      <c r="L5759" t="s">
        <v>7084</v>
      </c>
      <c r="M5759" t="s">
        <v>7084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356"/>
        <v>25-36 Months</v>
      </c>
      <c r="W5759">
        <f t="shared" si="357"/>
        <v>0</v>
      </c>
      <c r="X5759">
        <f t="shared" si="358"/>
        <v>0</v>
      </c>
      <c r="Y5759" t="str">
        <f t="shared" si="359"/>
        <v>Senior Citizen</v>
      </c>
    </row>
    <row r="5760" spans="1:25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7082</v>
      </c>
      <c r="J5760" t="s">
        <v>7084</v>
      </c>
      <c r="K5760" t="s">
        <v>46</v>
      </c>
      <c r="L5760" t="s">
        <v>7084</v>
      </c>
      <c r="M5760" t="s">
        <v>7084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356"/>
        <v>13-24 Months</v>
      </c>
      <c r="W5760">
        <f t="shared" si="357"/>
        <v>0</v>
      </c>
      <c r="X5760">
        <f t="shared" si="358"/>
        <v>0</v>
      </c>
      <c r="Y5760" t="str">
        <f t="shared" si="359"/>
        <v>Non-Senior</v>
      </c>
    </row>
    <row r="5761" spans="1:25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356"/>
        <v>0-12 Months</v>
      </c>
      <c r="W5761">
        <f t="shared" si="357"/>
        <v>1</v>
      </c>
      <c r="X5761">
        <f t="shared" si="358"/>
        <v>70.150000000000006</v>
      </c>
      <c r="Y5761" t="str">
        <f t="shared" si="359"/>
        <v>Non-Senior</v>
      </c>
    </row>
    <row r="5762" spans="1:25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si="356"/>
        <v>13-24 Months</v>
      </c>
      <c r="W5762">
        <f t="shared" si="357"/>
        <v>0</v>
      </c>
      <c r="X5762">
        <f t="shared" si="358"/>
        <v>0</v>
      </c>
      <c r="Y5762" t="str">
        <f t="shared" si="359"/>
        <v>Senior Citizen</v>
      </c>
    </row>
    <row r="5763" spans="1:25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ref="V5763:V5826" si="360">IF(F5763&lt;=12,"0-12 Months",IF(F5763&lt;=24,"13-24 Months",IF(F5763&lt;=36,"25-36 Months",IF(F5763&lt;=48,"37-48 Months",IF(F5763&lt;=60,"49-60 Months","61-72 Months")))))</f>
        <v>37-48 Months</v>
      </c>
      <c r="W5763">
        <f t="shared" ref="W5763:W5826" si="361">IF(U5763="Yes",1,0)</f>
        <v>0</v>
      </c>
      <c r="X5763">
        <f t="shared" ref="X5763:X5826" si="362">IF(U5763="Yes",S5763,0)</f>
        <v>0</v>
      </c>
      <c r="Y5763" t="str">
        <f t="shared" ref="Y5763:Y5826" si="363">IF(C5763=1,"Senior Citizen","Non-Senior")</f>
        <v>Non-Senior</v>
      </c>
    </row>
    <row r="5764" spans="1:25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360"/>
        <v>25-36 Months</v>
      </c>
      <c r="W5764">
        <f t="shared" si="361"/>
        <v>0</v>
      </c>
      <c r="X5764">
        <f t="shared" si="362"/>
        <v>0</v>
      </c>
      <c r="Y5764" t="str">
        <f t="shared" si="363"/>
        <v>Senior Citizen</v>
      </c>
    </row>
    <row r="5765" spans="1:25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360"/>
        <v>0-12 Months</v>
      </c>
      <c r="W5765">
        <f t="shared" si="361"/>
        <v>0</v>
      </c>
      <c r="X5765">
        <f t="shared" si="362"/>
        <v>0</v>
      </c>
      <c r="Y5765" t="str">
        <f t="shared" si="363"/>
        <v>Non-Senior</v>
      </c>
    </row>
    <row r="5766" spans="1:25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360"/>
        <v>49-60 Months</v>
      </c>
      <c r="W5766">
        <f t="shared" si="361"/>
        <v>0</v>
      </c>
      <c r="X5766">
        <f t="shared" si="362"/>
        <v>0</v>
      </c>
      <c r="Y5766" t="str">
        <f t="shared" si="363"/>
        <v>Senior Citizen</v>
      </c>
    </row>
    <row r="5767" spans="1:25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360"/>
        <v>61-72 Months</v>
      </c>
      <c r="W5767">
        <f t="shared" si="361"/>
        <v>1</v>
      </c>
      <c r="X5767">
        <f t="shared" si="362"/>
        <v>96.55</v>
      </c>
      <c r="Y5767" t="str">
        <f t="shared" si="363"/>
        <v>Senior Citizen</v>
      </c>
    </row>
    <row r="5768" spans="1:25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360"/>
        <v>13-24 Months</v>
      </c>
      <c r="W5768">
        <f t="shared" si="361"/>
        <v>0</v>
      </c>
      <c r="X5768">
        <f t="shared" si="362"/>
        <v>0</v>
      </c>
      <c r="Y5768" t="str">
        <f t="shared" si="363"/>
        <v>Non-Senior</v>
      </c>
    </row>
    <row r="5769" spans="1:25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360"/>
        <v>61-72 Months</v>
      </c>
      <c r="W5769">
        <f t="shared" si="361"/>
        <v>0</v>
      </c>
      <c r="X5769">
        <f t="shared" si="362"/>
        <v>0</v>
      </c>
      <c r="Y5769" t="str">
        <f t="shared" si="363"/>
        <v>Non-Senior</v>
      </c>
    </row>
    <row r="5770" spans="1:25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360"/>
        <v>37-48 Months</v>
      </c>
      <c r="W5770">
        <f t="shared" si="361"/>
        <v>0</v>
      </c>
      <c r="X5770">
        <f t="shared" si="362"/>
        <v>0</v>
      </c>
      <c r="Y5770" t="str">
        <f t="shared" si="363"/>
        <v>Non-Senior</v>
      </c>
    </row>
    <row r="5771" spans="1:25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360"/>
        <v>61-72 Months</v>
      </c>
      <c r="W5771">
        <f t="shared" si="361"/>
        <v>0</v>
      </c>
      <c r="X5771">
        <f t="shared" si="362"/>
        <v>0</v>
      </c>
      <c r="Y5771" t="str">
        <f t="shared" si="363"/>
        <v>Non-Senior</v>
      </c>
    </row>
    <row r="5772" spans="1:25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360"/>
        <v>37-48 Months</v>
      </c>
      <c r="W5772">
        <f t="shared" si="361"/>
        <v>0</v>
      </c>
      <c r="X5772">
        <f t="shared" si="362"/>
        <v>0</v>
      </c>
      <c r="Y5772" t="str">
        <f t="shared" si="363"/>
        <v>Non-Senior</v>
      </c>
    </row>
    <row r="5773" spans="1:25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7082</v>
      </c>
      <c r="J5773" t="s">
        <v>7084</v>
      </c>
      <c r="K5773" t="s">
        <v>46</v>
      </c>
      <c r="L5773" t="s">
        <v>7084</v>
      </c>
      <c r="M5773" t="s">
        <v>7084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360"/>
        <v>0-12 Months</v>
      </c>
      <c r="W5773">
        <f t="shared" si="361"/>
        <v>0</v>
      </c>
      <c r="X5773">
        <f t="shared" si="362"/>
        <v>0</v>
      </c>
      <c r="Y5773" t="str">
        <f t="shared" si="363"/>
        <v>Non-Senior</v>
      </c>
    </row>
    <row r="5774" spans="1:25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360"/>
        <v>61-72 Months</v>
      </c>
      <c r="W5774">
        <f t="shared" si="361"/>
        <v>0</v>
      </c>
      <c r="X5774">
        <f t="shared" si="362"/>
        <v>0</v>
      </c>
      <c r="Y5774" t="str">
        <f t="shared" si="363"/>
        <v>Non-Senior</v>
      </c>
    </row>
    <row r="5775" spans="1:25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360"/>
        <v>25-36 Months</v>
      </c>
      <c r="W5775">
        <f t="shared" si="361"/>
        <v>0</v>
      </c>
      <c r="X5775">
        <f t="shared" si="362"/>
        <v>0</v>
      </c>
      <c r="Y5775" t="str">
        <f t="shared" si="363"/>
        <v>Non-Senior</v>
      </c>
    </row>
    <row r="5776" spans="1:25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360"/>
        <v>0-12 Months</v>
      </c>
      <c r="W5776">
        <f t="shared" si="361"/>
        <v>0</v>
      </c>
      <c r="X5776">
        <f t="shared" si="362"/>
        <v>0</v>
      </c>
      <c r="Y5776" t="str">
        <f t="shared" si="363"/>
        <v>Non-Senior</v>
      </c>
    </row>
    <row r="5777" spans="1:25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360"/>
        <v>49-60 Months</v>
      </c>
      <c r="W5777">
        <f t="shared" si="361"/>
        <v>0</v>
      </c>
      <c r="X5777">
        <f t="shared" si="362"/>
        <v>0</v>
      </c>
      <c r="Y5777" t="str">
        <f t="shared" si="363"/>
        <v>Non-Senior</v>
      </c>
    </row>
    <row r="5778" spans="1:25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360"/>
        <v>61-72 Months</v>
      </c>
      <c r="W5778">
        <f t="shared" si="361"/>
        <v>0</v>
      </c>
      <c r="X5778">
        <f t="shared" si="362"/>
        <v>0</v>
      </c>
      <c r="Y5778" t="str">
        <f t="shared" si="363"/>
        <v>Non-Senior</v>
      </c>
    </row>
    <row r="5779" spans="1:25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360"/>
        <v>61-72 Months</v>
      </c>
      <c r="W5779">
        <f t="shared" si="361"/>
        <v>0</v>
      </c>
      <c r="X5779">
        <f t="shared" si="362"/>
        <v>0</v>
      </c>
      <c r="Y5779" t="str">
        <f t="shared" si="363"/>
        <v>Non-Senior</v>
      </c>
    </row>
    <row r="5780" spans="1:25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7082</v>
      </c>
      <c r="J5780" t="s">
        <v>7084</v>
      </c>
      <c r="K5780" t="s">
        <v>46</v>
      </c>
      <c r="L5780" t="s">
        <v>7084</v>
      </c>
      <c r="M5780" t="s">
        <v>7084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360"/>
        <v>0-12 Months</v>
      </c>
      <c r="W5780">
        <f t="shared" si="361"/>
        <v>0</v>
      </c>
      <c r="X5780">
        <f t="shared" si="362"/>
        <v>0</v>
      </c>
      <c r="Y5780" t="str">
        <f t="shared" si="363"/>
        <v>Non-Senior</v>
      </c>
    </row>
    <row r="5781" spans="1:25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360"/>
        <v>37-48 Months</v>
      </c>
      <c r="W5781">
        <f t="shared" si="361"/>
        <v>1</v>
      </c>
      <c r="X5781">
        <f t="shared" si="362"/>
        <v>95.55</v>
      </c>
      <c r="Y5781" t="str">
        <f t="shared" si="363"/>
        <v>Non-Senior</v>
      </c>
    </row>
    <row r="5782" spans="1:25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7082</v>
      </c>
      <c r="J5782" t="s">
        <v>7084</v>
      </c>
      <c r="K5782" t="s">
        <v>46</v>
      </c>
      <c r="L5782" t="s">
        <v>7084</v>
      </c>
      <c r="M5782" t="s">
        <v>7084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360"/>
        <v>49-60 Months</v>
      </c>
      <c r="W5782">
        <f t="shared" si="361"/>
        <v>0</v>
      </c>
      <c r="X5782">
        <f t="shared" si="362"/>
        <v>0</v>
      </c>
      <c r="Y5782" t="str">
        <f t="shared" si="363"/>
        <v>Non-Senior</v>
      </c>
    </row>
    <row r="5783" spans="1:25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360"/>
        <v>25-36 Months</v>
      </c>
      <c r="W5783">
        <f t="shared" si="361"/>
        <v>0</v>
      </c>
      <c r="X5783">
        <f t="shared" si="362"/>
        <v>0</v>
      </c>
      <c r="Y5783" t="str">
        <f t="shared" si="363"/>
        <v>Non-Senior</v>
      </c>
    </row>
    <row r="5784" spans="1:25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360"/>
        <v>0-12 Months</v>
      </c>
      <c r="W5784">
        <f t="shared" si="361"/>
        <v>1</v>
      </c>
      <c r="X5784">
        <f t="shared" si="362"/>
        <v>69.650000000000006</v>
      </c>
      <c r="Y5784" t="str">
        <f t="shared" si="363"/>
        <v>Senior Citizen</v>
      </c>
    </row>
    <row r="5785" spans="1:25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360"/>
        <v>0-12 Months</v>
      </c>
      <c r="W5785">
        <f t="shared" si="361"/>
        <v>1</v>
      </c>
      <c r="X5785">
        <f t="shared" si="362"/>
        <v>89.3</v>
      </c>
      <c r="Y5785" t="str">
        <f t="shared" si="363"/>
        <v>Senior Citizen</v>
      </c>
    </row>
    <row r="5786" spans="1:25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360"/>
        <v>13-24 Months</v>
      </c>
      <c r="W5786">
        <f t="shared" si="361"/>
        <v>0</v>
      </c>
      <c r="X5786">
        <f t="shared" si="362"/>
        <v>0</v>
      </c>
      <c r="Y5786" t="str">
        <f t="shared" si="363"/>
        <v>Non-Senior</v>
      </c>
    </row>
    <row r="5787" spans="1:25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7082</v>
      </c>
      <c r="J5787" t="s">
        <v>7084</v>
      </c>
      <c r="K5787" t="s">
        <v>46</v>
      </c>
      <c r="L5787" t="s">
        <v>7084</v>
      </c>
      <c r="M5787" t="s">
        <v>7084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360"/>
        <v>37-48 Months</v>
      </c>
      <c r="W5787">
        <f t="shared" si="361"/>
        <v>0</v>
      </c>
      <c r="X5787">
        <f t="shared" si="362"/>
        <v>0</v>
      </c>
      <c r="Y5787" t="str">
        <f t="shared" si="363"/>
        <v>Non-Senior</v>
      </c>
    </row>
    <row r="5788" spans="1:25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360"/>
        <v>61-72 Months</v>
      </c>
      <c r="W5788">
        <f t="shared" si="361"/>
        <v>0</v>
      </c>
      <c r="X5788">
        <f t="shared" si="362"/>
        <v>0</v>
      </c>
      <c r="Y5788" t="str">
        <f t="shared" si="363"/>
        <v>Non-Senior</v>
      </c>
    </row>
    <row r="5789" spans="1:25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360"/>
        <v>25-36 Months</v>
      </c>
      <c r="W5789">
        <f t="shared" si="361"/>
        <v>1</v>
      </c>
      <c r="X5789">
        <f t="shared" si="362"/>
        <v>87.55</v>
      </c>
      <c r="Y5789" t="str">
        <f t="shared" si="363"/>
        <v>Non-Senior</v>
      </c>
    </row>
    <row r="5790" spans="1:25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360"/>
        <v>0-12 Months</v>
      </c>
      <c r="W5790">
        <f t="shared" si="361"/>
        <v>0</v>
      </c>
      <c r="X5790">
        <f t="shared" si="362"/>
        <v>0</v>
      </c>
      <c r="Y5790" t="str">
        <f t="shared" si="363"/>
        <v>Non-Senior</v>
      </c>
    </row>
    <row r="5791" spans="1:25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7082</v>
      </c>
      <c r="J5791" t="s">
        <v>7084</v>
      </c>
      <c r="K5791" t="s">
        <v>46</v>
      </c>
      <c r="L5791" t="s">
        <v>7084</v>
      </c>
      <c r="M5791" t="s">
        <v>7084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360"/>
        <v>25-36 Months</v>
      </c>
      <c r="W5791">
        <f t="shared" si="361"/>
        <v>0</v>
      </c>
      <c r="X5791">
        <f t="shared" si="362"/>
        <v>0</v>
      </c>
      <c r="Y5791" t="str">
        <f t="shared" si="363"/>
        <v>Non-Senior</v>
      </c>
    </row>
    <row r="5792" spans="1:25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360"/>
        <v>37-48 Months</v>
      </c>
      <c r="W5792">
        <f t="shared" si="361"/>
        <v>0</v>
      </c>
      <c r="X5792">
        <f t="shared" si="362"/>
        <v>0</v>
      </c>
      <c r="Y5792" t="str">
        <f t="shared" si="363"/>
        <v>Non-Senior</v>
      </c>
    </row>
    <row r="5793" spans="1:25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360"/>
        <v>61-72 Months</v>
      </c>
      <c r="W5793">
        <f t="shared" si="361"/>
        <v>0</v>
      </c>
      <c r="X5793">
        <f t="shared" si="362"/>
        <v>0</v>
      </c>
      <c r="Y5793" t="str">
        <f t="shared" si="363"/>
        <v>Non-Senior</v>
      </c>
    </row>
    <row r="5794" spans="1:25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360"/>
        <v>13-24 Months</v>
      </c>
      <c r="W5794">
        <f t="shared" si="361"/>
        <v>1</v>
      </c>
      <c r="X5794">
        <f t="shared" si="362"/>
        <v>96.3</v>
      </c>
      <c r="Y5794" t="str">
        <f t="shared" si="363"/>
        <v>Senior Citizen</v>
      </c>
    </row>
    <row r="5795" spans="1:25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360"/>
        <v>13-24 Months</v>
      </c>
      <c r="W5795">
        <f t="shared" si="361"/>
        <v>0</v>
      </c>
      <c r="X5795">
        <f t="shared" si="362"/>
        <v>0</v>
      </c>
      <c r="Y5795" t="str">
        <f t="shared" si="363"/>
        <v>Non-Senior</v>
      </c>
    </row>
    <row r="5796" spans="1:25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360"/>
        <v>61-72 Months</v>
      </c>
      <c r="W5796">
        <f t="shared" si="361"/>
        <v>0</v>
      </c>
      <c r="X5796">
        <f t="shared" si="362"/>
        <v>0</v>
      </c>
      <c r="Y5796" t="str">
        <f t="shared" si="363"/>
        <v>Senior Citizen</v>
      </c>
    </row>
    <row r="5797" spans="1:25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360"/>
        <v>37-48 Months</v>
      </c>
      <c r="W5797">
        <f t="shared" si="361"/>
        <v>0</v>
      </c>
      <c r="X5797">
        <f t="shared" si="362"/>
        <v>0</v>
      </c>
      <c r="Y5797" t="str">
        <f t="shared" si="363"/>
        <v>Non-Senior</v>
      </c>
    </row>
    <row r="5798" spans="1:25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360"/>
        <v>37-48 Months</v>
      </c>
      <c r="W5798">
        <f t="shared" si="361"/>
        <v>0</v>
      </c>
      <c r="X5798">
        <f t="shared" si="362"/>
        <v>0</v>
      </c>
      <c r="Y5798" t="str">
        <f t="shared" si="363"/>
        <v>Non-Senior</v>
      </c>
    </row>
    <row r="5799" spans="1:25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360"/>
        <v>13-24 Months</v>
      </c>
      <c r="W5799">
        <f t="shared" si="361"/>
        <v>0</v>
      </c>
      <c r="X5799">
        <f t="shared" si="362"/>
        <v>0</v>
      </c>
      <c r="Y5799" t="str">
        <f t="shared" si="363"/>
        <v>Non-Senior</v>
      </c>
    </row>
    <row r="5800" spans="1:25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360"/>
        <v>0-12 Months</v>
      </c>
      <c r="W5800">
        <f t="shared" si="361"/>
        <v>1</v>
      </c>
      <c r="X5800">
        <f t="shared" si="362"/>
        <v>85.2</v>
      </c>
      <c r="Y5800" t="str">
        <f t="shared" si="363"/>
        <v>Non-Senior</v>
      </c>
    </row>
    <row r="5801" spans="1:25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360"/>
        <v>13-24 Months</v>
      </c>
      <c r="W5801">
        <f t="shared" si="361"/>
        <v>1</v>
      </c>
      <c r="X5801">
        <f t="shared" si="362"/>
        <v>35.1</v>
      </c>
      <c r="Y5801" t="str">
        <f t="shared" si="363"/>
        <v>Non-Senior</v>
      </c>
    </row>
    <row r="5802" spans="1:25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360"/>
        <v>13-24 Months</v>
      </c>
      <c r="W5802">
        <f t="shared" si="361"/>
        <v>0</v>
      </c>
      <c r="X5802">
        <f t="shared" si="362"/>
        <v>0</v>
      </c>
      <c r="Y5802" t="str">
        <f t="shared" si="363"/>
        <v>Non-Senior</v>
      </c>
    </row>
    <row r="5803" spans="1:25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360"/>
        <v>25-36 Months</v>
      </c>
      <c r="W5803">
        <f t="shared" si="361"/>
        <v>0</v>
      </c>
      <c r="X5803">
        <f t="shared" si="362"/>
        <v>0</v>
      </c>
      <c r="Y5803" t="str">
        <f t="shared" si="363"/>
        <v>Senior Citizen</v>
      </c>
    </row>
    <row r="5804" spans="1:25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360"/>
        <v>37-48 Months</v>
      </c>
      <c r="W5804">
        <f t="shared" si="361"/>
        <v>0</v>
      </c>
      <c r="X5804">
        <f t="shared" si="362"/>
        <v>0</v>
      </c>
      <c r="Y5804" t="str">
        <f t="shared" si="363"/>
        <v>Non-Senior</v>
      </c>
    </row>
    <row r="5805" spans="1:25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360"/>
        <v>0-12 Months</v>
      </c>
      <c r="W5805">
        <f t="shared" si="361"/>
        <v>1</v>
      </c>
      <c r="X5805">
        <f t="shared" si="362"/>
        <v>81.3</v>
      </c>
      <c r="Y5805" t="str">
        <f t="shared" si="363"/>
        <v>Non-Senior</v>
      </c>
    </row>
    <row r="5806" spans="1:25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7082</v>
      </c>
      <c r="J5806" t="s">
        <v>7084</v>
      </c>
      <c r="K5806" t="s">
        <v>46</v>
      </c>
      <c r="L5806" t="s">
        <v>7084</v>
      </c>
      <c r="M5806" t="s">
        <v>7084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360"/>
        <v>61-72 Months</v>
      </c>
      <c r="W5806">
        <f t="shared" si="361"/>
        <v>0</v>
      </c>
      <c r="X5806">
        <f t="shared" si="362"/>
        <v>0</v>
      </c>
      <c r="Y5806" t="str">
        <f t="shared" si="363"/>
        <v>Non-Senior</v>
      </c>
    </row>
    <row r="5807" spans="1:25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360"/>
        <v>13-24 Months</v>
      </c>
      <c r="W5807">
        <f t="shared" si="361"/>
        <v>0</v>
      </c>
      <c r="X5807">
        <f t="shared" si="362"/>
        <v>0</v>
      </c>
      <c r="Y5807" t="str">
        <f t="shared" si="363"/>
        <v>Senior Citizen</v>
      </c>
    </row>
    <row r="5808" spans="1:25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7082</v>
      </c>
      <c r="J5808" t="s">
        <v>7084</v>
      </c>
      <c r="K5808" t="s">
        <v>46</v>
      </c>
      <c r="L5808" t="s">
        <v>7084</v>
      </c>
      <c r="M5808" t="s">
        <v>7084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360"/>
        <v>0-12 Months</v>
      </c>
      <c r="W5808">
        <f t="shared" si="361"/>
        <v>1</v>
      </c>
      <c r="X5808">
        <f t="shared" si="362"/>
        <v>19.600000000000001</v>
      </c>
      <c r="Y5808" t="str">
        <f t="shared" si="363"/>
        <v>Non-Senior</v>
      </c>
    </row>
    <row r="5809" spans="1:25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7082</v>
      </c>
      <c r="J5809" t="s">
        <v>7084</v>
      </c>
      <c r="K5809" t="s">
        <v>46</v>
      </c>
      <c r="L5809" t="s">
        <v>7084</v>
      </c>
      <c r="M5809" t="s">
        <v>7084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360"/>
        <v>49-60 Months</v>
      </c>
      <c r="W5809">
        <f t="shared" si="361"/>
        <v>0</v>
      </c>
      <c r="X5809">
        <f t="shared" si="362"/>
        <v>0</v>
      </c>
      <c r="Y5809" t="str">
        <f t="shared" si="363"/>
        <v>Non-Senior</v>
      </c>
    </row>
    <row r="5810" spans="1:25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360"/>
        <v>61-72 Months</v>
      </c>
      <c r="W5810">
        <f t="shared" si="361"/>
        <v>0</v>
      </c>
      <c r="X5810">
        <f t="shared" si="362"/>
        <v>0</v>
      </c>
      <c r="Y5810" t="str">
        <f t="shared" si="363"/>
        <v>Non-Senior</v>
      </c>
    </row>
    <row r="5811" spans="1:25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360"/>
        <v>0-12 Months</v>
      </c>
      <c r="W5811">
        <f t="shared" si="361"/>
        <v>0</v>
      </c>
      <c r="X5811">
        <f t="shared" si="362"/>
        <v>0</v>
      </c>
      <c r="Y5811" t="str">
        <f t="shared" si="363"/>
        <v>Non-Senior</v>
      </c>
    </row>
    <row r="5812" spans="1:25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360"/>
        <v>13-24 Months</v>
      </c>
      <c r="W5812">
        <f t="shared" si="361"/>
        <v>1</v>
      </c>
      <c r="X5812">
        <f t="shared" si="362"/>
        <v>85.45</v>
      </c>
      <c r="Y5812" t="str">
        <f t="shared" si="363"/>
        <v>Non-Senior</v>
      </c>
    </row>
    <row r="5813" spans="1:25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360"/>
        <v>61-72 Months</v>
      </c>
      <c r="W5813">
        <f t="shared" si="361"/>
        <v>0</v>
      </c>
      <c r="X5813">
        <f t="shared" si="362"/>
        <v>0</v>
      </c>
      <c r="Y5813" t="str">
        <f t="shared" si="363"/>
        <v>Non-Senior</v>
      </c>
    </row>
    <row r="5814" spans="1:25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360"/>
        <v>0-12 Months</v>
      </c>
      <c r="W5814">
        <f t="shared" si="361"/>
        <v>1</v>
      </c>
      <c r="X5814">
        <f t="shared" si="362"/>
        <v>71</v>
      </c>
      <c r="Y5814" t="str">
        <f t="shared" si="363"/>
        <v>Non-Senior</v>
      </c>
    </row>
    <row r="5815" spans="1:25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360"/>
        <v>37-48 Months</v>
      </c>
      <c r="W5815">
        <f t="shared" si="361"/>
        <v>0</v>
      </c>
      <c r="X5815">
        <f t="shared" si="362"/>
        <v>0</v>
      </c>
      <c r="Y5815" t="str">
        <f t="shared" si="363"/>
        <v>Non-Senior</v>
      </c>
    </row>
    <row r="5816" spans="1:25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7082</v>
      </c>
      <c r="J5816" t="s">
        <v>7084</v>
      </c>
      <c r="K5816" t="s">
        <v>46</v>
      </c>
      <c r="L5816" t="s">
        <v>7084</v>
      </c>
      <c r="M5816" t="s">
        <v>7084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360"/>
        <v>13-24 Months</v>
      </c>
      <c r="W5816">
        <f t="shared" si="361"/>
        <v>0</v>
      </c>
      <c r="X5816">
        <f t="shared" si="362"/>
        <v>0</v>
      </c>
      <c r="Y5816" t="str">
        <f t="shared" si="363"/>
        <v>Non-Senior</v>
      </c>
    </row>
    <row r="5817" spans="1:25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360"/>
        <v>0-12 Months</v>
      </c>
      <c r="W5817">
        <f t="shared" si="361"/>
        <v>1</v>
      </c>
      <c r="X5817">
        <f t="shared" si="362"/>
        <v>85.05</v>
      </c>
      <c r="Y5817" t="str">
        <f t="shared" si="363"/>
        <v>Senior Citizen</v>
      </c>
    </row>
    <row r="5818" spans="1:25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360"/>
        <v>0-12 Months</v>
      </c>
      <c r="W5818">
        <f t="shared" si="361"/>
        <v>0</v>
      </c>
      <c r="X5818">
        <f t="shared" si="362"/>
        <v>0</v>
      </c>
      <c r="Y5818" t="str">
        <f t="shared" si="363"/>
        <v>Non-Senior</v>
      </c>
    </row>
    <row r="5819" spans="1:25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360"/>
        <v>0-12 Months</v>
      </c>
      <c r="W5819">
        <f t="shared" si="361"/>
        <v>1</v>
      </c>
      <c r="X5819">
        <f t="shared" si="362"/>
        <v>44.4</v>
      </c>
      <c r="Y5819" t="str">
        <f t="shared" si="363"/>
        <v>Non-Senior</v>
      </c>
    </row>
    <row r="5820" spans="1:25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360"/>
        <v>61-72 Months</v>
      </c>
      <c r="W5820">
        <f t="shared" si="361"/>
        <v>0</v>
      </c>
      <c r="X5820">
        <f t="shared" si="362"/>
        <v>0</v>
      </c>
      <c r="Y5820" t="str">
        <f t="shared" si="363"/>
        <v>Non-Senior</v>
      </c>
    </row>
    <row r="5821" spans="1:25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360"/>
        <v>61-72 Months</v>
      </c>
      <c r="W5821">
        <f t="shared" si="361"/>
        <v>0</v>
      </c>
      <c r="X5821">
        <f t="shared" si="362"/>
        <v>0</v>
      </c>
      <c r="Y5821" t="str">
        <f t="shared" si="363"/>
        <v>Non-Senior</v>
      </c>
    </row>
    <row r="5822" spans="1:25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360"/>
        <v>49-60 Months</v>
      </c>
      <c r="W5822">
        <f t="shared" si="361"/>
        <v>0</v>
      </c>
      <c r="X5822">
        <f t="shared" si="362"/>
        <v>0</v>
      </c>
      <c r="Y5822" t="str">
        <f t="shared" si="363"/>
        <v>Non-Senior</v>
      </c>
    </row>
    <row r="5823" spans="1:25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7082</v>
      </c>
      <c r="J5823" t="s">
        <v>7084</v>
      </c>
      <c r="K5823" t="s">
        <v>46</v>
      </c>
      <c r="L5823" t="s">
        <v>7084</v>
      </c>
      <c r="M5823" t="s">
        <v>7084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360"/>
        <v>61-72 Months</v>
      </c>
      <c r="W5823">
        <f t="shared" si="361"/>
        <v>0</v>
      </c>
      <c r="X5823">
        <f t="shared" si="362"/>
        <v>0</v>
      </c>
      <c r="Y5823" t="str">
        <f t="shared" si="363"/>
        <v>Non-Senior</v>
      </c>
    </row>
    <row r="5824" spans="1:25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360"/>
        <v>25-36 Months</v>
      </c>
      <c r="W5824">
        <f t="shared" si="361"/>
        <v>0</v>
      </c>
      <c r="X5824">
        <f t="shared" si="362"/>
        <v>0</v>
      </c>
      <c r="Y5824" t="str">
        <f t="shared" si="363"/>
        <v>Senior Citizen</v>
      </c>
    </row>
    <row r="5825" spans="1:25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7082</v>
      </c>
      <c r="J5825" t="s">
        <v>7084</v>
      </c>
      <c r="K5825" t="s">
        <v>46</v>
      </c>
      <c r="L5825" t="s">
        <v>7084</v>
      </c>
      <c r="M5825" t="s">
        <v>7084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360"/>
        <v>13-24 Months</v>
      </c>
      <c r="W5825">
        <f t="shared" si="361"/>
        <v>0</v>
      </c>
      <c r="X5825">
        <f t="shared" si="362"/>
        <v>0</v>
      </c>
      <c r="Y5825" t="str">
        <f t="shared" si="363"/>
        <v>Non-Senior</v>
      </c>
    </row>
    <row r="5826" spans="1:25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si="360"/>
        <v>61-72 Months</v>
      </c>
      <c r="W5826">
        <f t="shared" si="361"/>
        <v>0</v>
      </c>
      <c r="X5826">
        <f t="shared" si="362"/>
        <v>0</v>
      </c>
      <c r="Y5826" t="str">
        <f t="shared" si="363"/>
        <v>Non-Senior</v>
      </c>
    </row>
    <row r="5827" spans="1:25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ref="V5827:V5890" si="364">IF(F5827&lt;=12,"0-12 Months",IF(F5827&lt;=24,"13-24 Months",IF(F5827&lt;=36,"25-36 Months",IF(F5827&lt;=48,"37-48 Months",IF(F5827&lt;=60,"49-60 Months","61-72 Months")))))</f>
        <v>0-12 Months</v>
      </c>
      <c r="W5827">
        <f t="shared" ref="W5827:W5890" si="365">IF(U5827="Yes",1,0)</f>
        <v>1</v>
      </c>
      <c r="X5827">
        <f t="shared" ref="X5827:X5890" si="366">IF(U5827="Yes",S5827,0)</f>
        <v>70.3</v>
      </c>
      <c r="Y5827" t="str">
        <f t="shared" ref="Y5827:Y5890" si="367">IF(C5827=1,"Senior Citizen","Non-Senior")</f>
        <v>Senior Citizen</v>
      </c>
    </row>
    <row r="5828" spans="1:25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364"/>
        <v>0-12 Months</v>
      </c>
      <c r="W5828">
        <f t="shared" si="365"/>
        <v>1</v>
      </c>
      <c r="X5828">
        <f t="shared" si="366"/>
        <v>79.349999999999994</v>
      </c>
      <c r="Y5828" t="str">
        <f t="shared" si="367"/>
        <v>Non-Senior</v>
      </c>
    </row>
    <row r="5829" spans="1:25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364"/>
        <v>25-36 Months</v>
      </c>
      <c r="W5829">
        <f t="shared" si="365"/>
        <v>0</v>
      </c>
      <c r="X5829">
        <f t="shared" si="366"/>
        <v>0</v>
      </c>
      <c r="Y5829" t="str">
        <f t="shared" si="367"/>
        <v>Non-Senior</v>
      </c>
    </row>
    <row r="5830" spans="1:25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7082</v>
      </c>
      <c r="J5830" t="s">
        <v>7084</v>
      </c>
      <c r="K5830" t="s">
        <v>46</v>
      </c>
      <c r="L5830" t="s">
        <v>7084</v>
      </c>
      <c r="M5830" t="s">
        <v>7084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364"/>
        <v>61-72 Months</v>
      </c>
      <c r="W5830">
        <f t="shared" si="365"/>
        <v>0</v>
      </c>
      <c r="X5830">
        <f t="shared" si="366"/>
        <v>0</v>
      </c>
      <c r="Y5830" t="str">
        <f t="shared" si="367"/>
        <v>Non-Senior</v>
      </c>
    </row>
    <row r="5831" spans="1:25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364"/>
        <v>25-36 Months</v>
      </c>
      <c r="W5831">
        <f t="shared" si="365"/>
        <v>0</v>
      </c>
      <c r="X5831">
        <f t="shared" si="366"/>
        <v>0</v>
      </c>
      <c r="Y5831" t="str">
        <f t="shared" si="367"/>
        <v>Non-Senior</v>
      </c>
    </row>
    <row r="5832" spans="1:25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7082</v>
      </c>
      <c r="J5832" t="s">
        <v>7084</v>
      </c>
      <c r="K5832" t="s">
        <v>46</v>
      </c>
      <c r="L5832" t="s">
        <v>7084</v>
      </c>
      <c r="M5832" t="s">
        <v>7084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364"/>
        <v>25-36 Months</v>
      </c>
      <c r="W5832">
        <f t="shared" si="365"/>
        <v>0</v>
      </c>
      <c r="X5832">
        <f t="shared" si="366"/>
        <v>0</v>
      </c>
      <c r="Y5832" t="str">
        <f t="shared" si="367"/>
        <v>Non-Senior</v>
      </c>
    </row>
    <row r="5833" spans="1:25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364"/>
        <v>0-12 Months</v>
      </c>
      <c r="W5833">
        <f t="shared" si="365"/>
        <v>1</v>
      </c>
      <c r="X5833">
        <f t="shared" si="366"/>
        <v>90.8</v>
      </c>
      <c r="Y5833" t="str">
        <f t="shared" si="367"/>
        <v>Non-Senior</v>
      </c>
    </row>
    <row r="5834" spans="1:25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364"/>
        <v>13-24 Months</v>
      </c>
      <c r="W5834">
        <f t="shared" si="365"/>
        <v>1</v>
      </c>
      <c r="X5834">
        <f t="shared" si="366"/>
        <v>70.45</v>
      </c>
      <c r="Y5834" t="str">
        <f t="shared" si="367"/>
        <v>Non-Senior</v>
      </c>
    </row>
    <row r="5835" spans="1:25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364"/>
        <v>13-24 Months</v>
      </c>
      <c r="W5835">
        <f t="shared" si="365"/>
        <v>0</v>
      </c>
      <c r="X5835">
        <f t="shared" si="366"/>
        <v>0</v>
      </c>
      <c r="Y5835" t="str">
        <f t="shared" si="367"/>
        <v>Senior Citizen</v>
      </c>
    </row>
    <row r="5836" spans="1:25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364"/>
        <v>61-72 Months</v>
      </c>
      <c r="W5836">
        <f t="shared" si="365"/>
        <v>0</v>
      </c>
      <c r="X5836">
        <f t="shared" si="366"/>
        <v>0</v>
      </c>
      <c r="Y5836" t="str">
        <f t="shared" si="367"/>
        <v>Non-Senior</v>
      </c>
    </row>
    <row r="5837" spans="1:25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7082</v>
      </c>
      <c r="J5837" t="s">
        <v>7084</v>
      </c>
      <c r="K5837" t="s">
        <v>46</v>
      </c>
      <c r="L5837" t="s">
        <v>7084</v>
      </c>
      <c r="M5837" t="s">
        <v>7084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364"/>
        <v>25-36 Months</v>
      </c>
      <c r="W5837">
        <f t="shared" si="365"/>
        <v>0</v>
      </c>
      <c r="X5837">
        <f t="shared" si="366"/>
        <v>0</v>
      </c>
      <c r="Y5837" t="str">
        <f t="shared" si="367"/>
        <v>Non-Senior</v>
      </c>
    </row>
    <row r="5838" spans="1:25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7082</v>
      </c>
      <c r="J5838" t="s">
        <v>7084</v>
      </c>
      <c r="K5838" t="s">
        <v>46</v>
      </c>
      <c r="L5838" t="s">
        <v>7084</v>
      </c>
      <c r="M5838" t="s">
        <v>7084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364"/>
        <v>0-12 Months</v>
      </c>
      <c r="W5838">
        <f t="shared" si="365"/>
        <v>0</v>
      </c>
      <c r="X5838">
        <f t="shared" si="366"/>
        <v>0</v>
      </c>
      <c r="Y5838" t="str">
        <f t="shared" si="367"/>
        <v>Non-Senior</v>
      </c>
    </row>
    <row r="5839" spans="1:25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364"/>
        <v>0-12 Months</v>
      </c>
      <c r="W5839">
        <f t="shared" si="365"/>
        <v>0</v>
      </c>
      <c r="X5839">
        <f t="shared" si="366"/>
        <v>0</v>
      </c>
      <c r="Y5839" t="str">
        <f t="shared" si="367"/>
        <v>Non-Senior</v>
      </c>
    </row>
    <row r="5840" spans="1:25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364"/>
        <v>49-60 Months</v>
      </c>
      <c r="W5840">
        <f t="shared" si="365"/>
        <v>0</v>
      </c>
      <c r="X5840">
        <f t="shared" si="366"/>
        <v>0</v>
      </c>
      <c r="Y5840" t="str">
        <f t="shared" si="367"/>
        <v>Non-Senior</v>
      </c>
    </row>
    <row r="5841" spans="1:25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364"/>
        <v>0-12 Months</v>
      </c>
      <c r="W5841">
        <f t="shared" si="365"/>
        <v>0</v>
      </c>
      <c r="X5841">
        <f t="shared" si="366"/>
        <v>0</v>
      </c>
      <c r="Y5841" t="str">
        <f t="shared" si="367"/>
        <v>Senior Citizen</v>
      </c>
    </row>
    <row r="5842" spans="1:25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364"/>
        <v>61-72 Months</v>
      </c>
      <c r="W5842">
        <f t="shared" si="365"/>
        <v>0</v>
      </c>
      <c r="X5842">
        <f t="shared" si="366"/>
        <v>0</v>
      </c>
      <c r="Y5842" t="str">
        <f t="shared" si="367"/>
        <v>Non-Senior</v>
      </c>
    </row>
    <row r="5843" spans="1:25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364"/>
        <v>61-72 Months</v>
      </c>
      <c r="W5843">
        <f t="shared" si="365"/>
        <v>1</v>
      </c>
      <c r="X5843">
        <f t="shared" si="366"/>
        <v>45.25</v>
      </c>
      <c r="Y5843" t="str">
        <f t="shared" si="367"/>
        <v>Senior Citizen</v>
      </c>
    </row>
    <row r="5844" spans="1:25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364"/>
        <v>13-24 Months</v>
      </c>
      <c r="W5844">
        <f t="shared" si="365"/>
        <v>0</v>
      </c>
      <c r="X5844">
        <f t="shared" si="366"/>
        <v>0</v>
      </c>
      <c r="Y5844" t="str">
        <f t="shared" si="367"/>
        <v>Non-Senior</v>
      </c>
    </row>
    <row r="5845" spans="1:25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364"/>
        <v>25-36 Months</v>
      </c>
      <c r="W5845">
        <f t="shared" si="365"/>
        <v>0</v>
      </c>
      <c r="X5845">
        <f t="shared" si="366"/>
        <v>0</v>
      </c>
      <c r="Y5845" t="str">
        <f t="shared" si="367"/>
        <v>Senior Citizen</v>
      </c>
    </row>
    <row r="5846" spans="1:25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364"/>
        <v>0-12 Months</v>
      </c>
      <c r="W5846">
        <f t="shared" si="365"/>
        <v>0</v>
      </c>
      <c r="X5846">
        <f t="shared" si="366"/>
        <v>0</v>
      </c>
      <c r="Y5846" t="str">
        <f t="shared" si="367"/>
        <v>Non-Senior</v>
      </c>
    </row>
    <row r="5847" spans="1:25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364"/>
        <v>0-12 Months</v>
      </c>
      <c r="W5847">
        <f t="shared" si="365"/>
        <v>1</v>
      </c>
      <c r="X5847">
        <f t="shared" si="366"/>
        <v>75.8</v>
      </c>
      <c r="Y5847" t="str">
        <f t="shared" si="367"/>
        <v>Non-Senior</v>
      </c>
    </row>
    <row r="5848" spans="1:25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364"/>
        <v>0-12 Months</v>
      </c>
      <c r="W5848">
        <f t="shared" si="365"/>
        <v>0</v>
      </c>
      <c r="X5848">
        <f t="shared" si="366"/>
        <v>0</v>
      </c>
      <c r="Y5848" t="str">
        <f t="shared" si="367"/>
        <v>Non-Senior</v>
      </c>
    </row>
    <row r="5849" spans="1:25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364"/>
        <v>61-72 Months</v>
      </c>
      <c r="W5849">
        <f t="shared" si="365"/>
        <v>0</v>
      </c>
      <c r="X5849">
        <f t="shared" si="366"/>
        <v>0</v>
      </c>
      <c r="Y5849" t="str">
        <f t="shared" si="367"/>
        <v>Non-Senior</v>
      </c>
    </row>
    <row r="5850" spans="1:25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364"/>
        <v>61-72 Months</v>
      </c>
      <c r="W5850">
        <f t="shared" si="365"/>
        <v>0</v>
      </c>
      <c r="X5850">
        <f t="shared" si="366"/>
        <v>0</v>
      </c>
      <c r="Y5850" t="str">
        <f t="shared" si="367"/>
        <v>Non-Senior</v>
      </c>
    </row>
    <row r="5851" spans="1:25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7082</v>
      </c>
      <c r="J5851" t="s">
        <v>7084</v>
      </c>
      <c r="K5851" t="s">
        <v>46</v>
      </c>
      <c r="L5851" t="s">
        <v>7084</v>
      </c>
      <c r="M5851" t="s">
        <v>7084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364"/>
        <v>61-72 Months</v>
      </c>
      <c r="W5851">
        <f t="shared" si="365"/>
        <v>0</v>
      </c>
      <c r="X5851">
        <f t="shared" si="366"/>
        <v>0</v>
      </c>
      <c r="Y5851" t="str">
        <f t="shared" si="367"/>
        <v>Non-Senior</v>
      </c>
    </row>
    <row r="5852" spans="1:25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364"/>
        <v>13-24 Months</v>
      </c>
      <c r="W5852">
        <f t="shared" si="365"/>
        <v>1</v>
      </c>
      <c r="X5852">
        <f t="shared" si="366"/>
        <v>71.3</v>
      </c>
      <c r="Y5852" t="str">
        <f t="shared" si="367"/>
        <v>Senior Citizen</v>
      </c>
    </row>
    <row r="5853" spans="1:25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364"/>
        <v>25-36 Months</v>
      </c>
      <c r="W5853">
        <f t="shared" si="365"/>
        <v>0</v>
      </c>
      <c r="X5853">
        <f t="shared" si="366"/>
        <v>0</v>
      </c>
      <c r="Y5853" t="str">
        <f t="shared" si="367"/>
        <v>Senior Citizen</v>
      </c>
    </row>
    <row r="5854" spans="1:25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364"/>
        <v>13-24 Months</v>
      </c>
      <c r="W5854">
        <f t="shared" si="365"/>
        <v>1</v>
      </c>
      <c r="X5854">
        <f t="shared" si="366"/>
        <v>69.099999999999994</v>
      </c>
      <c r="Y5854" t="str">
        <f t="shared" si="367"/>
        <v>Senior Citizen</v>
      </c>
    </row>
    <row r="5855" spans="1:25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364"/>
        <v>61-72 Months</v>
      </c>
      <c r="W5855">
        <f t="shared" si="365"/>
        <v>0</v>
      </c>
      <c r="X5855">
        <f t="shared" si="366"/>
        <v>0</v>
      </c>
      <c r="Y5855" t="str">
        <f t="shared" si="367"/>
        <v>Non-Senior</v>
      </c>
    </row>
    <row r="5856" spans="1:25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364"/>
        <v>13-24 Months</v>
      </c>
      <c r="W5856">
        <f t="shared" si="365"/>
        <v>0</v>
      </c>
      <c r="X5856">
        <f t="shared" si="366"/>
        <v>0</v>
      </c>
      <c r="Y5856" t="str">
        <f t="shared" si="367"/>
        <v>Non-Senior</v>
      </c>
    </row>
    <row r="5857" spans="1:25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364"/>
        <v>49-60 Months</v>
      </c>
      <c r="W5857">
        <f t="shared" si="365"/>
        <v>0</v>
      </c>
      <c r="X5857">
        <f t="shared" si="366"/>
        <v>0</v>
      </c>
      <c r="Y5857" t="str">
        <f t="shared" si="367"/>
        <v>Non-Senior</v>
      </c>
    </row>
    <row r="5858" spans="1:25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364"/>
        <v>0-12 Months</v>
      </c>
      <c r="W5858">
        <f t="shared" si="365"/>
        <v>0</v>
      </c>
      <c r="X5858">
        <f t="shared" si="366"/>
        <v>0</v>
      </c>
      <c r="Y5858" t="str">
        <f t="shared" si="367"/>
        <v>Non-Senior</v>
      </c>
    </row>
    <row r="5859" spans="1:25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364"/>
        <v>13-24 Months</v>
      </c>
      <c r="W5859">
        <f t="shared" si="365"/>
        <v>1</v>
      </c>
      <c r="X5859">
        <f t="shared" si="366"/>
        <v>88.25</v>
      </c>
      <c r="Y5859" t="str">
        <f t="shared" si="367"/>
        <v>Non-Senior</v>
      </c>
    </row>
    <row r="5860" spans="1:25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7082</v>
      </c>
      <c r="J5860" t="s">
        <v>7084</v>
      </c>
      <c r="K5860" t="s">
        <v>46</v>
      </c>
      <c r="L5860" t="s">
        <v>7084</v>
      </c>
      <c r="M5860" t="s">
        <v>7084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364"/>
        <v>61-72 Months</v>
      </c>
      <c r="W5860">
        <f t="shared" si="365"/>
        <v>0</v>
      </c>
      <c r="X5860">
        <f t="shared" si="366"/>
        <v>0</v>
      </c>
      <c r="Y5860" t="str">
        <f t="shared" si="367"/>
        <v>Non-Senior</v>
      </c>
    </row>
    <row r="5861" spans="1:25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364"/>
        <v>61-72 Months</v>
      </c>
      <c r="W5861">
        <f t="shared" si="365"/>
        <v>0</v>
      </c>
      <c r="X5861">
        <f t="shared" si="366"/>
        <v>0</v>
      </c>
      <c r="Y5861" t="str">
        <f t="shared" si="367"/>
        <v>Non-Senior</v>
      </c>
    </row>
    <row r="5862" spans="1:25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364"/>
        <v>0-12 Months</v>
      </c>
      <c r="W5862">
        <f t="shared" si="365"/>
        <v>1</v>
      </c>
      <c r="X5862">
        <f t="shared" si="366"/>
        <v>70</v>
      </c>
      <c r="Y5862" t="str">
        <f t="shared" si="367"/>
        <v>Non-Senior</v>
      </c>
    </row>
    <row r="5863" spans="1:25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7082</v>
      </c>
      <c r="J5863" t="s">
        <v>7084</v>
      </c>
      <c r="K5863" t="s">
        <v>46</v>
      </c>
      <c r="L5863" t="s">
        <v>7084</v>
      </c>
      <c r="M5863" t="s">
        <v>7084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364"/>
        <v>25-36 Months</v>
      </c>
      <c r="W5863">
        <f t="shared" si="365"/>
        <v>0</v>
      </c>
      <c r="X5863">
        <f t="shared" si="366"/>
        <v>0</v>
      </c>
      <c r="Y5863" t="str">
        <f t="shared" si="367"/>
        <v>Non-Senior</v>
      </c>
    </row>
    <row r="5864" spans="1:25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364"/>
        <v>13-24 Months</v>
      </c>
      <c r="W5864">
        <f t="shared" si="365"/>
        <v>0</v>
      </c>
      <c r="X5864">
        <f t="shared" si="366"/>
        <v>0</v>
      </c>
      <c r="Y5864" t="str">
        <f t="shared" si="367"/>
        <v>Non-Senior</v>
      </c>
    </row>
    <row r="5865" spans="1:25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364"/>
        <v>13-24 Months</v>
      </c>
      <c r="W5865">
        <f t="shared" si="365"/>
        <v>1</v>
      </c>
      <c r="X5865">
        <f t="shared" si="366"/>
        <v>97.35</v>
      </c>
      <c r="Y5865" t="str">
        <f t="shared" si="367"/>
        <v>Non-Senior</v>
      </c>
    </row>
    <row r="5866" spans="1:25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7082</v>
      </c>
      <c r="J5866" t="s">
        <v>7084</v>
      </c>
      <c r="K5866" t="s">
        <v>46</v>
      </c>
      <c r="L5866" t="s">
        <v>7084</v>
      </c>
      <c r="M5866" t="s">
        <v>7084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364"/>
        <v>37-48 Months</v>
      </c>
      <c r="W5866">
        <f t="shared" si="365"/>
        <v>0</v>
      </c>
      <c r="X5866">
        <f t="shared" si="366"/>
        <v>0</v>
      </c>
      <c r="Y5866" t="str">
        <f t="shared" si="367"/>
        <v>Non-Senior</v>
      </c>
    </row>
    <row r="5867" spans="1:25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7082</v>
      </c>
      <c r="J5867" t="s">
        <v>7084</v>
      </c>
      <c r="K5867" t="s">
        <v>46</v>
      </c>
      <c r="L5867" t="s">
        <v>7084</v>
      </c>
      <c r="M5867" t="s">
        <v>7084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364"/>
        <v>0-12 Months</v>
      </c>
      <c r="W5867">
        <f t="shared" si="365"/>
        <v>0</v>
      </c>
      <c r="X5867">
        <f t="shared" si="366"/>
        <v>0</v>
      </c>
      <c r="Y5867" t="str">
        <f t="shared" si="367"/>
        <v>Non-Senior</v>
      </c>
    </row>
    <row r="5868" spans="1:25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7082</v>
      </c>
      <c r="J5868" t="s">
        <v>7084</v>
      </c>
      <c r="K5868" t="s">
        <v>46</v>
      </c>
      <c r="L5868" t="s">
        <v>7084</v>
      </c>
      <c r="M5868" t="s">
        <v>7084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364"/>
        <v>0-12 Months</v>
      </c>
      <c r="W5868">
        <f t="shared" si="365"/>
        <v>0</v>
      </c>
      <c r="X5868">
        <f t="shared" si="366"/>
        <v>0</v>
      </c>
      <c r="Y5868" t="str">
        <f t="shared" si="367"/>
        <v>Non-Senior</v>
      </c>
    </row>
    <row r="5869" spans="1:25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7082</v>
      </c>
      <c r="J5869" t="s">
        <v>7084</v>
      </c>
      <c r="K5869" t="s">
        <v>46</v>
      </c>
      <c r="L5869" t="s">
        <v>7084</v>
      </c>
      <c r="M5869" t="s">
        <v>7084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364"/>
        <v>37-48 Months</v>
      </c>
      <c r="W5869">
        <f t="shared" si="365"/>
        <v>0</v>
      </c>
      <c r="X5869">
        <f t="shared" si="366"/>
        <v>0</v>
      </c>
      <c r="Y5869" t="str">
        <f t="shared" si="367"/>
        <v>Senior Citizen</v>
      </c>
    </row>
    <row r="5870" spans="1:25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364"/>
        <v>0-12 Months</v>
      </c>
      <c r="W5870">
        <f t="shared" si="365"/>
        <v>0</v>
      </c>
      <c r="X5870">
        <f t="shared" si="366"/>
        <v>0</v>
      </c>
      <c r="Y5870" t="str">
        <f t="shared" si="367"/>
        <v>Non-Senior</v>
      </c>
    </row>
    <row r="5871" spans="1:25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364"/>
        <v>37-48 Months</v>
      </c>
      <c r="W5871">
        <f t="shared" si="365"/>
        <v>0</v>
      </c>
      <c r="X5871">
        <f t="shared" si="366"/>
        <v>0</v>
      </c>
      <c r="Y5871" t="str">
        <f t="shared" si="367"/>
        <v>Non-Senior</v>
      </c>
    </row>
    <row r="5872" spans="1:25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7082</v>
      </c>
      <c r="J5872" t="s">
        <v>7084</v>
      </c>
      <c r="K5872" t="s">
        <v>46</v>
      </c>
      <c r="L5872" t="s">
        <v>7084</v>
      </c>
      <c r="M5872" t="s">
        <v>7084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364"/>
        <v>0-12 Months</v>
      </c>
      <c r="W5872">
        <f t="shared" si="365"/>
        <v>1</v>
      </c>
      <c r="X5872">
        <f t="shared" si="366"/>
        <v>25.9</v>
      </c>
      <c r="Y5872" t="str">
        <f t="shared" si="367"/>
        <v>Non-Senior</v>
      </c>
    </row>
    <row r="5873" spans="1:25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364"/>
        <v>13-24 Months</v>
      </c>
      <c r="W5873">
        <f t="shared" si="365"/>
        <v>1</v>
      </c>
      <c r="X5873">
        <f t="shared" si="366"/>
        <v>55.65</v>
      </c>
      <c r="Y5873" t="str">
        <f t="shared" si="367"/>
        <v>Non-Senior</v>
      </c>
    </row>
    <row r="5874" spans="1:25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364"/>
        <v>0-12 Months</v>
      </c>
      <c r="W5874">
        <f t="shared" si="365"/>
        <v>1</v>
      </c>
      <c r="X5874">
        <f t="shared" si="366"/>
        <v>69.650000000000006</v>
      </c>
      <c r="Y5874" t="str">
        <f t="shared" si="367"/>
        <v>Non-Senior</v>
      </c>
    </row>
    <row r="5875" spans="1:25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364"/>
        <v>13-24 Months</v>
      </c>
      <c r="W5875">
        <f t="shared" si="365"/>
        <v>0</v>
      </c>
      <c r="X5875">
        <f t="shared" si="366"/>
        <v>0</v>
      </c>
      <c r="Y5875" t="str">
        <f t="shared" si="367"/>
        <v>Non-Senior</v>
      </c>
    </row>
    <row r="5876" spans="1:25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364"/>
        <v>0-12 Months</v>
      </c>
      <c r="W5876">
        <f t="shared" si="365"/>
        <v>1</v>
      </c>
      <c r="X5876">
        <f t="shared" si="366"/>
        <v>100.6</v>
      </c>
      <c r="Y5876" t="str">
        <f t="shared" si="367"/>
        <v>Non-Senior</v>
      </c>
    </row>
    <row r="5877" spans="1:25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364"/>
        <v>61-72 Months</v>
      </c>
      <c r="W5877">
        <f t="shared" si="365"/>
        <v>0</v>
      </c>
      <c r="X5877">
        <f t="shared" si="366"/>
        <v>0</v>
      </c>
      <c r="Y5877" t="str">
        <f t="shared" si="367"/>
        <v>Non-Senior</v>
      </c>
    </row>
    <row r="5878" spans="1:25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364"/>
        <v>0-12 Months</v>
      </c>
      <c r="W5878">
        <f t="shared" si="365"/>
        <v>1</v>
      </c>
      <c r="X5878">
        <f t="shared" si="366"/>
        <v>86</v>
      </c>
      <c r="Y5878" t="str">
        <f t="shared" si="367"/>
        <v>Senior Citizen</v>
      </c>
    </row>
    <row r="5879" spans="1:25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364"/>
        <v>49-60 Months</v>
      </c>
      <c r="W5879">
        <f t="shared" si="365"/>
        <v>1</v>
      </c>
      <c r="X5879">
        <f t="shared" si="366"/>
        <v>106.95</v>
      </c>
      <c r="Y5879" t="str">
        <f t="shared" si="367"/>
        <v>Non-Senior</v>
      </c>
    </row>
    <row r="5880" spans="1:25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7082</v>
      </c>
      <c r="J5880" t="s">
        <v>7084</v>
      </c>
      <c r="K5880" t="s">
        <v>46</v>
      </c>
      <c r="L5880" t="s">
        <v>7084</v>
      </c>
      <c r="M5880" t="s">
        <v>7084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364"/>
        <v>0-12 Months</v>
      </c>
      <c r="W5880">
        <f t="shared" si="365"/>
        <v>0</v>
      </c>
      <c r="X5880">
        <f t="shared" si="366"/>
        <v>0</v>
      </c>
      <c r="Y5880" t="str">
        <f t="shared" si="367"/>
        <v>Non-Senior</v>
      </c>
    </row>
    <row r="5881" spans="1:25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364"/>
        <v>25-36 Months</v>
      </c>
      <c r="W5881">
        <f t="shared" si="365"/>
        <v>0</v>
      </c>
      <c r="X5881">
        <f t="shared" si="366"/>
        <v>0</v>
      </c>
      <c r="Y5881" t="str">
        <f t="shared" si="367"/>
        <v>Non-Senior</v>
      </c>
    </row>
    <row r="5882" spans="1:25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364"/>
        <v>0-12 Months</v>
      </c>
      <c r="W5882">
        <f t="shared" si="365"/>
        <v>1</v>
      </c>
      <c r="X5882">
        <f t="shared" si="366"/>
        <v>29.6</v>
      </c>
      <c r="Y5882" t="str">
        <f t="shared" si="367"/>
        <v>Non-Senior</v>
      </c>
    </row>
    <row r="5883" spans="1:25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364"/>
        <v>25-36 Months</v>
      </c>
      <c r="W5883">
        <f t="shared" si="365"/>
        <v>0</v>
      </c>
      <c r="X5883">
        <f t="shared" si="366"/>
        <v>0</v>
      </c>
      <c r="Y5883" t="str">
        <f t="shared" si="367"/>
        <v>Non-Senior</v>
      </c>
    </row>
    <row r="5884" spans="1:25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7082</v>
      </c>
      <c r="J5884" t="s">
        <v>7084</v>
      </c>
      <c r="K5884" t="s">
        <v>46</v>
      </c>
      <c r="L5884" t="s">
        <v>7084</v>
      </c>
      <c r="M5884" t="s">
        <v>7084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364"/>
        <v>13-24 Months</v>
      </c>
      <c r="W5884">
        <f t="shared" si="365"/>
        <v>0</v>
      </c>
      <c r="X5884">
        <f t="shared" si="366"/>
        <v>0</v>
      </c>
      <c r="Y5884" t="str">
        <f t="shared" si="367"/>
        <v>Non-Senior</v>
      </c>
    </row>
    <row r="5885" spans="1:25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7082</v>
      </c>
      <c r="J5885" t="s">
        <v>7084</v>
      </c>
      <c r="K5885" t="s">
        <v>46</v>
      </c>
      <c r="L5885" t="s">
        <v>7084</v>
      </c>
      <c r="M5885" t="s">
        <v>7084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364"/>
        <v>13-24 Months</v>
      </c>
      <c r="W5885">
        <f t="shared" si="365"/>
        <v>0</v>
      </c>
      <c r="X5885">
        <f t="shared" si="366"/>
        <v>0</v>
      </c>
      <c r="Y5885" t="str">
        <f t="shared" si="367"/>
        <v>Non-Senior</v>
      </c>
    </row>
    <row r="5886" spans="1:25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364"/>
        <v>37-48 Months</v>
      </c>
      <c r="W5886">
        <f t="shared" si="365"/>
        <v>1</v>
      </c>
      <c r="X5886">
        <f t="shared" si="366"/>
        <v>59.9</v>
      </c>
      <c r="Y5886" t="str">
        <f t="shared" si="367"/>
        <v>Senior Citizen</v>
      </c>
    </row>
    <row r="5887" spans="1:25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7082</v>
      </c>
      <c r="J5887" t="s">
        <v>7084</v>
      </c>
      <c r="K5887" t="s">
        <v>46</v>
      </c>
      <c r="L5887" t="s">
        <v>7084</v>
      </c>
      <c r="M5887" t="s">
        <v>7084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364"/>
        <v>13-24 Months</v>
      </c>
      <c r="W5887">
        <f t="shared" si="365"/>
        <v>0</v>
      </c>
      <c r="X5887">
        <f t="shared" si="366"/>
        <v>0</v>
      </c>
      <c r="Y5887" t="str">
        <f t="shared" si="367"/>
        <v>Non-Senior</v>
      </c>
    </row>
    <row r="5888" spans="1:25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7082</v>
      </c>
      <c r="J5888" t="s">
        <v>7084</v>
      </c>
      <c r="K5888" t="s">
        <v>46</v>
      </c>
      <c r="L5888" t="s">
        <v>7084</v>
      </c>
      <c r="M5888" t="s">
        <v>7084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364"/>
        <v>37-48 Months</v>
      </c>
      <c r="W5888">
        <f t="shared" si="365"/>
        <v>0</v>
      </c>
      <c r="X5888">
        <f t="shared" si="366"/>
        <v>0</v>
      </c>
      <c r="Y5888" t="str">
        <f t="shared" si="367"/>
        <v>Non-Senior</v>
      </c>
    </row>
    <row r="5889" spans="1:25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364"/>
        <v>13-24 Months</v>
      </c>
      <c r="W5889">
        <f t="shared" si="365"/>
        <v>0</v>
      </c>
      <c r="X5889">
        <f t="shared" si="366"/>
        <v>0</v>
      </c>
      <c r="Y5889" t="str">
        <f t="shared" si="367"/>
        <v>Non-Senior</v>
      </c>
    </row>
    <row r="5890" spans="1:25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si="364"/>
        <v>49-60 Months</v>
      </c>
      <c r="W5890">
        <f t="shared" si="365"/>
        <v>1</v>
      </c>
      <c r="X5890">
        <f t="shared" si="366"/>
        <v>95.6</v>
      </c>
      <c r="Y5890" t="str">
        <f t="shared" si="367"/>
        <v>Non-Senior</v>
      </c>
    </row>
    <row r="5891" spans="1:25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ref="V5891:V5954" si="368">IF(F5891&lt;=12,"0-12 Months",IF(F5891&lt;=24,"13-24 Months",IF(F5891&lt;=36,"25-36 Months",IF(F5891&lt;=48,"37-48 Months",IF(F5891&lt;=60,"49-60 Months","61-72 Months")))))</f>
        <v>49-60 Months</v>
      </c>
      <c r="W5891">
        <f t="shared" ref="W5891:W5954" si="369">IF(U5891="Yes",1,0)</f>
        <v>0</v>
      </c>
      <c r="X5891">
        <f t="shared" ref="X5891:X5954" si="370">IF(U5891="Yes",S5891,0)</f>
        <v>0</v>
      </c>
      <c r="Y5891" t="str">
        <f t="shared" ref="Y5891:Y5954" si="371">IF(C5891=1,"Senior Citizen","Non-Senior")</f>
        <v>Senior Citizen</v>
      </c>
    </row>
    <row r="5892" spans="1:25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368"/>
        <v>61-72 Months</v>
      </c>
      <c r="W5892">
        <f t="shared" si="369"/>
        <v>0</v>
      </c>
      <c r="X5892">
        <f t="shared" si="370"/>
        <v>0</v>
      </c>
      <c r="Y5892" t="str">
        <f t="shared" si="371"/>
        <v>Non-Senior</v>
      </c>
    </row>
    <row r="5893" spans="1:25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368"/>
        <v>0-12 Months</v>
      </c>
      <c r="W5893">
        <f t="shared" si="369"/>
        <v>1</v>
      </c>
      <c r="X5893">
        <f t="shared" si="370"/>
        <v>41.6</v>
      </c>
      <c r="Y5893" t="str">
        <f t="shared" si="371"/>
        <v>Non-Senior</v>
      </c>
    </row>
    <row r="5894" spans="1:25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368"/>
        <v>0-12 Months</v>
      </c>
      <c r="W5894">
        <f t="shared" si="369"/>
        <v>0</v>
      </c>
      <c r="X5894">
        <f t="shared" si="370"/>
        <v>0</v>
      </c>
      <c r="Y5894" t="str">
        <f t="shared" si="371"/>
        <v>Non-Senior</v>
      </c>
    </row>
    <row r="5895" spans="1:25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7082</v>
      </c>
      <c r="J5895" t="s">
        <v>7084</v>
      </c>
      <c r="K5895" t="s">
        <v>46</v>
      </c>
      <c r="L5895" t="s">
        <v>7084</v>
      </c>
      <c r="M5895" t="s">
        <v>7084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368"/>
        <v>0-12 Months</v>
      </c>
      <c r="W5895">
        <f t="shared" si="369"/>
        <v>0</v>
      </c>
      <c r="X5895">
        <f t="shared" si="370"/>
        <v>0</v>
      </c>
      <c r="Y5895" t="str">
        <f t="shared" si="371"/>
        <v>Non-Senior</v>
      </c>
    </row>
    <row r="5896" spans="1:25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368"/>
        <v>37-48 Months</v>
      </c>
      <c r="W5896">
        <f t="shared" si="369"/>
        <v>1</v>
      </c>
      <c r="X5896">
        <f t="shared" si="370"/>
        <v>100.85</v>
      </c>
      <c r="Y5896" t="str">
        <f t="shared" si="371"/>
        <v>Non-Senior</v>
      </c>
    </row>
    <row r="5897" spans="1:25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368"/>
        <v>37-48 Months</v>
      </c>
      <c r="W5897">
        <f t="shared" si="369"/>
        <v>0</v>
      </c>
      <c r="X5897">
        <f t="shared" si="370"/>
        <v>0</v>
      </c>
      <c r="Y5897" t="str">
        <f t="shared" si="371"/>
        <v>Non-Senior</v>
      </c>
    </row>
    <row r="5898" spans="1:25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7082</v>
      </c>
      <c r="J5898" t="s">
        <v>7084</v>
      </c>
      <c r="K5898" t="s">
        <v>46</v>
      </c>
      <c r="L5898" t="s">
        <v>7084</v>
      </c>
      <c r="M5898" t="s">
        <v>7084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368"/>
        <v>61-72 Months</v>
      </c>
      <c r="W5898">
        <f t="shared" si="369"/>
        <v>0</v>
      </c>
      <c r="X5898">
        <f t="shared" si="370"/>
        <v>0</v>
      </c>
      <c r="Y5898" t="str">
        <f t="shared" si="371"/>
        <v>Senior Citizen</v>
      </c>
    </row>
    <row r="5899" spans="1:25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7082</v>
      </c>
      <c r="J5899" t="s">
        <v>7084</v>
      </c>
      <c r="K5899" t="s">
        <v>46</v>
      </c>
      <c r="L5899" t="s">
        <v>7084</v>
      </c>
      <c r="M5899" t="s">
        <v>7084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368"/>
        <v>61-72 Months</v>
      </c>
      <c r="W5899">
        <f t="shared" si="369"/>
        <v>0</v>
      </c>
      <c r="X5899">
        <f t="shared" si="370"/>
        <v>0</v>
      </c>
      <c r="Y5899" t="str">
        <f t="shared" si="371"/>
        <v>Non-Senior</v>
      </c>
    </row>
    <row r="5900" spans="1:25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7082</v>
      </c>
      <c r="J5900" t="s">
        <v>7084</v>
      </c>
      <c r="K5900" t="s">
        <v>46</v>
      </c>
      <c r="L5900" t="s">
        <v>7084</v>
      </c>
      <c r="M5900" t="s">
        <v>7084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368"/>
        <v>25-36 Months</v>
      </c>
      <c r="W5900">
        <f t="shared" si="369"/>
        <v>0</v>
      </c>
      <c r="X5900">
        <f t="shared" si="370"/>
        <v>0</v>
      </c>
      <c r="Y5900" t="str">
        <f t="shared" si="371"/>
        <v>Non-Senior</v>
      </c>
    </row>
    <row r="5901" spans="1:25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368"/>
        <v>61-72 Months</v>
      </c>
      <c r="W5901">
        <f t="shared" si="369"/>
        <v>0</v>
      </c>
      <c r="X5901">
        <f t="shared" si="370"/>
        <v>0</v>
      </c>
      <c r="Y5901" t="str">
        <f t="shared" si="371"/>
        <v>Senior Citizen</v>
      </c>
    </row>
    <row r="5902" spans="1:25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368"/>
        <v>37-48 Months</v>
      </c>
      <c r="W5902">
        <f t="shared" si="369"/>
        <v>1</v>
      </c>
      <c r="X5902">
        <f t="shared" si="370"/>
        <v>40.200000000000003</v>
      </c>
      <c r="Y5902" t="str">
        <f t="shared" si="371"/>
        <v>Non-Senior</v>
      </c>
    </row>
    <row r="5903" spans="1:25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368"/>
        <v>49-60 Months</v>
      </c>
      <c r="W5903">
        <f t="shared" si="369"/>
        <v>1</v>
      </c>
      <c r="X5903">
        <f t="shared" si="370"/>
        <v>84.5</v>
      </c>
      <c r="Y5903" t="str">
        <f t="shared" si="371"/>
        <v>Non-Senior</v>
      </c>
    </row>
    <row r="5904" spans="1:25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368"/>
        <v>0-12 Months</v>
      </c>
      <c r="W5904">
        <f t="shared" si="369"/>
        <v>0</v>
      </c>
      <c r="X5904">
        <f t="shared" si="370"/>
        <v>0</v>
      </c>
      <c r="Y5904" t="str">
        <f t="shared" si="371"/>
        <v>Non-Senior</v>
      </c>
    </row>
    <row r="5905" spans="1:25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368"/>
        <v>49-60 Months</v>
      </c>
      <c r="W5905">
        <f t="shared" si="369"/>
        <v>0</v>
      </c>
      <c r="X5905">
        <f t="shared" si="370"/>
        <v>0</v>
      </c>
      <c r="Y5905" t="str">
        <f t="shared" si="371"/>
        <v>Non-Senior</v>
      </c>
    </row>
    <row r="5906" spans="1:25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368"/>
        <v>61-72 Months</v>
      </c>
      <c r="W5906">
        <f t="shared" si="369"/>
        <v>0</v>
      </c>
      <c r="X5906">
        <f t="shared" si="370"/>
        <v>0</v>
      </c>
      <c r="Y5906" t="str">
        <f t="shared" si="371"/>
        <v>Non-Senior</v>
      </c>
    </row>
    <row r="5907" spans="1:25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368"/>
        <v>0-12 Months</v>
      </c>
      <c r="W5907">
        <f t="shared" si="369"/>
        <v>0</v>
      </c>
      <c r="X5907">
        <f t="shared" si="370"/>
        <v>0</v>
      </c>
      <c r="Y5907" t="str">
        <f t="shared" si="371"/>
        <v>Non-Senior</v>
      </c>
    </row>
    <row r="5908" spans="1:25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368"/>
        <v>13-24 Months</v>
      </c>
      <c r="W5908">
        <f t="shared" si="369"/>
        <v>1</v>
      </c>
      <c r="X5908">
        <f t="shared" si="370"/>
        <v>78.95</v>
      </c>
      <c r="Y5908" t="str">
        <f t="shared" si="371"/>
        <v>Senior Citizen</v>
      </c>
    </row>
    <row r="5909" spans="1:25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368"/>
        <v>0-12 Months</v>
      </c>
      <c r="W5909">
        <f t="shared" si="369"/>
        <v>0</v>
      </c>
      <c r="X5909">
        <f t="shared" si="370"/>
        <v>0</v>
      </c>
      <c r="Y5909" t="str">
        <f t="shared" si="371"/>
        <v>Non-Senior</v>
      </c>
    </row>
    <row r="5910" spans="1:25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7082</v>
      </c>
      <c r="J5910" t="s">
        <v>7084</v>
      </c>
      <c r="K5910" t="s">
        <v>46</v>
      </c>
      <c r="L5910" t="s">
        <v>7084</v>
      </c>
      <c r="M5910" t="s">
        <v>7084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368"/>
        <v>0-12 Months</v>
      </c>
      <c r="W5910">
        <f t="shared" si="369"/>
        <v>1</v>
      </c>
      <c r="X5910">
        <f t="shared" si="370"/>
        <v>20.2</v>
      </c>
      <c r="Y5910" t="str">
        <f t="shared" si="371"/>
        <v>Non-Senior</v>
      </c>
    </row>
    <row r="5911" spans="1:25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368"/>
        <v>49-60 Months</v>
      </c>
      <c r="W5911">
        <f t="shared" si="369"/>
        <v>0</v>
      </c>
      <c r="X5911">
        <f t="shared" si="370"/>
        <v>0</v>
      </c>
      <c r="Y5911" t="str">
        <f t="shared" si="371"/>
        <v>Non-Senior</v>
      </c>
    </row>
    <row r="5912" spans="1:25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368"/>
        <v>0-12 Months</v>
      </c>
      <c r="W5912">
        <f t="shared" si="369"/>
        <v>0</v>
      </c>
      <c r="X5912">
        <f t="shared" si="370"/>
        <v>0</v>
      </c>
      <c r="Y5912" t="str">
        <f t="shared" si="371"/>
        <v>Non-Senior</v>
      </c>
    </row>
    <row r="5913" spans="1:25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368"/>
        <v>0-12 Months</v>
      </c>
      <c r="W5913">
        <f t="shared" si="369"/>
        <v>0</v>
      </c>
      <c r="X5913">
        <f t="shared" si="370"/>
        <v>0</v>
      </c>
      <c r="Y5913" t="str">
        <f t="shared" si="371"/>
        <v>Non-Senior</v>
      </c>
    </row>
    <row r="5914" spans="1:25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368"/>
        <v>37-48 Months</v>
      </c>
      <c r="W5914">
        <f t="shared" si="369"/>
        <v>1</v>
      </c>
      <c r="X5914">
        <f t="shared" si="370"/>
        <v>85.2</v>
      </c>
      <c r="Y5914" t="str">
        <f t="shared" si="371"/>
        <v>Senior Citizen</v>
      </c>
    </row>
    <row r="5915" spans="1:25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368"/>
        <v>25-36 Months</v>
      </c>
      <c r="W5915">
        <f t="shared" si="369"/>
        <v>0</v>
      </c>
      <c r="X5915">
        <f t="shared" si="370"/>
        <v>0</v>
      </c>
      <c r="Y5915" t="str">
        <f t="shared" si="371"/>
        <v>Non-Senior</v>
      </c>
    </row>
    <row r="5916" spans="1:25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368"/>
        <v>25-36 Months</v>
      </c>
      <c r="W5916">
        <f t="shared" si="369"/>
        <v>0</v>
      </c>
      <c r="X5916">
        <f t="shared" si="370"/>
        <v>0</v>
      </c>
      <c r="Y5916" t="str">
        <f t="shared" si="371"/>
        <v>Non-Senior</v>
      </c>
    </row>
    <row r="5917" spans="1:25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7082</v>
      </c>
      <c r="J5917" t="s">
        <v>7084</v>
      </c>
      <c r="K5917" t="s">
        <v>46</v>
      </c>
      <c r="L5917" t="s">
        <v>7084</v>
      </c>
      <c r="M5917" t="s">
        <v>7084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368"/>
        <v>61-72 Months</v>
      </c>
      <c r="W5917">
        <f t="shared" si="369"/>
        <v>0</v>
      </c>
      <c r="X5917">
        <f t="shared" si="370"/>
        <v>0</v>
      </c>
      <c r="Y5917" t="str">
        <f t="shared" si="371"/>
        <v>Non-Senior</v>
      </c>
    </row>
    <row r="5918" spans="1:25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368"/>
        <v>61-72 Months</v>
      </c>
      <c r="W5918">
        <f t="shared" si="369"/>
        <v>0</v>
      </c>
      <c r="X5918">
        <f t="shared" si="370"/>
        <v>0</v>
      </c>
      <c r="Y5918" t="str">
        <f t="shared" si="371"/>
        <v>Non-Senior</v>
      </c>
    </row>
    <row r="5919" spans="1:25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7082</v>
      </c>
      <c r="J5919" t="s">
        <v>7084</v>
      </c>
      <c r="K5919" t="s">
        <v>46</v>
      </c>
      <c r="L5919" t="s">
        <v>7084</v>
      </c>
      <c r="M5919" t="s">
        <v>7084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368"/>
        <v>0-12 Months</v>
      </c>
      <c r="W5919">
        <f t="shared" si="369"/>
        <v>0</v>
      </c>
      <c r="X5919">
        <f t="shared" si="370"/>
        <v>0</v>
      </c>
      <c r="Y5919" t="str">
        <f t="shared" si="371"/>
        <v>Non-Senior</v>
      </c>
    </row>
    <row r="5920" spans="1:25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7082</v>
      </c>
      <c r="J5920" t="s">
        <v>7084</v>
      </c>
      <c r="K5920" t="s">
        <v>46</v>
      </c>
      <c r="L5920" t="s">
        <v>7084</v>
      </c>
      <c r="M5920" t="s">
        <v>7084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368"/>
        <v>49-60 Months</v>
      </c>
      <c r="W5920">
        <f t="shared" si="369"/>
        <v>0</v>
      </c>
      <c r="X5920">
        <f t="shared" si="370"/>
        <v>0</v>
      </c>
      <c r="Y5920" t="str">
        <f t="shared" si="371"/>
        <v>Non-Senior</v>
      </c>
    </row>
    <row r="5921" spans="1:25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368"/>
        <v>61-72 Months</v>
      </c>
      <c r="W5921">
        <f t="shared" si="369"/>
        <v>0</v>
      </c>
      <c r="X5921">
        <f t="shared" si="370"/>
        <v>0</v>
      </c>
      <c r="Y5921" t="str">
        <f t="shared" si="371"/>
        <v>Non-Senior</v>
      </c>
    </row>
    <row r="5922" spans="1:25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368"/>
        <v>25-36 Months</v>
      </c>
      <c r="W5922">
        <f t="shared" si="369"/>
        <v>0</v>
      </c>
      <c r="X5922">
        <f t="shared" si="370"/>
        <v>0</v>
      </c>
      <c r="Y5922" t="str">
        <f t="shared" si="371"/>
        <v>Senior Citizen</v>
      </c>
    </row>
    <row r="5923" spans="1:25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368"/>
        <v>25-36 Months</v>
      </c>
      <c r="W5923">
        <f t="shared" si="369"/>
        <v>0</v>
      </c>
      <c r="X5923">
        <f t="shared" si="370"/>
        <v>0</v>
      </c>
      <c r="Y5923" t="str">
        <f t="shared" si="371"/>
        <v>Non-Senior</v>
      </c>
    </row>
    <row r="5924" spans="1:25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368"/>
        <v>61-72 Months</v>
      </c>
      <c r="W5924">
        <f t="shared" si="369"/>
        <v>0</v>
      </c>
      <c r="X5924">
        <f t="shared" si="370"/>
        <v>0</v>
      </c>
      <c r="Y5924" t="str">
        <f t="shared" si="371"/>
        <v>Non-Senior</v>
      </c>
    </row>
    <row r="5925" spans="1:25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368"/>
        <v>0-12 Months</v>
      </c>
      <c r="W5925">
        <f t="shared" si="369"/>
        <v>0</v>
      </c>
      <c r="X5925">
        <f t="shared" si="370"/>
        <v>0</v>
      </c>
      <c r="Y5925" t="str">
        <f t="shared" si="371"/>
        <v>Non-Senior</v>
      </c>
    </row>
    <row r="5926" spans="1:25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7082</v>
      </c>
      <c r="J5926" t="s">
        <v>7084</v>
      </c>
      <c r="K5926" t="s">
        <v>46</v>
      </c>
      <c r="L5926" t="s">
        <v>7084</v>
      </c>
      <c r="M5926" t="s">
        <v>7084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368"/>
        <v>61-72 Months</v>
      </c>
      <c r="W5926">
        <f t="shared" si="369"/>
        <v>0</v>
      </c>
      <c r="X5926">
        <f t="shared" si="370"/>
        <v>0</v>
      </c>
      <c r="Y5926" t="str">
        <f t="shared" si="371"/>
        <v>Non-Senior</v>
      </c>
    </row>
    <row r="5927" spans="1:25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368"/>
        <v>13-24 Months</v>
      </c>
      <c r="W5927">
        <f t="shared" si="369"/>
        <v>0</v>
      </c>
      <c r="X5927">
        <f t="shared" si="370"/>
        <v>0</v>
      </c>
      <c r="Y5927" t="str">
        <f t="shared" si="371"/>
        <v>Non-Senior</v>
      </c>
    </row>
    <row r="5928" spans="1:25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368"/>
        <v>0-12 Months</v>
      </c>
      <c r="W5928">
        <f t="shared" si="369"/>
        <v>0</v>
      </c>
      <c r="X5928">
        <f t="shared" si="370"/>
        <v>0</v>
      </c>
      <c r="Y5928" t="str">
        <f t="shared" si="371"/>
        <v>Non-Senior</v>
      </c>
    </row>
    <row r="5929" spans="1:25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7082</v>
      </c>
      <c r="J5929" t="s">
        <v>7084</v>
      </c>
      <c r="K5929" t="s">
        <v>46</v>
      </c>
      <c r="L5929" t="s">
        <v>7084</v>
      </c>
      <c r="M5929" t="s">
        <v>7084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368"/>
        <v>49-60 Months</v>
      </c>
      <c r="W5929">
        <f t="shared" si="369"/>
        <v>0</v>
      </c>
      <c r="X5929">
        <f t="shared" si="370"/>
        <v>0</v>
      </c>
      <c r="Y5929" t="str">
        <f t="shared" si="371"/>
        <v>Non-Senior</v>
      </c>
    </row>
    <row r="5930" spans="1:25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7082</v>
      </c>
      <c r="J5930" t="s">
        <v>7084</v>
      </c>
      <c r="K5930" t="s">
        <v>46</v>
      </c>
      <c r="L5930" t="s">
        <v>7084</v>
      </c>
      <c r="M5930" t="s">
        <v>7084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368"/>
        <v>61-72 Months</v>
      </c>
      <c r="W5930">
        <f t="shared" si="369"/>
        <v>0</v>
      </c>
      <c r="X5930">
        <f t="shared" si="370"/>
        <v>0</v>
      </c>
      <c r="Y5930" t="str">
        <f t="shared" si="371"/>
        <v>Non-Senior</v>
      </c>
    </row>
    <row r="5931" spans="1:25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368"/>
        <v>61-72 Months</v>
      </c>
      <c r="W5931">
        <f t="shared" si="369"/>
        <v>0</v>
      </c>
      <c r="X5931">
        <f t="shared" si="370"/>
        <v>0</v>
      </c>
      <c r="Y5931" t="str">
        <f t="shared" si="371"/>
        <v>Senior Citizen</v>
      </c>
    </row>
    <row r="5932" spans="1:25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368"/>
        <v>61-72 Months</v>
      </c>
      <c r="W5932">
        <f t="shared" si="369"/>
        <v>0</v>
      </c>
      <c r="X5932">
        <f t="shared" si="370"/>
        <v>0</v>
      </c>
      <c r="Y5932" t="str">
        <f t="shared" si="371"/>
        <v>Non-Senior</v>
      </c>
    </row>
    <row r="5933" spans="1:25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368"/>
        <v>13-24 Months</v>
      </c>
      <c r="W5933">
        <f t="shared" si="369"/>
        <v>1</v>
      </c>
      <c r="X5933">
        <f t="shared" si="370"/>
        <v>98</v>
      </c>
      <c r="Y5933" t="str">
        <f t="shared" si="371"/>
        <v>Senior Citizen</v>
      </c>
    </row>
    <row r="5934" spans="1:25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368"/>
        <v>0-12 Months</v>
      </c>
      <c r="W5934">
        <f t="shared" si="369"/>
        <v>1</v>
      </c>
      <c r="X5934">
        <f t="shared" si="370"/>
        <v>94.45</v>
      </c>
      <c r="Y5934" t="str">
        <f t="shared" si="371"/>
        <v>Non-Senior</v>
      </c>
    </row>
    <row r="5935" spans="1:25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368"/>
        <v>0-12 Months</v>
      </c>
      <c r="W5935">
        <f t="shared" si="369"/>
        <v>1</v>
      </c>
      <c r="X5935">
        <f t="shared" si="370"/>
        <v>105</v>
      </c>
      <c r="Y5935" t="str">
        <f t="shared" si="371"/>
        <v>Senior Citizen</v>
      </c>
    </row>
    <row r="5936" spans="1:25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368"/>
        <v>25-36 Months</v>
      </c>
      <c r="W5936">
        <f t="shared" si="369"/>
        <v>1</v>
      </c>
      <c r="X5936">
        <f t="shared" si="370"/>
        <v>93.85</v>
      </c>
      <c r="Y5936" t="str">
        <f t="shared" si="371"/>
        <v>Senior Citizen</v>
      </c>
    </row>
    <row r="5937" spans="1:25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368"/>
        <v>13-24 Months</v>
      </c>
      <c r="W5937">
        <f t="shared" si="369"/>
        <v>0</v>
      </c>
      <c r="X5937">
        <f t="shared" si="370"/>
        <v>0</v>
      </c>
      <c r="Y5937" t="str">
        <f t="shared" si="371"/>
        <v>Senior Citizen</v>
      </c>
    </row>
    <row r="5938" spans="1:25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7082</v>
      </c>
      <c r="J5938" t="s">
        <v>7084</v>
      </c>
      <c r="K5938" t="s">
        <v>46</v>
      </c>
      <c r="L5938" t="s">
        <v>7084</v>
      </c>
      <c r="M5938" t="s">
        <v>7084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368"/>
        <v>37-48 Months</v>
      </c>
      <c r="W5938">
        <f t="shared" si="369"/>
        <v>0</v>
      </c>
      <c r="X5938">
        <f t="shared" si="370"/>
        <v>0</v>
      </c>
      <c r="Y5938" t="str">
        <f t="shared" si="371"/>
        <v>Non-Senior</v>
      </c>
    </row>
    <row r="5939" spans="1:25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368"/>
        <v>0-12 Months</v>
      </c>
      <c r="W5939">
        <f t="shared" si="369"/>
        <v>1</v>
      </c>
      <c r="X5939">
        <f t="shared" si="370"/>
        <v>84</v>
      </c>
      <c r="Y5939" t="str">
        <f t="shared" si="371"/>
        <v>Senior Citizen</v>
      </c>
    </row>
    <row r="5940" spans="1:25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368"/>
        <v>25-36 Months</v>
      </c>
      <c r="W5940">
        <f t="shared" si="369"/>
        <v>0</v>
      </c>
      <c r="X5940">
        <f t="shared" si="370"/>
        <v>0</v>
      </c>
      <c r="Y5940" t="str">
        <f t="shared" si="371"/>
        <v>Senior Citizen</v>
      </c>
    </row>
    <row r="5941" spans="1:25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368"/>
        <v>13-24 Months</v>
      </c>
      <c r="W5941">
        <f t="shared" si="369"/>
        <v>0</v>
      </c>
      <c r="X5941">
        <f t="shared" si="370"/>
        <v>0</v>
      </c>
      <c r="Y5941" t="str">
        <f t="shared" si="371"/>
        <v>Non-Senior</v>
      </c>
    </row>
    <row r="5942" spans="1:25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368"/>
        <v>49-60 Months</v>
      </c>
      <c r="W5942">
        <f t="shared" si="369"/>
        <v>0</v>
      </c>
      <c r="X5942">
        <f t="shared" si="370"/>
        <v>0</v>
      </c>
      <c r="Y5942" t="str">
        <f t="shared" si="371"/>
        <v>Non-Senior</v>
      </c>
    </row>
    <row r="5943" spans="1:25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368"/>
        <v>25-36 Months</v>
      </c>
      <c r="W5943">
        <f t="shared" si="369"/>
        <v>0</v>
      </c>
      <c r="X5943">
        <f t="shared" si="370"/>
        <v>0</v>
      </c>
      <c r="Y5943" t="str">
        <f t="shared" si="371"/>
        <v>Non-Senior</v>
      </c>
    </row>
    <row r="5944" spans="1:25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368"/>
        <v>0-12 Months</v>
      </c>
      <c r="W5944">
        <f t="shared" si="369"/>
        <v>1</v>
      </c>
      <c r="X5944">
        <f t="shared" si="370"/>
        <v>48.75</v>
      </c>
      <c r="Y5944" t="str">
        <f t="shared" si="371"/>
        <v>Non-Senior</v>
      </c>
    </row>
    <row r="5945" spans="1:25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368"/>
        <v>0-12 Months</v>
      </c>
      <c r="W5945">
        <f t="shared" si="369"/>
        <v>1</v>
      </c>
      <c r="X5945">
        <f t="shared" si="370"/>
        <v>84.85</v>
      </c>
      <c r="Y5945" t="str">
        <f t="shared" si="371"/>
        <v>Non-Senior</v>
      </c>
    </row>
    <row r="5946" spans="1:25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368"/>
        <v>0-12 Months</v>
      </c>
      <c r="W5946">
        <f t="shared" si="369"/>
        <v>1</v>
      </c>
      <c r="X5946">
        <f t="shared" si="370"/>
        <v>56.65</v>
      </c>
      <c r="Y5946" t="str">
        <f t="shared" si="371"/>
        <v>Non-Senior</v>
      </c>
    </row>
    <row r="5947" spans="1:25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368"/>
        <v>49-60 Months</v>
      </c>
      <c r="W5947">
        <f t="shared" si="369"/>
        <v>0</v>
      </c>
      <c r="X5947">
        <f t="shared" si="370"/>
        <v>0</v>
      </c>
      <c r="Y5947" t="str">
        <f t="shared" si="371"/>
        <v>Senior Citizen</v>
      </c>
    </row>
    <row r="5948" spans="1:25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368"/>
        <v>37-48 Months</v>
      </c>
      <c r="W5948">
        <f t="shared" si="369"/>
        <v>1</v>
      </c>
      <c r="X5948">
        <f t="shared" si="370"/>
        <v>73.900000000000006</v>
      </c>
      <c r="Y5948" t="str">
        <f t="shared" si="371"/>
        <v>Non-Senior</v>
      </c>
    </row>
    <row r="5949" spans="1:25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7082</v>
      </c>
      <c r="J5949" t="s">
        <v>7084</v>
      </c>
      <c r="K5949" t="s">
        <v>46</v>
      </c>
      <c r="L5949" t="s">
        <v>7084</v>
      </c>
      <c r="M5949" t="s">
        <v>7084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368"/>
        <v>25-36 Months</v>
      </c>
      <c r="W5949">
        <f t="shared" si="369"/>
        <v>1</v>
      </c>
      <c r="X5949">
        <f t="shared" si="370"/>
        <v>24.5</v>
      </c>
      <c r="Y5949" t="str">
        <f t="shared" si="371"/>
        <v>Non-Senior</v>
      </c>
    </row>
    <row r="5950" spans="1:25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368"/>
        <v>61-72 Months</v>
      </c>
      <c r="W5950">
        <f t="shared" si="369"/>
        <v>0</v>
      </c>
      <c r="X5950">
        <f t="shared" si="370"/>
        <v>0</v>
      </c>
      <c r="Y5950" t="str">
        <f t="shared" si="371"/>
        <v>Non-Senior</v>
      </c>
    </row>
    <row r="5951" spans="1:25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368"/>
        <v>61-72 Months</v>
      </c>
      <c r="W5951">
        <f t="shared" si="369"/>
        <v>0</v>
      </c>
      <c r="X5951">
        <f t="shared" si="370"/>
        <v>0</v>
      </c>
      <c r="Y5951" t="str">
        <f t="shared" si="371"/>
        <v>Non-Senior</v>
      </c>
    </row>
    <row r="5952" spans="1:25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368"/>
        <v>0-12 Months</v>
      </c>
      <c r="W5952">
        <f t="shared" si="369"/>
        <v>0</v>
      </c>
      <c r="X5952">
        <f t="shared" si="370"/>
        <v>0</v>
      </c>
      <c r="Y5952" t="str">
        <f t="shared" si="371"/>
        <v>Non-Senior</v>
      </c>
    </row>
    <row r="5953" spans="1:25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368"/>
        <v>37-48 Months</v>
      </c>
      <c r="W5953">
        <f t="shared" si="369"/>
        <v>0</v>
      </c>
      <c r="X5953">
        <f t="shared" si="370"/>
        <v>0</v>
      </c>
      <c r="Y5953" t="str">
        <f t="shared" si="371"/>
        <v>Non-Senior</v>
      </c>
    </row>
    <row r="5954" spans="1:25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7082</v>
      </c>
      <c r="J5954" t="s">
        <v>7084</v>
      </c>
      <c r="K5954" t="s">
        <v>46</v>
      </c>
      <c r="L5954" t="s">
        <v>7084</v>
      </c>
      <c r="M5954" t="s">
        <v>7084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si="368"/>
        <v>0-12 Months</v>
      </c>
      <c r="W5954">
        <f t="shared" si="369"/>
        <v>0</v>
      </c>
      <c r="X5954">
        <f t="shared" si="370"/>
        <v>0</v>
      </c>
      <c r="Y5954" t="str">
        <f t="shared" si="371"/>
        <v>Non-Senior</v>
      </c>
    </row>
    <row r="5955" spans="1:25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ref="V5955:V6018" si="372">IF(F5955&lt;=12,"0-12 Months",IF(F5955&lt;=24,"13-24 Months",IF(F5955&lt;=36,"25-36 Months",IF(F5955&lt;=48,"37-48 Months",IF(F5955&lt;=60,"49-60 Months","61-72 Months")))))</f>
        <v>0-12 Months</v>
      </c>
      <c r="W5955">
        <f t="shared" ref="W5955:W6018" si="373">IF(U5955="Yes",1,0)</f>
        <v>0</v>
      </c>
      <c r="X5955">
        <f t="shared" ref="X5955:X6018" si="374">IF(U5955="Yes",S5955,0)</f>
        <v>0</v>
      </c>
      <c r="Y5955" t="str">
        <f t="shared" ref="Y5955:Y6018" si="375">IF(C5955=1,"Senior Citizen","Non-Senior")</f>
        <v>Non-Senior</v>
      </c>
    </row>
    <row r="5956" spans="1:25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372"/>
        <v>13-24 Months</v>
      </c>
      <c r="W5956">
        <f t="shared" si="373"/>
        <v>0</v>
      </c>
      <c r="X5956">
        <f t="shared" si="374"/>
        <v>0</v>
      </c>
      <c r="Y5956" t="str">
        <f t="shared" si="375"/>
        <v>Non-Senior</v>
      </c>
    </row>
    <row r="5957" spans="1:25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372"/>
        <v>61-72 Months</v>
      </c>
      <c r="W5957">
        <f t="shared" si="373"/>
        <v>0</v>
      </c>
      <c r="X5957">
        <f t="shared" si="374"/>
        <v>0</v>
      </c>
      <c r="Y5957" t="str">
        <f t="shared" si="375"/>
        <v>Non-Senior</v>
      </c>
    </row>
    <row r="5958" spans="1:25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372"/>
        <v>25-36 Months</v>
      </c>
      <c r="W5958">
        <f t="shared" si="373"/>
        <v>1</v>
      </c>
      <c r="X5958">
        <f t="shared" si="374"/>
        <v>89.9</v>
      </c>
      <c r="Y5958" t="str">
        <f t="shared" si="375"/>
        <v>Non-Senior</v>
      </c>
    </row>
    <row r="5959" spans="1:25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372"/>
        <v>13-24 Months</v>
      </c>
      <c r="W5959">
        <f t="shared" si="373"/>
        <v>1</v>
      </c>
      <c r="X5959">
        <f t="shared" si="374"/>
        <v>78.55</v>
      </c>
      <c r="Y5959" t="str">
        <f t="shared" si="375"/>
        <v>Senior Citizen</v>
      </c>
    </row>
    <row r="5960" spans="1:25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372"/>
        <v>0-12 Months</v>
      </c>
      <c r="W5960">
        <f t="shared" si="373"/>
        <v>0</v>
      </c>
      <c r="X5960">
        <f t="shared" si="374"/>
        <v>0</v>
      </c>
      <c r="Y5960" t="str">
        <f t="shared" si="375"/>
        <v>Non-Senior</v>
      </c>
    </row>
    <row r="5961" spans="1:25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7082</v>
      </c>
      <c r="J5961" t="s">
        <v>7084</v>
      </c>
      <c r="K5961" t="s">
        <v>46</v>
      </c>
      <c r="L5961" t="s">
        <v>7084</v>
      </c>
      <c r="M5961" t="s">
        <v>7084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372"/>
        <v>25-36 Months</v>
      </c>
      <c r="W5961">
        <f t="shared" si="373"/>
        <v>0</v>
      </c>
      <c r="X5961">
        <f t="shared" si="374"/>
        <v>0</v>
      </c>
      <c r="Y5961" t="str">
        <f t="shared" si="375"/>
        <v>Non-Senior</v>
      </c>
    </row>
    <row r="5962" spans="1:25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372"/>
        <v>61-72 Months</v>
      </c>
      <c r="W5962">
        <f t="shared" si="373"/>
        <v>0</v>
      </c>
      <c r="X5962">
        <f t="shared" si="374"/>
        <v>0</v>
      </c>
      <c r="Y5962" t="str">
        <f t="shared" si="375"/>
        <v>Senior Citizen</v>
      </c>
    </row>
    <row r="5963" spans="1:25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372"/>
        <v>0-12 Months</v>
      </c>
      <c r="W5963">
        <f t="shared" si="373"/>
        <v>0</v>
      </c>
      <c r="X5963">
        <f t="shared" si="374"/>
        <v>0</v>
      </c>
      <c r="Y5963" t="str">
        <f t="shared" si="375"/>
        <v>Non-Senior</v>
      </c>
    </row>
    <row r="5964" spans="1:25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372"/>
        <v>13-24 Months</v>
      </c>
      <c r="W5964">
        <f t="shared" si="373"/>
        <v>0</v>
      </c>
      <c r="X5964">
        <f t="shared" si="374"/>
        <v>0</v>
      </c>
      <c r="Y5964" t="str">
        <f t="shared" si="375"/>
        <v>Non-Senior</v>
      </c>
    </row>
    <row r="5965" spans="1:25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372"/>
        <v>13-24 Months</v>
      </c>
      <c r="W5965">
        <f t="shared" si="373"/>
        <v>0</v>
      </c>
      <c r="X5965">
        <f t="shared" si="374"/>
        <v>0</v>
      </c>
      <c r="Y5965" t="str">
        <f t="shared" si="375"/>
        <v>Non-Senior</v>
      </c>
    </row>
    <row r="5966" spans="1:25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372"/>
        <v>49-60 Months</v>
      </c>
      <c r="W5966">
        <f t="shared" si="373"/>
        <v>0</v>
      </c>
      <c r="X5966">
        <f t="shared" si="374"/>
        <v>0</v>
      </c>
      <c r="Y5966" t="str">
        <f t="shared" si="375"/>
        <v>Non-Senior</v>
      </c>
    </row>
    <row r="5967" spans="1:25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372"/>
        <v>25-36 Months</v>
      </c>
      <c r="W5967">
        <f t="shared" si="373"/>
        <v>0</v>
      </c>
      <c r="X5967">
        <f t="shared" si="374"/>
        <v>0</v>
      </c>
      <c r="Y5967" t="str">
        <f t="shared" si="375"/>
        <v>Non-Senior</v>
      </c>
    </row>
    <row r="5968" spans="1:25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372"/>
        <v>37-48 Months</v>
      </c>
      <c r="W5968">
        <f t="shared" si="373"/>
        <v>1</v>
      </c>
      <c r="X5968">
        <f t="shared" si="374"/>
        <v>99.45</v>
      </c>
      <c r="Y5968" t="str">
        <f t="shared" si="375"/>
        <v>Non-Senior</v>
      </c>
    </row>
    <row r="5969" spans="1:25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372"/>
        <v>0-12 Months</v>
      </c>
      <c r="W5969">
        <f t="shared" si="373"/>
        <v>1</v>
      </c>
      <c r="X5969">
        <f t="shared" si="374"/>
        <v>25.2</v>
      </c>
      <c r="Y5969" t="str">
        <f t="shared" si="375"/>
        <v>Senior Citizen</v>
      </c>
    </row>
    <row r="5970" spans="1:25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372"/>
        <v>0-12 Months</v>
      </c>
      <c r="W5970">
        <f t="shared" si="373"/>
        <v>1</v>
      </c>
      <c r="X5970">
        <f t="shared" si="374"/>
        <v>74.05</v>
      </c>
      <c r="Y5970" t="str">
        <f t="shared" si="375"/>
        <v>Non-Senior</v>
      </c>
    </row>
    <row r="5971" spans="1:25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372"/>
        <v>25-36 Months</v>
      </c>
      <c r="W5971">
        <f t="shared" si="373"/>
        <v>0</v>
      </c>
      <c r="X5971">
        <f t="shared" si="374"/>
        <v>0</v>
      </c>
      <c r="Y5971" t="str">
        <f t="shared" si="375"/>
        <v>Non-Senior</v>
      </c>
    </row>
    <row r="5972" spans="1:25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372"/>
        <v>0-12 Months</v>
      </c>
      <c r="W5972">
        <f t="shared" si="373"/>
        <v>0</v>
      </c>
      <c r="X5972">
        <f t="shared" si="374"/>
        <v>0</v>
      </c>
      <c r="Y5972" t="str">
        <f t="shared" si="375"/>
        <v>Non-Senior</v>
      </c>
    </row>
    <row r="5973" spans="1:25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7082</v>
      </c>
      <c r="J5973" t="s">
        <v>7084</v>
      </c>
      <c r="K5973" t="s">
        <v>46</v>
      </c>
      <c r="L5973" t="s">
        <v>7084</v>
      </c>
      <c r="M5973" t="s">
        <v>7084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372"/>
        <v>61-72 Months</v>
      </c>
      <c r="W5973">
        <f t="shared" si="373"/>
        <v>0</v>
      </c>
      <c r="X5973">
        <f t="shared" si="374"/>
        <v>0</v>
      </c>
      <c r="Y5973" t="str">
        <f t="shared" si="375"/>
        <v>Non-Senior</v>
      </c>
    </row>
    <row r="5974" spans="1:25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372"/>
        <v>13-24 Months</v>
      </c>
      <c r="W5974">
        <f t="shared" si="373"/>
        <v>1</v>
      </c>
      <c r="X5974">
        <f t="shared" si="374"/>
        <v>55</v>
      </c>
      <c r="Y5974" t="str">
        <f t="shared" si="375"/>
        <v>Senior Citizen</v>
      </c>
    </row>
    <row r="5975" spans="1:25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372"/>
        <v>61-72 Months</v>
      </c>
      <c r="W5975">
        <f t="shared" si="373"/>
        <v>0</v>
      </c>
      <c r="X5975">
        <f t="shared" si="374"/>
        <v>0</v>
      </c>
      <c r="Y5975" t="str">
        <f t="shared" si="375"/>
        <v>Non-Senior</v>
      </c>
    </row>
    <row r="5976" spans="1:25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7082</v>
      </c>
      <c r="J5976" t="s">
        <v>7084</v>
      </c>
      <c r="K5976" t="s">
        <v>46</v>
      </c>
      <c r="L5976" t="s">
        <v>7084</v>
      </c>
      <c r="M5976" t="s">
        <v>7084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372"/>
        <v>0-12 Months</v>
      </c>
      <c r="W5976">
        <f t="shared" si="373"/>
        <v>0</v>
      </c>
      <c r="X5976">
        <f t="shared" si="374"/>
        <v>0</v>
      </c>
      <c r="Y5976" t="str">
        <f t="shared" si="375"/>
        <v>Non-Senior</v>
      </c>
    </row>
    <row r="5977" spans="1:25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372"/>
        <v>0-12 Months</v>
      </c>
      <c r="W5977">
        <f t="shared" si="373"/>
        <v>1</v>
      </c>
      <c r="X5977">
        <f t="shared" si="374"/>
        <v>89.75</v>
      </c>
      <c r="Y5977" t="str">
        <f t="shared" si="375"/>
        <v>Non-Senior</v>
      </c>
    </row>
    <row r="5978" spans="1:25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372"/>
        <v>25-36 Months</v>
      </c>
      <c r="W5978">
        <f t="shared" si="373"/>
        <v>0</v>
      </c>
      <c r="X5978">
        <f t="shared" si="374"/>
        <v>0</v>
      </c>
      <c r="Y5978" t="str">
        <f t="shared" si="375"/>
        <v>Non-Senior</v>
      </c>
    </row>
    <row r="5979" spans="1:25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7082</v>
      </c>
      <c r="J5979" t="s">
        <v>7084</v>
      </c>
      <c r="K5979" t="s">
        <v>46</v>
      </c>
      <c r="L5979" t="s">
        <v>7084</v>
      </c>
      <c r="M5979" t="s">
        <v>7084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372"/>
        <v>49-60 Months</v>
      </c>
      <c r="W5979">
        <f t="shared" si="373"/>
        <v>0</v>
      </c>
      <c r="X5979">
        <f t="shared" si="374"/>
        <v>0</v>
      </c>
      <c r="Y5979" t="str">
        <f t="shared" si="375"/>
        <v>Non-Senior</v>
      </c>
    </row>
    <row r="5980" spans="1:25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372"/>
        <v>37-48 Months</v>
      </c>
      <c r="W5980">
        <f t="shared" si="373"/>
        <v>0</v>
      </c>
      <c r="X5980">
        <f t="shared" si="374"/>
        <v>0</v>
      </c>
      <c r="Y5980" t="str">
        <f t="shared" si="375"/>
        <v>Non-Senior</v>
      </c>
    </row>
    <row r="5981" spans="1:25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7082</v>
      </c>
      <c r="J5981" t="s">
        <v>7084</v>
      </c>
      <c r="K5981" t="s">
        <v>46</v>
      </c>
      <c r="L5981" t="s">
        <v>7084</v>
      </c>
      <c r="M5981" t="s">
        <v>7084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372"/>
        <v>49-60 Months</v>
      </c>
      <c r="W5981">
        <f t="shared" si="373"/>
        <v>0</v>
      </c>
      <c r="X5981">
        <f t="shared" si="374"/>
        <v>0</v>
      </c>
      <c r="Y5981" t="str">
        <f t="shared" si="375"/>
        <v>Non-Senior</v>
      </c>
    </row>
    <row r="5982" spans="1:25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372"/>
        <v>13-24 Months</v>
      </c>
      <c r="W5982">
        <f t="shared" si="373"/>
        <v>0</v>
      </c>
      <c r="X5982">
        <f t="shared" si="374"/>
        <v>0</v>
      </c>
      <c r="Y5982" t="str">
        <f t="shared" si="375"/>
        <v>Non-Senior</v>
      </c>
    </row>
    <row r="5983" spans="1:25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7082</v>
      </c>
      <c r="J5983" t="s">
        <v>7084</v>
      </c>
      <c r="K5983" t="s">
        <v>46</v>
      </c>
      <c r="L5983" t="s">
        <v>7084</v>
      </c>
      <c r="M5983" t="s">
        <v>7084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372"/>
        <v>37-48 Months</v>
      </c>
      <c r="W5983">
        <f t="shared" si="373"/>
        <v>0</v>
      </c>
      <c r="X5983">
        <f t="shared" si="374"/>
        <v>0</v>
      </c>
      <c r="Y5983" t="str">
        <f t="shared" si="375"/>
        <v>Non-Senior</v>
      </c>
    </row>
    <row r="5984" spans="1:25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7082</v>
      </c>
      <c r="J5984" t="s">
        <v>7084</v>
      </c>
      <c r="K5984" t="s">
        <v>46</v>
      </c>
      <c r="L5984" t="s">
        <v>7084</v>
      </c>
      <c r="M5984" t="s">
        <v>7084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372"/>
        <v>13-24 Months</v>
      </c>
      <c r="W5984">
        <f t="shared" si="373"/>
        <v>0</v>
      </c>
      <c r="X5984">
        <f t="shared" si="374"/>
        <v>0</v>
      </c>
      <c r="Y5984" t="str">
        <f t="shared" si="375"/>
        <v>Non-Senior</v>
      </c>
    </row>
    <row r="5985" spans="1:25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372"/>
        <v>13-24 Months</v>
      </c>
      <c r="W5985">
        <f t="shared" si="373"/>
        <v>0</v>
      </c>
      <c r="X5985">
        <f t="shared" si="374"/>
        <v>0</v>
      </c>
      <c r="Y5985" t="str">
        <f t="shared" si="375"/>
        <v>Non-Senior</v>
      </c>
    </row>
    <row r="5986" spans="1:25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372"/>
        <v>13-24 Months</v>
      </c>
      <c r="W5986">
        <f t="shared" si="373"/>
        <v>1</v>
      </c>
      <c r="X5986">
        <f t="shared" si="374"/>
        <v>85.15</v>
      </c>
      <c r="Y5986" t="str">
        <f t="shared" si="375"/>
        <v>Non-Senior</v>
      </c>
    </row>
    <row r="5987" spans="1:25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372"/>
        <v>49-60 Months</v>
      </c>
      <c r="W5987">
        <f t="shared" si="373"/>
        <v>0</v>
      </c>
      <c r="X5987">
        <f t="shared" si="374"/>
        <v>0</v>
      </c>
      <c r="Y5987" t="str">
        <f t="shared" si="375"/>
        <v>Non-Senior</v>
      </c>
    </row>
    <row r="5988" spans="1:25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372"/>
        <v>0-12 Months</v>
      </c>
      <c r="W5988">
        <f t="shared" si="373"/>
        <v>0</v>
      </c>
      <c r="X5988">
        <f t="shared" si="374"/>
        <v>0</v>
      </c>
      <c r="Y5988" t="str">
        <f t="shared" si="375"/>
        <v>Senior Citizen</v>
      </c>
    </row>
    <row r="5989" spans="1:25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7082</v>
      </c>
      <c r="J5989" t="s">
        <v>7084</v>
      </c>
      <c r="K5989" t="s">
        <v>46</v>
      </c>
      <c r="L5989" t="s">
        <v>7084</v>
      </c>
      <c r="M5989" t="s">
        <v>7084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372"/>
        <v>0-12 Months</v>
      </c>
      <c r="W5989">
        <f t="shared" si="373"/>
        <v>0</v>
      </c>
      <c r="X5989">
        <f t="shared" si="374"/>
        <v>0</v>
      </c>
      <c r="Y5989" t="str">
        <f t="shared" si="375"/>
        <v>Non-Senior</v>
      </c>
    </row>
    <row r="5990" spans="1:25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7082</v>
      </c>
      <c r="J5990" t="s">
        <v>7084</v>
      </c>
      <c r="K5990" t="s">
        <v>46</v>
      </c>
      <c r="L5990" t="s">
        <v>7084</v>
      </c>
      <c r="M5990" t="s">
        <v>7084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372"/>
        <v>0-12 Months</v>
      </c>
      <c r="W5990">
        <f t="shared" si="373"/>
        <v>0</v>
      </c>
      <c r="X5990">
        <f t="shared" si="374"/>
        <v>0</v>
      </c>
      <c r="Y5990" t="str">
        <f t="shared" si="375"/>
        <v>Non-Senior</v>
      </c>
    </row>
    <row r="5991" spans="1:25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372"/>
        <v>0-12 Months</v>
      </c>
      <c r="W5991">
        <f t="shared" si="373"/>
        <v>1</v>
      </c>
      <c r="X5991">
        <f t="shared" si="374"/>
        <v>94.6</v>
      </c>
      <c r="Y5991" t="str">
        <f t="shared" si="375"/>
        <v>Senior Citizen</v>
      </c>
    </row>
    <row r="5992" spans="1:25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372"/>
        <v>25-36 Months</v>
      </c>
      <c r="W5992">
        <f t="shared" si="373"/>
        <v>0</v>
      </c>
      <c r="X5992">
        <f t="shared" si="374"/>
        <v>0</v>
      </c>
      <c r="Y5992" t="str">
        <f t="shared" si="375"/>
        <v>Non-Senior</v>
      </c>
    </row>
    <row r="5993" spans="1:25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372"/>
        <v>13-24 Months</v>
      </c>
      <c r="W5993">
        <f t="shared" si="373"/>
        <v>1</v>
      </c>
      <c r="X5993">
        <f t="shared" si="374"/>
        <v>94.25</v>
      </c>
      <c r="Y5993" t="str">
        <f t="shared" si="375"/>
        <v>Non-Senior</v>
      </c>
    </row>
    <row r="5994" spans="1:25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372"/>
        <v>61-72 Months</v>
      </c>
      <c r="W5994">
        <f t="shared" si="373"/>
        <v>1</v>
      </c>
      <c r="X5994">
        <f t="shared" si="374"/>
        <v>72.45</v>
      </c>
      <c r="Y5994" t="str">
        <f t="shared" si="375"/>
        <v>Non-Senior</v>
      </c>
    </row>
    <row r="5995" spans="1:25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372"/>
        <v>0-12 Months</v>
      </c>
      <c r="W5995">
        <f t="shared" si="373"/>
        <v>0</v>
      </c>
      <c r="X5995">
        <f t="shared" si="374"/>
        <v>0</v>
      </c>
      <c r="Y5995" t="str">
        <f t="shared" si="375"/>
        <v>Non-Senior</v>
      </c>
    </row>
    <row r="5996" spans="1:25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372"/>
        <v>37-48 Months</v>
      </c>
      <c r="W5996">
        <f t="shared" si="373"/>
        <v>1</v>
      </c>
      <c r="X5996">
        <f t="shared" si="374"/>
        <v>105.2</v>
      </c>
      <c r="Y5996" t="str">
        <f t="shared" si="375"/>
        <v>Non-Senior</v>
      </c>
    </row>
    <row r="5997" spans="1:25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372"/>
        <v>61-72 Months</v>
      </c>
      <c r="W5997">
        <f t="shared" si="373"/>
        <v>0</v>
      </c>
      <c r="X5997">
        <f t="shared" si="374"/>
        <v>0</v>
      </c>
      <c r="Y5997" t="str">
        <f t="shared" si="375"/>
        <v>Non-Senior</v>
      </c>
    </row>
    <row r="5998" spans="1:25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7082</v>
      </c>
      <c r="J5998" t="s">
        <v>7084</v>
      </c>
      <c r="K5998" t="s">
        <v>46</v>
      </c>
      <c r="L5998" t="s">
        <v>7084</v>
      </c>
      <c r="M5998" t="s">
        <v>7084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372"/>
        <v>61-72 Months</v>
      </c>
      <c r="W5998">
        <f t="shared" si="373"/>
        <v>0</v>
      </c>
      <c r="X5998">
        <f t="shared" si="374"/>
        <v>0</v>
      </c>
      <c r="Y5998" t="str">
        <f t="shared" si="375"/>
        <v>Non-Senior</v>
      </c>
    </row>
    <row r="5999" spans="1:25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372"/>
        <v>0-12 Months</v>
      </c>
      <c r="W5999">
        <f t="shared" si="373"/>
        <v>0</v>
      </c>
      <c r="X5999">
        <f t="shared" si="374"/>
        <v>0</v>
      </c>
      <c r="Y5999" t="str">
        <f t="shared" si="375"/>
        <v>Non-Senior</v>
      </c>
    </row>
    <row r="6000" spans="1:25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7082</v>
      </c>
      <c r="J6000" t="s">
        <v>7084</v>
      </c>
      <c r="K6000" t="s">
        <v>46</v>
      </c>
      <c r="L6000" t="s">
        <v>7084</v>
      </c>
      <c r="M6000" t="s">
        <v>7084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372"/>
        <v>37-48 Months</v>
      </c>
      <c r="W6000">
        <f t="shared" si="373"/>
        <v>0</v>
      </c>
      <c r="X6000">
        <f t="shared" si="374"/>
        <v>0</v>
      </c>
      <c r="Y6000" t="str">
        <f t="shared" si="375"/>
        <v>Non-Senior</v>
      </c>
    </row>
    <row r="6001" spans="1:25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372"/>
        <v>25-36 Months</v>
      </c>
      <c r="W6001">
        <f t="shared" si="373"/>
        <v>0</v>
      </c>
      <c r="X6001">
        <f t="shared" si="374"/>
        <v>0</v>
      </c>
      <c r="Y6001" t="str">
        <f t="shared" si="375"/>
        <v>Non-Senior</v>
      </c>
    </row>
    <row r="6002" spans="1:25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7082</v>
      </c>
      <c r="J6002" t="s">
        <v>7084</v>
      </c>
      <c r="K6002" t="s">
        <v>46</v>
      </c>
      <c r="L6002" t="s">
        <v>7084</v>
      </c>
      <c r="M6002" t="s">
        <v>7084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372"/>
        <v>49-60 Months</v>
      </c>
      <c r="W6002">
        <f t="shared" si="373"/>
        <v>0</v>
      </c>
      <c r="X6002">
        <f t="shared" si="374"/>
        <v>0</v>
      </c>
      <c r="Y6002" t="str">
        <f t="shared" si="375"/>
        <v>Non-Senior</v>
      </c>
    </row>
    <row r="6003" spans="1:25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372"/>
        <v>0-12 Months</v>
      </c>
      <c r="W6003">
        <f t="shared" si="373"/>
        <v>0</v>
      </c>
      <c r="X6003">
        <f t="shared" si="374"/>
        <v>0</v>
      </c>
      <c r="Y6003" t="str">
        <f t="shared" si="375"/>
        <v>Non-Senior</v>
      </c>
    </row>
    <row r="6004" spans="1:25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372"/>
        <v>0-12 Months</v>
      </c>
      <c r="W6004">
        <f t="shared" si="373"/>
        <v>1</v>
      </c>
      <c r="X6004">
        <f t="shared" si="374"/>
        <v>82.85</v>
      </c>
      <c r="Y6004" t="str">
        <f t="shared" si="375"/>
        <v>Non-Senior</v>
      </c>
    </row>
    <row r="6005" spans="1:25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372"/>
        <v>61-72 Months</v>
      </c>
      <c r="W6005">
        <f t="shared" si="373"/>
        <v>0</v>
      </c>
      <c r="X6005">
        <f t="shared" si="374"/>
        <v>0</v>
      </c>
      <c r="Y6005" t="str">
        <f t="shared" si="375"/>
        <v>Non-Senior</v>
      </c>
    </row>
    <row r="6006" spans="1:25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372"/>
        <v>61-72 Months</v>
      </c>
      <c r="W6006">
        <f t="shared" si="373"/>
        <v>0</v>
      </c>
      <c r="X6006">
        <f t="shared" si="374"/>
        <v>0</v>
      </c>
      <c r="Y6006" t="str">
        <f t="shared" si="375"/>
        <v>Non-Senior</v>
      </c>
    </row>
    <row r="6007" spans="1:25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372"/>
        <v>49-60 Months</v>
      </c>
      <c r="W6007">
        <f t="shared" si="373"/>
        <v>0</v>
      </c>
      <c r="X6007">
        <f t="shared" si="374"/>
        <v>0</v>
      </c>
      <c r="Y6007" t="str">
        <f t="shared" si="375"/>
        <v>Senior Citizen</v>
      </c>
    </row>
    <row r="6008" spans="1:25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372"/>
        <v>13-24 Months</v>
      </c>
      <c r="W6008">
        <f t="shared" si="373"/>
        <v>0</v>
      </c>
      <c r="X6008">
        <f t="shared" si="374"/>
        <v>0</v>
      </c>
      <c r="Y6008" t="str">
        <f t="shared" si="375"/>
        <v>Non-Senior</v>
      </c>
    </row>
    <row r="6009" spans="1:25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372"/>
        <v>37-48 Months</v>
      </c>
      <c r="W6009">
        <f t="shared" si="373"/>
        <v>0</v>
      </c>
      <c r="X6009">
        <f t="shared" si="374"/>
        <v>0</v>
      </c>
      <c r="Y6009" t="str">
        <f t="shared" si="375"/>
        <v>Non-Senior</v>
      </c>
    </row>
    <row r="6010" spans="1:25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7082</v>
      </c>
      <c r="J6010" t="s">
        <v>7084</v>
      </c>
      <c r="K6010" t="s">
        <v>46</v>
      </c>
      <c r="L6010" t="s">
        <v>7084</v>
      </c>
      <c r="M6010" t="s">
        <v>7084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372"/>
        <v>13-24 Months</v>
      </c>
      <c r="W6010">
        <f t="shared" si="373"/>
        <v>0</v>
      </c>
      <c r="X6010">
        <f t="shared" si="374"/>
        <v>0</v>
      </c>
      <c r="Y6010" t="str">
        <f t="shared" si="375"/>
        <v>Non-Senior</v>
      </c>
    </row>
    <row r="6011" spans="1:25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372"/>
        <v>49-60 Months</v>
      </c>
      <c r="W6011">
        <f t="shared" si="373"/>
        <v>1</v>
      </c>
      <c r="X6011">
        <f t="shared" si="374"/>
        <v>103.85</v>
      </c>
      <c r="Y6011" t="str">
        <f t="shared" si="375"/>
        <v>Senior Citizen</v>
      </c>
    </row>
    <row r="6012" spans="1:25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7082</v>
      </c>
      <c r="J6012" t="s">
        <v>7084</v>
      </c>
      <c r="K6012" t="s">
        <v>46</v>
      </c>
      <c r="L6012" t="s">
        <v>7084</v>
      </c>
      <c r="M6012" t="s">
        <v>7084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372"/>
        <v>13-24 Months</v>
      </c>
      <c r="W6012">
        <f t="shared" si="373"/>
        <v>0</v>
      </c>
      <c r="X6012">
        <f t="shared" si="374"/>
        <v>0</v>
      </c>
      <c r="Y6012" t="str">
        <f t="shared" si="375"/>
        <v>Non-Senior</v>
      </c>
    </row>
    <row r="6013" spans="1:25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7082</v>
      </c>
      <c r="J6013" t="s">
        <v>7084</v>
      </c>
      <c r="K6013" t="s">
        <v>46</v>
      </c>
      <c r="L6013" t="s">
        <v>7084</v>
      </c>
      <c r="M6013" t="s">
        <v>7084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372"/>
        <v>37-48 Months</v>
      </c>
      <c r="W6013">
        <f t="shared" si="373"/>
        <v>0</v>
      </c>
      <c r="X6013">
        <f t="shared" si="374"/>
        <v>0</v>
      </c>
      <c r="Y6013" t="str">
        <f t="shared" si="375"/>
        <v>Non-Senior</v>
      </c>
    </row>
    <row r="6014" spans="1:25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372"/>
        <v>0-12 Months</v>
      </c>
      <c r="W6014">
        <f t="shared" si="373"/>
        <v>1</v>
      </c>
      <c r="X6014">
        <f t="shared" si="374"/>
        <v>83.6</v>
      </c>
      <c r="Y6014" t="str">
        <f t="shared" si="375"/>
        <v>Non-Senior</v>
      </c>
    </row>
    <row r="6015" spans="1:25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372"/>
        <v>49-60 Months</v>
      </c>
      <c r="W6015">
        <f t="shared" si="373"/>
        <v>0</v>
      </c>
      <c r="X6015">
        <f t="shared" si="374"/>
        <v>0</v>
      </c>
      <c r="Y6015" t="str">
        <f t="shared" si="375"/>
        <v>Senior Citizen</v>
      </c>
    </row>
    <row r="6016" spans="1:25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372"/>
        <v>49-60 Months</v>
      </c>
      <c r="W6016">
        <f t="shared" si="373"/>
        <v>0</v>
      </c>
      <c r="X6016">
        <f t="shared" si="374"/>
        <v>0</v>
      </c>
      <c r="Y6016" t="str">
        <f t="shared" si="375"/>
        <v>Non-Senior</v>
      </c>
    </row>
    <row r="6017" spans="1:25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372"/>
        <v>0-12 Months</v>
      </c>
      <c r="W6017">
        <f t="shared" si="373"/>
        <v>0</v>
      </c>
      <c r="X6017">
        <f t="shared" si="374"/>
        <v>0</v>
      </c>
      <c r="Y6017" t="str">
        <f t="shared" si="375"/>
        <v>Non-Senior</v>
      </c>
    </row>
    <row r="6018" spans="1:25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si="372"/>
        <v>61-72 Months</v>
      </c>
      <c r="W6018">
        <f t="shared" si="373"/>
        <v>1</v>
      </c>
      <c r="X6018">
        <f t="shared" si="374"/>
        <v>108.45</v>
      </c>
      <c r="Y6018" t="str">
        <f t="shared" si="375"/>
        <v>Non-Senior</v>
      </c>
    </row>
    <row r="6019" spans="1:25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ref="V6019:V6082" si="376">IF(F6019&lt;=12,"0-12 Months",IF(F6019&lt;=24,"13-24 Months",IF(F6019&lt;=36,"25-36 Months",IF(F6019&lt;=48,"37-48 Months",IF(F6019&lt;=60,"49-60 Months","61-72 Months")))))</f>
        <v>0-12 Months</v>
      </c>
      <c r="W6019">
        <f t="shared" ref="W6019:W6082" si="377">IF(U6019="Yes",1,0)</f>
        <v>0</v>
      </c>
      <c r="X6019">
        <f t="shared" ref="X6019:X6082" si="378">IF(U6019="Yes",S6019,0)</f>
        <v>0</v>
      </c>
      <c r="Y6019" t="str">
        <f t="shared" ref="Y6019:Y6082" si="379">IF(C6019=1,"Senior Citizen","Non-Senior")</f>
        <v>Non-Senior</v>
      </c>
    </row>
    <row r="6020" spans="1:25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7082</v>
      </c>
      <c r="J6020" t="s">
        <v>7084</v>
      </c>
      <c r="K6020" t="s">
        <v>46</v>
      </c>
      <c r="L6020" t="s">
        <v>7084</v>
      </c>
      <c r="M6020" t="s">
        <v>7084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376"/>
        <v>25-36 Months</v>
      </c>
      <c r="W6020">
        <f t="shared" si="377"/>
        <v>0</v>
      </c>
      <c r="X6020">
        <f t="shared" si="378"/>
        <v>0</v>
      </c>
      <c r="Y6020" t="str">
        <f t="shared" si="379"/>
        <v>Non-Senior</v>
      </c>
    </row>
    <row r="6021" spans="1:25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376"/>
        <v>37-48 Months</v>
      </c>
      <c r="W6021">
        <f t="shared" si="377"/>
        <v>0</v>
      </c>
      <c r="X6021">
        <f t="shared" si="378"/>
        <v>0</v>
      </c>
      <c r="Y6021" t="str">
        <f t="shared" si="379"/>
        <v>Non-Senior</v>
      </c>
    </row>
    <row r="6022" spans="1:25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376"/>
        <v>25-36 Months</v>
      </c>
      <c r="W6022">
        <f t="shared" si="377"/>
        <v>0</v>
      </c>
      <c r="X6022">
        <f t="shared" si="378"/>
        <v>0</v>
      </c>
      <c r="Y6022" t="str">
        <f t="shared" si="379"/>
        <v>Non-Senior</v>
      </c>
    </row>
    <row r="6023" spans="1:25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7082</v>
      </c>
      <c r="J6023" t="s">
        <v>7084</v>
      </c>
      <c r="K6023" t="s">
        <v>46</v>
      </c>
      <c r="L6023" t="s">
        <v>7084</v>
      </c>
      <c r="M6023" t="s">
        <v>7084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376"/>
        <v>13-24 Months</v>
      </c>
      <c r="W6023">
        <f t="shared" si="377"/>
        <v>0</v>
      </c>
      <c r="X6023">
        <f t="shared" si="378"/>
        <v>0</v>
      </c>
      <c r="Y6023" t="str">
        <f t="shared" si="379"/>
        <v>Non-Senior</v>
      </c>
    </row>
    <row r="6024" spans="1:25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7082</v>
      </c>
      <c r="J6024" t="s">
        <v>7084</v>
      </c>
      <c r="K6024" t="s">
        <v>46</v>
      </c>
      <c r="L6024" t="s">
        <v>7084</v>
      </c>
      <c r="M6024" t="s">
        <v>7084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376"/>
        <v>13-24 Months</v>
      </c>
      <c r="W6024">
        <f t="shared" si="377"/>
        <v>0</v>
      </c>
      <c r="X6024">
        <f t="shared" si="378"/>
        <v>0</v>
      </c>
      <c r="Y6024" t="str">
        <f t="shared" si="379"/>
        <v>Non-Senior</v>
      </c>
    </row>
    <row r="6025" spans="1:25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7082</v>
      </c>
      <c r="J6025" t="s">
        <v>7084</v>
      </c>
      <c r="K6025" t="s">
        <v>46</v>
      </c>
      <c r="L6025" t="s">
        <v>7084</v>
      </c>
      <c r="M6025" t="s">
        <v>7084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376"/>
        <v>49-60 Months</v>
      </c>
      <c r="W6025">
        <f t="shared" si="377"/>
        <v>0</v>
      </c>
      <c r="X6025">
        <f t="shared" si="378"/>
        <v>0</v>
      </c>
      <c r="Y6025" t="str">
        <f t="shared" si="379"/>
        <v>Senior Citizen</v>
      </c>
    </row>
    <row r="6026" spans="1:25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376"/>
        <v>0-12 Months</v>
      </c>
      <c r="W6026">
        <f t="shared" si="377"/>
        <v>1</v>
      </c>
      <c r="X6026">
        <f t="shared" si="378"/>
        <v>91.5</v>
      </c>
      <c r="Y6026" t="str">
        <f t="shared" si="379"/>
        <v>Non-Senior</v>
      </c>
    </row>
    <row r="6027" spans="1:25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376"/>
        <v>37-48 Months</v>
      </c>
      <c r="W6027">
        <f t="shared" si="377"/>
        <v>0</v>
      </c>
      <c r="X6027">
        <f t="shared" si="378"/>
        <v>0</v>
      </c>
      <c r="Y6027" t="str">
        <f t="shared" si="379"/>
        <v>Non-Senior</v>
      </c>
    </row>
    <row r="6028" spans="1:25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7082</v>
      </c>
      <c r="J6028" t="s">
        <v>7084</v>
      </c>
      <c r="K6028" t="s">
        <v>46</v>
      </c>
      <c r="L6028" t="s">
        <v>7084</v>
      </c>
      <c r="M6028" t="s">
        <v>7084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376"/>
        <v>13-24 Months</v>
      </c>
      <c r="W6028">
        <f t="shared" si="377"/>
        <v>0</v>
      </c>
      <c r="X6028">
        <f t="shared" si="378"/>
        <v>0</v>
      </c>
      <c r="Y6028" t="str">
        <f t="shared" si="379"/>
        <v>Non-Senior</v>
      </c>
    </row>
    <row r="6029" spans="1:25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7082</v>
      </c>
      <c r="J6029" t="s">
        <v>7084</v>
      </c>
      <c r="K6029" t="s">
        <v>46</v>
      </c>
      <c r="L6029" t="s">
        <v>7084</v>
      </c>
      <c r="M6029" t="s">
        <v>7084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376"/>
        <v>25-36 Months</v>
      </c>
      <c r="W6029">
        <f t="shared" si="377"/>
        <v>0</v>
      </c>
      <c r="X6029">
        <f t="shared" si="378"/>
        <v>0</v>
      </c>
      <c r="Y6029" t="str">
        <f t="shared" si="379"/>
        <v>Non-Senior</v>
      </c>
    </row>
    <row r="6030" spans="1:25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376"/>
        <v>0-12 Months</v>
      </c>
      <c r="W6030">
        <f t="shared" si="377"/>
        <v>1</v>
      </c>
      <c r="X6030">
        <f t="shared" si="378"/>
        <v>80.849999999999994</v>
      </c>
      <c r="Y6030" t="str">
        <f t="shared" si="379"/>
        <v>Non-Senior</v>
      </c>
    </row>
    <row r="6031" spans="1:25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376"/>
        <v>0-12 Months</v>
      </c>
      <c r="W6031">
        <f t="shared" si="377"/>
        <v>0</v>
      </c>
      <c r="X6031">
        <f t="shared" si="378"/>
        <v>0</v>
      </c>
      <c r="Y6031" t="str">
        <f t="shared" si="379"/>
        <v>Non-Senior</v>
      </c>
    </row>
    <row r="6032" spans="1:25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376"/>
        <v>37-48 Months</v>
      </c>
      <c r="W6032">
        <f t="shared" si="377"/>
        <v>1</v>
      </c>
      <c r="X6032">
        <f t="shared" si="378"/>
        <v>49.05</v>
      </c>
      <c r="Y6032" t="str">
        <f t="shared" si="379"/>
        <v>Non-Senior</v>
      </c>
    </row>
    <row r="6033" spans="1:25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376"/>
        <v>0-12 Months</v>
      </c>
      <c r="W6033">
        <f t="shared" si="377"/>
        <v>0</v>
      </c>
      <c r="X6033">
        <f t="shared" si="378"/>
        <v>0</v>
      </c>
      <c r="Y6033" t="str">
        <f t="shared" si="379"/>
        <v>Senior Citizen</v>
      </c>
    </row>
    <row r="6034" spans="1:25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376"/>
        <v>61-72 Months</v>
      </c>
      <c r="W6034">
        <f t="shared" si="377"/>
        <v>1</v>
      </c>
      <c r="X6034">
        <f t="shared" si="378"/>
        <v>105.3</v>
      </c>
      <c r="Y6034" t="str">
        <f t="shared" si="379"/>
        <v>Senior Citizen</v>
      </c>
    </row>
    <row r="6035" spans="1:25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376"/>
        <v>25-36 Months</v>
      </c>
      <c r="W6035">
        <f t="shared" si="377"/>
        <v>1</v>
      </c>
      <c r="X6035">
        <f t="shared" si="378"/>
        <v>88.95</v>
      </c>
      <c r="Y6035" t="str">
        <f t="shared" si="379"/>
        <v>Senior Citizen</v>
      </c>
    </row>
    <row r="6036" spans="1:25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7082</v>
      </c>
      <c r="J6036" t="s">
        <v>7084</v>
      </c>
      <c r="K6036" t="s">
        <v>46</v>
      </c>
      <c r="L6036" t="s">
        <v>7084</v>
      </c>
      <c r="M6036" t="s">
        <v>7084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376"/>
        <v>0-12 Months</v>
      </c>
      <c r="W6036">
        <f t="shared" si="377"/>
        <v>0</v>
      </c>
      <c r="X6036">
        <f t="shared" si="378"/>
        <v>0</v>
      </c>
      <c r="Y6036" t="str">
        <f t="shared" si="379"/>
        <v>Non-Senior</v>
      </c>
    </row>
    <row r="6037" spans="1:25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376"/>
        <v>61-72 Months</v>
      </c>
      <c r="W6037">
        <f t="shared" si="377"/>
        <v>1</v>
      </c>
      <c r="X6037">
        <f t="shared" si="378"/>
        <v>110.85</v>
      </c>
      <c r="Y6037" t="str">
        <f t="shared" si="379"/>
        <v>Senior Citizen</v>
      </c>
    </row>
    <row r="6038" spans="1:25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376"/>
        <v>49-60 Months</v>
      </c>
      <c r="W6038">
        <f t="shared" si="377"/>
        <v>0</v>
      </c>
      <c r="X6038">
        <f t="shared" si="378"/>
        <v>0</v>
      </c>
      <c r="Y6038" t="str">
        <f t="shared" si="379"/>
        <v>Non-Senior</v>
      </c>
    </row>
    <row r="6039" spans="1:25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376"/>
        <v>61-72 Months</v>
      </c>
      <c r="W6039">
        <f t="shared" si="377"/>
        <v>0</v>
      </c>
      <c r="X6039">
        <f t="shared" si="378"/>
        <v>0</v>
      </c>
      <c r="Y6039" t="str">
        <f t="shared" si="379"/>
        <v>Senior Citizen</v>
      </c>
    </row>
    <row r="6040" spans="1:25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376"/>
        <v>61-72 Months</v>
      </c>
      <c r="W6040">
        <f t="shared" si="377"/>
        <v>1</v>
      </c>
      <c r="X6040">
        <f t="shared" si="378"/>
        <v>114.2</v>
      </c>
      <c r="Y6040" t="str">
        <f t="shared" si="379"/>
        <v>Non-Senior</v>
      </c>
    </row>
    <row r="6041" spans="1:25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376"/>
        <v>25-36 Months</v>
      </c>
      <c r="W6041">
        <f t="shared" si="377"/>
        <v>1</v>
      </c>
      <c r="X6041">
        <f t="shared" si="378"/>
        <v>36.5</v>
      </c>
      <c r="Y6041" t="str">
        <f t="shared" si="379"/>
        <v>Senior Citizen</v>
      </c>
    </row>
    <row r="6042" spans="1:25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376"/>
        <v>0-12 Months</v>
      </c>
      <c r="W6042">
        <f t="shared" si="377"/>
        <v>1</v>
      </c>
      <c r="X6042">
        <f t="shared" si="378"/>
        <v>70.75</v>
      </c>
      <c r="Y6042" t="str">
        <f t="shared" si="379"/>
        <v>Non-Senior</v>
      </c>
    </row>
    <row r="6043" spans="1:25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7082</v>
      </c>
      <c r="J6043" t="s">
        <v>7084</v>
      </c>
      <c r="K6043" t="s">
        <v>46</v>
      </c>
      <c r="L6043" t="s">
        <v>7084</v>
      </c>
      <c r="M6043" t="s">
        <v>7084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376"/>
        <v>0-12 Months</v>
      </c>
      <c r="W6043">
        <f t="shared" si="377"/>
        <v>0</v>
      </c>
      <c r="X6043">
        <f t="shared" si="378"/>
        <v>0</v>
      </c>
      <c r="Y6043" t="str">
        <f t="shared" si="379"/>
        <v>Non-Senior</v>
      </c>
    </row>
    <row r="6044" spans="1:25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7082</v>
      </c>
      <c r="J6044" t="s">
        <v>7084</v>
      </c>
      <c r="K6044" t="s">
        <v>46</v>
      </c>
      <c r="L6044" t="s">
        <v>7084</v>
      </c>
      <c r="M6044" t="s">
        <v>7084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376"/>
        <v>37-48 Months</v>
      </c>
      <c r="W6044">
        <f t="shared" si="377"/>
        <v>0</v>
      </c>
      <c r="X6044">
        <f t="shared" si="378"/>
        <v>0</v>
      </c>
      <c r="Y6044" t="str">
        <f t="shared" si="379"/>
        <v>Senior Citizen</v>
      </c>
    </row>
    <row r="6045" spans="1:25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376"/>
        <v>0-12 Months</v>
      </c>
      <c r="W6045">
        <f t="shared" si="377"/>
        <v>1</v>
      </c>
      <c r="X6045">
        <f t="shared" si="378"/>
        <v>40.15</v>
      </c>
      <c r="Y6045" t="str">
        <f t="shared" si="379"/>
        <v>Non-Senior</v>
      </c>
    </row>
    <row r="6046" spans="1:25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376"/>
        <v>0-12 Months</v>
      </c>
      <c r="W6046">
        <f t="shared" si="377"/>
        <v>0</v>
      </c>
      <c r="X6046">
        <f t="shared" si="378"/>
        <v>0</v>
      </c>
      <c r="Y6046" t="str">
        <f t="shared" si="379"/>
        <v>Non-Senior</v>
      </c>
    </row>
    <row r="6047" spans="1:25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7082</v>
      </c>
      <c r="J6047" t="s">
        <v>7084</v>
      </c>
      <c r="K6047" t="s">
        <v>46</v>
      </c>
      <c r="L6047" t="s">
        <v>7084</v>
      </c>
      <c r="M6047" t="s">
        <v>7084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376"/>
        <v>37-48 Months</v>
      </c>
      <c r="W6047">
        <f t="shared" si="377"/>
        <v>0</v>
      </c>
      <c r="X6047">
        <f t="shared" si="378"/>
        <v>0</v>
      </c>
      <c r="Y6047" t="str">
        <f t="shared" si="379"/>
        <v>Non-Senior</v>
      </c>
    </row>
    <row r="6048" spans="1:25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376"/>
        <v>0-12 Months</v>
      </c>
      <c r="W6048">
        <f t="shared" si="377"/>
        <v>0</v>
      </c>
      <c r="X6048">
        <f t="shared" si="378"/>
        <v>0</v>
      </c>
      <c r="Y6048" t="str">
        <f t="shared" si="379"/>
        <v>Non-Senior</v>
      </c>
    </row>
    <row r="6049" spans="1:25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376"/>
        <v>13-24 Months</v>
      </c>
      <c r="W6049">
        <f t="shared" si="377"/>
        <v>0</v>
      </c>
      <c r="X6049">
        <f t="shared" si="378"/>
        <v>0</v>
      </c>
      <c r="Y6049" t="str">
        <f t="shared" si="379"/>
        <v>Non-Senior</v>
      </c>
    </row>
    <row r="6050" spans="1:25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376"/>
        <v>25-36 Months</v>
      </c>
      <c r="W6050">
        <f t="shared" si="377"/>
        <v>1</v>
      </c>
      <c r="X6050">
        <f t="shared" si="378"/>
        <v>94.45</v>
      </c>
      <c r="Y6050" t="str">
        <f t="shared" si="379"/>
        <v>Senior Citizen</v>
      </c>
    </row>
    <row r="6051" spans="1:25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7082</v>
      </c>
      <c r="J6051" t="s">
        <v>7084</v>
      </c>
      <c r="K6051" t="s">
        <v>46</v>
      </c>
      <c r="L6051" t="s">
        <v>7084</v>
      </c>
      <c r="M6051" t="s">
        <v>7084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376"/>
        <v>37-48 Months</v>
      </c>
      <c r="W6051">
        <f t="shared" si="377"/>
        <v>0</v>
      </c>
      <c r="X6051">
        <f t="shared" si="378"/>
        <v>0</v>
      </c>
      <c r="Y6051" t="str">
        <f t="shared" si="379"/>
        <v>Non-Senior</v>
      </c>
    </row>
    <row r="6052" spans="1:25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376"/>
        <v>61-72 Months</v>
      </c>
      <c r="W6052">
        <f t="shared" si="377"/>
        <v>0</v>
      </c>
      <c r="X6052">
        <f t="shared" si="378"/>
        <v>0</v>
      </c>
      <c r="Y6052" t="str">
        <f t="shared" si="379"/>
        <v>Non-Senior</v>
      </c>
    </row>
    <row r="6053" spans="1:25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7082</v>
      </c>
      <c r="J6053" t="s">
        <v>7084</v>
      </c>
      <c r="K6053" t="s">
        <v>46</v>
      </c>
      <c r="L6053" t="s">
        <v>7084</v>
      </c>
      <c r="M6053" t="s">
        <v>7084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376"/>
        <v>13-24 Months</v>
      </c>
      <c r="W6053">
        <f t="shared" si="377"/>
        <v>0</v>
      </c>
      <c r="X6053">
        <f t="shared" si="378"/>
        <v>0</v>
      </c>
      <c r="Y6053" t="str">
        <f t="shared" si="379"/>
        <v>Non-Senior</v>
      </c>
    </row>
    <row r="6054" spans="1:25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376"/>
        <v>37-48 Months</v>
      </c>
      <c r="W6054">
        <f t="shared" si="377"/>
        <v>0</v>
      </c>
      <c r="X6054">
        <f t="shared" si="378"/>
        <v>0</v>
      </c>
      <c r="Y6054" t="str">
        <f t="shared" si="379"/>
        <v>Non-Senior</v>
      </c>
    </row>
    <row r="6055" spans="1:25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7082</v>
      </c>
      <c r="J6055" t="s">
        <v>7084</v>
      </c>
      <c r="K6055" t="s">
        <v>46</v>
      </c>
      <c r="L6055" t="s">
        <v>7084</v>
      </c>
      <c r="M6055" t="s">
        <v>7084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376"/>
        <v>37-48 Months</v>
      </c>
      <c r="W6055">
        <f t="shared" si="377"/>
        <v>0</v>
      </c>
      <c r="X6055">
        <f t="shared" si="378"/>
        <v>0</v>
      </c>
      <c r="Y6055" t="str">
        <f t="shared" si="379"/>
        <v>Non-Senior</v>
      </c>
    </row>
    <row r="6056" spans="1:25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376"/>
        <v>25-36 Months</v>
      </c>
      <c r="W6056">
        <f t="shared" si="377"/>
        <v>1</v>
      </c>
      <c r="X6056">
        <f t="shared" si="378"/>
        <v>97.35</v>
      </c>
      <c r="Y6056" t="str">
        <f t="shared" si="379"/>
        <v>Non-Senior</v>
      </c>
    </row>
    <row r="6057" spans="1:25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376"/>
        <v>0-12 Months</v>
      </c>
      <c r="W6057">
        <f t="shared" si="377"/>
        <v>0</v>
      </c>
      <c r="X6057">
        <f t="shared" si="378"/>
        <v>0</v>
      </c>
      <c r="Y6057" t="str">
        <f t="shared" si="379"/>
        <v>Non-Senior</v>
      </c>
    </row>
    <row r="6058" spans="1:25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376"/>
        <v>49-60 Months</v>
      </c>
      <c r="W6058">
        <f t="shared" si="377"/>
        <v>0</v>
      </c>
      <c r="X6058">
        <f t="shared" si="378"/>
        <v>0</v>
      </c>
      <c r="Y6058" t="str">
        <f t="shared" si="379"/>
        <v>Non-Senior</v>
      </c>
    </row>
    <row r="6059" spans="1:25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376"/>
        <v>13-24 Months</v>
      </c>
      <c r="W6059">
        <f t="shared" si="377"/>
        <v>0</v>
      </c>
      <c r="X6059">
        <f t="shared" si="378"/>
        <v>0</v>
      </c>
      <c r="Y6059" t="str">
        <f t="shared" si="379"/>
        <v>Non-Senior</v>
      </c>
    </row>
    <row r="6060" spans="1:25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376"/>
        <v>0-12 Months</v>
      </c>
      <c r="W6060">
        <f t="shared" si="377"/>
        <v>0</v>
      </c>
      <c r="X6060">
        <f t="shared" si="378"/>
        <v>0</v>
      </c>
      <c r="Y6060" t="str">
        <f t="shared" si="379"/>
        <v>Non-Senior</v>
      </c>
    </row>
    <row r="6061" spans="1:25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376"/>
        <v>37-48 Months</v>
      </c>
      <c r="W6061">
        <f t="shared" si="377"/>
        <v>0</v>
      </c>
      <c r="X6061">
        <f t="shared" si="378"/>
        <v>0</v>
      </c>
      <c r="Y6061" t="str">
        <f t="shared" si="379"/>
        <v>Non-Senior</v>
      </c>
    </row>
    <row r="6062" spans="1:25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376"/>
        <v>0-12 Months</v>
      </c>
      <c r="W6062">
        <f t="shared" si="377"/>
        <v>0</v>
      </c>
      <c r="X6062">
        <f t="shared" si="378"/>
        <v>0</v>
      </c>
      <c r="Y6062" t="str">
        <f t="shared" si="379"/>
        <v>Senior Citizen</v>
      </c>
    </row>
    <row r="6063" spans="1:25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376"/>
        <v>25-36 Months</v>
      </c>
      <c r="W6063">
        <f t="shared" si="377"/>
        <v>0</v>
      </c>
      <c r="X6063">
        <f t="shared" si="378"/>
        <v>0</v>
      </c>
      <c r="Y6063" t="str">
        <f t="shared" si="379"/>
        <v>Non-Senior</v>
      </c>
    </row>
    <row r="6064" spans="1:25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376"/>
        <v>49-60 Months</v>
      </c>
      <c r="W6064">
        <f t="shared" si="377"/>
        <v>0</v>
      </c>
      <c r="X6064">
        <f t="shared" si="378"/>
        <v>0</v>
      </c>
      <c r="Y6064" t="str">
        <f t="shared" si="379"/>
        <v>Senior Citizen</v>
      </c>
    </row>
    <row r="6065" spans="1:25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7082</v>
      </c>
      <c r="J6065" t="s">
        <v>7084</v>
      </c>
      <c r="K6065" t="s">
        <v>46</v>
      </c>
      <c r="L6065" t="s">
        <v>7084</v>
      </c>
      <c r="M6065" t="s">
        <v>7084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376"/>
        <v>61-72 Months</v>
      </c>
      <c r="W6065">
        <f t="shared" si="377"/>
        <v>0</v>
      </c>
      <c r="X6065">
        <f t="shared" si="378"/>
        <v>0</v>
      </c>
      <c r="Y6065" t="str">
        <f t="shared" si="379"/>
        <v>Non-Senior</v>
      </c>
    </row>
    <row r="6066" spans="1:25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376"/>
        <v>0-12 Months</v>
      </c>
      <c r="W6066">
        <f t="shared" si="377"/>
        <v>1</v>
      </c>
      <c r="X6066">
        <f t="shared" si="378"/>
        <v>45.3</v>
      </c>
      <c r="Y6066" t="str">
        <f t="shared" si="379"/>
        <v>Non-Senior</v>
      </c>
    </row>
    <row r="6067" spans="1:25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7082</v>
      </c>
      <c r="J6067" t="s">
        <v>7084</v>
      </c>
      <c r="K6067" t="s">
        <v>46</v>
      </c>
      <c r="L6067" t="s">
        <v>7084</v>
      </c>
      <c r="M6067" t="s">
        <v>7084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376"/>
        <v>49-60 Months</v>
      </c>
      <c r="W6067">
        <f t="shared" si="377"/>
        <v>0</v>
      </c>
      <c r="X6067">
        <f t="shared" si="378"/>
        <v>0</v>
      </c>
      <c r="Y6067" t="str">
        <f t="shared" si="379"/>
        <v>Non-Senior</v>
      </c>
    </row>
    <row r="6068" spans="1:25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376"/>
        <v>0-12 Months</v>
      </c>
      <c r="W6068">
        <f t="shared" si="377"/>
        <v>1</v>
      </c>
      <c r="X6068">
        <f t="shared" si="378"/>
        <v>94.95</v>
      </c>
      <c r="Y6068" t="str">
        <f t="shared" si="379"/>
        <v>Non-Senior</v>
      </c>
    </row>
    <row r="6069" spans="1:25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376"/>
        <v>0-12 Months</v>
      </c>
      <c r="W6069">
        <f t="shared" si="377"/>
        <v>0</v>
      </c>
      <c r="X6069">
        <f t="shared" si="378"/>
        <v>0</v>
      </c>
      <c r="Y6069" t="str">
        <f t="shared" si="379"/>
        <v>Non-Senior</v>
      </c>
    </row>
    <row r="6070" spans="1:25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376"/>
        <v>0-12 Months</v>
      </c>
      <c r="W6070">
        <f t="shared" si="377"/>
        <v>1</v>
      </c>
      <c r="X6070">
        <f t="shared" si="378"/>
        <v>44.55</v>
      </c>
      <c r="Y6070" t="str">
        <f t="shared" si="379"/>
        <v>Non-Senior</v>
      </c>
    </row>
    <row r="6071" spans="1:25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376"/>
        <v>49-60 Months</v>
      </c>
      <c r="W6071">
        <f t="shared" si="377"/>
        <v>0</v>
      </c>
      <c r="X6071">
        <f t="shared" si="378"/>
        <v>0</v>
      </c>
      <c r="Y6071" t="str">
        <f t="shared" si="379"/>
        <v>Non-Senior</v>
      </c>
    </row>
    <row r="6072" spans="1:25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376"/>
        <v>61-72 Months</v>
      </c>
      <c r="W6072">
        <f t="shared" si="377"/>
        <v>0</v>
      </c>
      <c r="X6072">
        <f t="shared" si="378"/>
        <v>0</v>
      </c>
      <c r="Y6072" t="str">
        <f t="shared" si="379"/>
        <v>Non-Senior</v>
      </c>
    </row>
    <row r="6073" spans="1:25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376"/>
        <v>61-72 Months</v>
      </c>
      <c r="W6073">
        <f t="shared" si="377"/>
        <v>0</v>
      </c>
      <c r="X6073">
        <f t="shared" si="378"/>
        <v>0</v>
      </c>
      <c r="Y6073" t="str">
        <f t="shared" si="379"/>
        <v>Non-Senior</v>
      </c>
    </row>
    <row r="6074" spans="1:25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7082</v>
      </c>
      <c r="J6074" t="s">
        <v>7084</v>
      </c>
      <c r="K6074" t="s">
        <v>46</v>
      </c>
      <c r="L6074" t="s">
        <v>7084</v>
      </c>
      <c r="M6074" t="s">
        <v>7084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376"/>
        <v>13-24 Months</v>
      </c>
      <c r="W6074">
        <f t="shared" si="377"/>
        <v>0</v>
      </c>
      <c r="X6074">
        <f t="shared" si="378"/>
        <v>0</v>
      </c>
      <c r="Y6074" t="str">
        <f t="shared" si="379"/>
        <v>Non-Senior</v>
      </c>
    </row>
    <row r="6075" spans="1:25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7082</v>
      </c>
      <c r="J6075" t="s">
        <v>7084</v>
      </c>
      <c r="K6075" t="s">
        <v>46</v>
      </c>
      <c r="L6075" t="s">
        <v>7084</v>
      </c>
      <c r="M6075" t="s">
        <v>7084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376"/>
        <v>61-72 Months</v>
      </c>
      <c r="W6075">
        <f t="shared" si="377"/>
        <v>0</v>
      </c>
      <c r="X6075">
        <f t="shared" si="378"/>
        <v>0</v>
      </c>
      <c r="Y6075" t="str">
        <f t="shared" si="379"/>
        <v>Non-Senior</v>
      </c>
    </row>
    <row r="6076" spans="1:25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376"/>
        <v>0-12 Months</v>
      </c>
      <c r="W6076">
        <f t="shared" si="377"/>
        <v>1</v>
      </c>
      <c r="X6076">
        <f t="shared" si="378"/>
        <v>23.45</v>
      </c>
      <c r="Y6076" t="str">
        <f t="shared" si="379"/>
        <v>Non-Senior</v>
      </c>
    </row>
    <row r="6077" spans="1:25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376"/>
        <v>0-12 Months</v>
      </c>
      <c r="W6077">
        <f t="shared" si="377"/>
        <v>0</v>
      </c>
      <c r="X6077">
        <f t="shared" si="378"/>
        <v>0</v>
      </c>
      <c r="Y6077" t="str">
        <f t="shared" si="379"/>
        <v>Non-Senior</v>
      </c>
    </row>
    <row r="6078" spans="1:25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376"/>
        <v>61-72 Months</v>
      </c>
      <c r="W6078">
        <f t="shared" si="377"/>
        <v>0</v>
      </c>
      <c r="X6078">
        <f t="shared" si="378"/>
        <v>0</v>
      </c>
      <c r="Y6078" t="str">
        <f t="shared" si="379"/>
        <v>Non-Senior</v>
      </c>
    </row>
    <row r="6079" spans="1:25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376"/>
        <v>61-72 Months</v>
      </c>
      <c r="W6079">
        <f t="shared" si="377"/>
        <v>0</v>
      </c>
      <c r="X6079">
        <f t="shared" si="378"/>
        <v>0</v>
      </c>
      <c r="Y6079" t="str">
        <f t="shared" si="379"/>
        <v>Non-Senior</v>
      </c>
    </row>
    <row r="6080" spans="1:25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376"/>
        <v>49-60 Months</v>
      </c>
      <c r="W6080">
        <f t="shared" si="377"/>
        <v>0</v>
      </c>
      <c r="X6080">
        <f t="shared" si="378"/>
        <v>0</v>
      </c>
      <c r="Y6080" t="str">
        <f t="shared" si="379"/>
        <v>Non-Senior</v>
      </c>
    </row>
    <row r="6081" spans="1:25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376"/>
        <v>25-36 Months</v>
      </c>
      <c r="W6081">
        <f t="shared" si="377"/>
        <v>0</v>
      </c>
      <c r="X6081">
        <f t="shared" si="378"/>
        <v>0</v>
      </c>
      <c r="Y6081" t="str">
        <f t="shared" si="379"/>
        <v>Non-Senior</v>
      </c>
    </row>
    <row r="6082" spans="1:25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si="376"/>
        <v>0-12 Months</v>
      </c>
      <c r="W6082">
        <f t="shared" si="377"/>
        <v>1</v>
      </c>
      <c r="X6082">
        <f t="shared" si="378"/>
        <v>29.7</v>
      </c>
      <c r="Y6082" t="str">
        <f t="shared" si="379"/>
        <v>Non-Senior</v>
      </c>
    </row>
    <row r="6083" spans="1:25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ref="V6083:V6146" si="380">IF(F6083&lt;=12,"0-12 Months",IF(F6083&lt;=24,"13-24 Months",IF(F6083&lt;=36,"25-36 Months",IF(F6083&lt;=48,"37-48 Months",IF(F6083&lt;=60,"49-60 Months","61-72 Months")))))</f>
        <v>0-12 Months</v>
      </c>
      <c r="W6083">
        <f t="shared" ref="W6083:W6146" si="381">IF(U6083="Yes",1,0)</f>
        <v>0</v>
      </c>
      <c r="X6083">
        <f t="shared" ref="X6083:X6146" si="382">IF(U6083="Yes",S6083,0)</f>
        <v>0</v>
      </c>
      <c r="Y6083" t="str">
        <f t="shared" ref="Y6083:Y6146" si="383">IF(C6083=1,"Senior Citizen","Non-Senior")</f>
        <v>Non-Senior</v>
      </c>
    </row>
    <row r="6084" spans="1:25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380"/>
        <v>49-60 Months</v>
      </c>
      <c r="W6084">
        <f t="shared" si="381"/>
        <v>1</v>
      </c>
      <c r="X6084">
        <f t="shared" si="382"/>
        <v>101.1</v>
      </c>
      <c r="Y6084" t="str">
        <f t="shared" si="383"/>
        <v>Non-Senior</v>
      </c>
    </row>
    <row r="6085" spans="1:25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7082</v>
      </c>
      <c r="J6085" t="s">
        <v>7084</v>
      </c>
      <c r="K6085" t="s">
        <v>46</v>
      </c>
      <c r="L6085" t="s">
        <v>7084</v>
      </c>
      <c r="M6085" t="s">
        <v>7084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380"/>
        <v>61-72 Months</v>
      </c>
      <c r="W6085">
        <f t="shared" si="381"/>
        <v>0</v>
      </c>
      <c r="X6085">
        <f t="shared" si="382"/>
        <v>0</v>
      </c>
      <c r="Y6085" t="str">
        <f t="shared" si="383"/>
        <v>Senior Citizen</v>
      </c>
    </row>
    <row r="6086" spans="1:25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380"/>
        <v>25-36 Months</v>
      </c>
      <c r="W6086">
        <f t="shared" si="381"/>
        <v>0</v>
      </c>
      <c r="X6086">
        <f t="shared" si="382"/>
        <v>0</v>
      </c>
      <c r="Y6086" t="str">
        <f t="shared" si="383"/>
        <v>Non-Senior</v>
      </c>
    </row>
    <row r="6087" spans="1:25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380"/>
        <v>0-12 Months</v>
      </c>
      <c r="W6087">
        <f t="shared" si="381"/>
        <v>1</v>
      </c>
      <c r="X6087">
        <f t="shared" si="382"/>
        <v>50.65</v>
      </c>
      <c r="Y6087" t="str">
        <f t="shared" si="383"/>
        <v>Non-Senior</v>
      </c>
    </row>
    <row r="6088" spans="1:25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380"/>
        <v>61-72 Months</v>
      </c>
      <c r="W6088">
        <f t="shared" si="381"/>
        <v>0</v>
      </c>
      <c r="X6088">
        <f t="shared" si="382"/>
        <v>0</v>
      </c>
      <c r="Y6088" t="str">
        <f t="shared" si="383"/>
        <v>Non-Senior</v>
      </c>
    </row>
    <row r="6089" spans="1:25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380"/>
        <v>25-36 Months</v>
      </c>
      <c r="W6089">
        <f t="shared" si="381"/>
        <v>0</v>
      </c>
      <c r="X6089">
        <f t="shared" si="382"/>
        <v>0</v>
      </c>
      <c r="Y6089" t="str">
        <f t="shared" si="383"/>
        <v>Non-Senior</v>
      </c>
    </row>
    <row r="6090" spans="1:25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380"/>
        <v>0-12 Months</v>
      </c>
      <c r="W6090">
        <f t="shared" si="381"/>
        <v>1</v>
      </c>
      <c r="X6090">
        <f t="shared" si="382"/>
        <v>55.4</v>
      </c>
      <c r="Y6090" t="str">
        <f t="shared" si="383"/>
        <v>Non-Senior</v>
      </c>
    </row>
    <row r="6091" spans="1:25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380"/>
        <v>0-12 Months</v>
      </c>
      <c r="W6091">
        <f t="shared" si="381"/>
        <v>1</v>
      </c>
      <c r="X6091">
        <f t="shared" si="382"/>
        <v>90.6</v>
      </c>
      <c r="Y6091" t="str">
        <f t="shared" si="383"/>
        <v>Senior Citizen</v>
      </c>
    </row>
    <row r="6092" spans="1:25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380"/>
        <v>61-72 Months</v>
      </c>
      <c r="W6092">
        <f t="shared" si="381"/>
        <v>0</v>
      </c>
      <c r="X6092">
        <f t="shared" si="382"/>
        <v>0</v>
      </c>
      <c r="Y6092" t="str">
        <f t="shared" si="383"/>
        <v>Non-Senior</v>
      </c>
    </row>
    <row r="6093" spans="1:25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380"/>
        <v>0-12 Months</v>
      </c>
      <c r="W6093">
        <f t="shared" si="381"/>
        <v>1</v>
      </c>
      <c r="X6093">
        <f t="shared" si="382"/>
        <v>86.85</v>
      </c>
      <c r="Y6093" t="str">
        <f t="shared" si="383"/>
        <v>Senior Citizen</v>
      </c>
    </row>
    <row r="6094" spans="1:25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380"/>
        <v>61-72 Months</v>
      </c>
      <c r="W6094">
        <f t="shared" si="381"/>
        <v>0</v>
      </c>
      <c r="X6094">
        <f t="shared" si="382"/>
        <v>0</v>
      </c>
      <c r="Y6094" t="str">
        <f t="shared" si="383"/>
        <v>Non-Senior</v>
      </c>
    </row>
    <row r="6095" spans="1:25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380"/>
        <v>61-72 Months</v>
      </c>
      <c r="W6095">
        <f t="shared" si="381"/>
        <v>0</v>
      </c>
      <c r="X6095">
        <f t="shared" si="382"/>
        <v>0</v>
      </c>
      <c r="Y6095" t="str">
        <f t="shared" si="383"/>
        <v>Non-Senior</v>
      </c>
    </row>
    <row r="6096" spans="1:25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7082</v>
      </c>
      <c r="J6096" t="s">
        <v>7084</v>
      </c>
      <c r="K6096" t="s">
        <v>46</v>
      </c>
      <c r="L6096" t="s">
        <v>7084</v>
      </c>
      <c r="M6096" t="s">
        <v>7084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380"/>
        <v>49-60 Months</v>
      </c>
      <c r="W6096">
        <f t="shared" si="381"/>
        <v>0</v>
      </c>
      <c r="X6096">
        <f t="shared" si="382"/>
        <v>0</v>
      </c>
      <c r="Y6096" t="str">
        <f t="shared" si="383"/>
        <v>Non-Senior</v>
      </c>
    </row>
    <row r="6097" spans="1:25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7082</v>
      </c>
      <c r="J6097" t="s">
        <v>7084</v>
      </c>
      <c r="K6097" t="s">
        <v>46</v>
      </c>
      <c r="L6097" t="s">
        <v>7084</v>
      </c>
      <c r="M6097" t="s">
        <v>7084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380"/>
        <v>0-12 Months</v>
      </c>
      <c r="W6097">
        <f t="shared" si="381"/>
        <v>0</v>
      </c>
      <c r="X6097">
        <f t="shared" si="382"/>
        <v>0</v>
      </c>
      <c r="Y6097" t="str">
        <f t="shared" si="383"/>
        <v>Non-Senior</v>
      </c>
    </row>
    <row r="6098" spans="1:25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380"/>
        <v>0-12 Months</v>
      </c>
      <c r="W6098">
        <f t="shared" si="381"/>
        <v>0</v>
      </c>
      <c r="X6098">
        <f t="shared" si="382"/>
        <v>0</v>
      </c>
      <c r="Y6098" t="str">
        <f t="shared" si="383"/>
        <v>Senior Citizen</v>
      </c>
    </row>
    <row r="6099" spans="1:25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380"/>
        <v>61-72 Months</v>
      </c>
      <c r="W6099">
        <f t="shared" si="381"/>
        <v>0</v>
      </c>
      <c r="X6099">
        <f t="shared" si="382"/>
        <v>0</v>
      </c>
      <c r="Y6099" t="str">
        <f t="shared" si="383"/>
        <v>Non-Senior</v>
      </c>
    </row>
    <row r="6100" spans="1:25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380"/>
        <v>13-24 Months</v>
      </c>
      <c r="W6100">
        <f t="shared" si="381"/>
        <v>0</v>
      </c>
      <c r="X6100">
        <f t="shared" si="382"/>
        <v>0</v>
      </c>
      <c r="Y6100" t="str">
        <f t="shared" si="383"/>
        <v>Non-Senior</v>
      </c>
    </row>
    <row r="6101" spans="1:25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7082</v>
      </c>
      <c r="J6101" t="s">
        <v>7084</v>
      </c>
      <c r="K6101" t="s">
        <v>46</v>
      </c>
      <c r="L6101" t="s">
        <v>7084</v>
      </c>
      <c r="M6101" t="s">
        <v>7084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380"/>
        <v>61-72 Months</v>
      </c>
      <c r="W6101">
        <f t="shared" si="381"/>
        <v>0</v>
      </c>
      <c r="X6101">
        <f t="shared" si="382"/>
        <v>0</v>
      </c>
      <c r="Y6101" t="str">
        <f t="shared" si="383"/>
        <v>Non-Senior</v>
      </c>
    </row>
    <row r="6102" spans="1:25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380"/>
        <v>25-36 Months</v>
      </c>
      <c r="W6102">
        <f t="shared" si="381"/>
        <v>1</v>
      </c>
      <c r="X6102">
        <f t="shared" si="382"/>
        <v>99.05</v>
      </c>
      <c r="Y6102" t="str">
        <f t="shared" si="383"/>
        <v>Senior Citizen</v>
      </c>
    </row>
    <row r="6103" spans="1:25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380"/>
        <v>61-72 Months</v>
      </c>
      <c r="W6103">
        <f t="shared" si="381"/>
        <v>0</v>
      </c>
      <c r="X6103">
        <f t="shared" si="382"/>
        <v>0</v>
      </c>
      <c r="Y6103" t="str">
        <f t="shared" si="383"/>
        <v>Senior Citizen</v>
      </c>
    </row>
    <row r="6104" spans="1:25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380"/>
        <v>61-72 Months</v>
      </c>
      <c r="W6104">
        <f t="shared" si="381"/>
        <v>0</v>
      </c>
      <c r="X6104">
        <f t="shared" si="382"/>
        <v>0</v>
      </c>
      <c r="Y6104" t="str">
        <f t="shared" si="383"/>
        <v>Non-Senior</v>
      </c>
    </row>
    <row r="6105" spans="1:25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7082</v>
      </c>
      <c r="J6105" t="s">
        <v>7084</v>
      </c>
      <c r="K6105" t="s">
        <v>46</v>
      </c>
      <c r="L6105" t="s">
        <v>7084</v>
      </c>
      <c r="M6105" t="s">
        <v>7084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380"/>
        <v>13-24 Months</v>
      </c>
      <c r="W6105">
        <f t="shared" si="381"/>
        <v>0</v>
      </c>
      <c r="X6105">
        <f t="shared" si="382"/>
        <v>0</v>
      </c>
      <c r="Y6105" t="str">
        <f t="shared" si="383"/>
        <v>Non-Senior</v>
      </c>
    </row>
    <row r="6106" spans="1:25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7082</v>
      </c>
      <c r="J6106" t="s">
        <v>7084</v>
      </c>
      <c r="K6106" t="s">
        <v>46</v>
      </c>
      <c r="L6106" t="s">
        <v>7084</v>
      </c>
      <c r="M6106" t="s">
        <v>7084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380"/>
        <v>0-12 Months</v>
      </c>
      <c r="W6106">
        <f t="shared" si="381"/>
        <v>0</v>
      </c>
      <c r="X6106">
        <f t="shared" si="382"/>
        <v>0</v>
      </c>
      <c r="Y6106" t="str">
        <f t="shared" si="383"/>
        <v>Non-Senior</v>
      </c>
    </row>
    <row r="6107" spans="1:25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380"/>
        <v>49-60 Months</v>
      </c>
      <c r="W6107">
        <f t="shared" si="381"/>
        <v>1</v>
      </c>
      <c r="X6107">
        <f t="shared" si="382"/>
        <v>111.25</v>
      </c>
      <c r="Y6107" t="str">
        <f t="shared" si="383"/>
        <v>Non-Senior</v>
      </c>
    </row>
    <row r="6108" spans="1:25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380"/>
        <v>0-12 Months</v>
      </c>
      <c r="W6108">
        <f t="shared" si="381"/>
        <v>1</v>
      </c>
      <c r="X6108">
        <f t="shared" si="382"/>
        <v>55.1</v>
      </c>
      <c r="Y6108" t="str">
        <f t="shared" si="383"/>
        <v>Non-Senior</v>
      </c>
    </row>
    <row r="6109" spans="1:25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7082</v>
      </c>
      <c r="J6109" t="s">
        <v>7084</v>
      </c>
      <c r="K6109" t="s">
        <v>46</v>
      </c>
      <c r="L6109" t="s">
        <v>7084</v>
      </c>
      <c r="M6109" t="s">
        <v>7084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380"/>
        <v>0-12 Months</v>
      </c>
      <c r="W6109">
        <f t="shared" si="381"/>
        <v>0</v>
      </c>
      <c r="X6109">
        <f t="shared" si="382"/>
        <v>0</v>
      </c>
      <c r="Y6109" t="str">
        <f t="shared" si="383"/>
        <v>Non-Senior</v>
      </c>
    </row>
    <row r="6110" spans="1:25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380"/>
        <v>13-24 Months</v>
      </c>
      <c r="W6110">
        <f t="shared" si="381"/>
        <v>0</v>
      </c>
      <c r="X6110">
        <f t="shared" si="382"/>
        <v>0</v>
      </c>
      <c r="Y6110" t="str">
        <f t="shared" si="383"/>
        <v>Non-Senior</v>
      </c>
    </row>
    <row r="6111" spans="1:25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380"/>
        <v>0-12 Months</v>
      </c>
      <c r="W6111">
        <f t="shared" si="381"/>
        <v>0</v>
      </c>
      <c r="X6111">
        <f t="shared" si="382"/>
        <v>0</v>
      </c>
      <c r="Y6111" t="str">
        <f t="shared" si="383"/>
        <v>Non-Senior</v>
      </c>
    </row>
    <row r="6112" spans="1:25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380"/>
        <v>13-24 Months</v>
      </c>
      <c r="W6112">
        <f t="shared" si="381"/>
        <v>0</v>
      </c>
      <c r="X6112">
        <f t="shared" si="382"/>
        <v>0</v>
      </c>
      <c r="Y6112" t="str">
        <f t="shared" si="383"/>
        <v>Non-Senior</v>
      </c>
    </row>
    <row r="6113" spans="1:25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380"/>
        <v>37-48 Months</v>
      </c>
      <c r="W6113">
        <f t="shared" si="381"/>
        <v>0</v>
      </c>
      <c r="X6113">
        <f t="shared" si="382"/>
        <v>0</v>
      </c>
      <c r="Y6113" t="str">
        <f t="shared" si="383"/>
        <v>Non-Senior</v>
      </c>
    </row>
    <row r="6114" spans="1:25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380"/>
        <v>61-72 Months</v>
      </c>
      <c r="W6114">
        <f t="shared" si="381"/>
        <v>0</v>
      </c>
      <c r="X6114">
        <f t="shared" si="382"/>
        <v>0</v>
      </c>
      <c r="Y6114" t="str">
        <f t="shared" si="383"/>
        <v>Senior Citizen</v>
      </c>
    </row>
    <row r="6115" spans="1:25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380"/>
        <v>13-24 Months</v>
      </c>
      <c r="W6115">
        <f t="shared" si="381"/>
        <v>0</v>
      </c>
      <c r="X6115">
        <f t="shared" si="382"/>
        <v>0</v>
      </c>
      <c r="Y6115" t="str">
        <f t="shared" si="383"/>
        <v>Non-Senior</v>
      </c>
    </row>
    <row r="6116" spans="1:25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380"/>
        <v>0-12 Months</v>
      </c>
      <c r="W6116">
        <f t="shared" si="381"/>
        <v>0</v>
      </c>
      <c r="X6116">
        <f t="shared" si="382"/>
        <v>0</v>
      </c>
      <c r="Y6116" t="str">
        <f t="shared" si="383"/>
        <v>Non-Senior</v>
      </c>
    </row>
    <row r="6117" spans="1:25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380"/>
        <v>61-72 Months</v>
      </c>
      <c r="W6117">
        <f t="shared" si="381"/>
        <v>0</v>
      </c>
      <c r="X6117">
        <f t="shared" si="382"/>
        <v>0</v>
      </c>
      <c r="Y6117" t="str">
        <f t="shared" si="383"/>
        <v>Non-Senior</v>
      </c>
    </row>
    <row r="6118" spans="1:25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380"/>
        <v>37-48 Months</v>
      </c>
      <c r="W6118">
        <f t="shared" si="381"/>
        <v>0</v>
      </c>
      <c r="X6118">
        <f t="shared" si="382"/>
        <v>0</v>
      </c>
      <c r="Y6118" t="str">
        <f t="shared" si="383"/>
        <v>Non-Senior</v>
      </c>
    </row>
    <row r="6119" spans="1:25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7082</v>
      </c>
      <c r="J6119" t="s">
        <v>7084</v>
      </c>
      <c r="K6119" t="s">
        <v>46</v>
      </c>
      <c r="L6119" t="s">
        <v>7084</v>
      </c>
      <c r="M6119" t="s">
        <v>7084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380"/>
        <v>61-72 Months</v>
      </c>
      <c r="W6119">
        <f t="shared" si="381"/>
        <v>0</v>
      </c>
      <c r="X6119">
        <f t="shared" si="382"/>
        <v>0</v>
      </c>
      <c r="Y6119" t="str">
        <f t="shared" si="383"/>
        <v>Non-Senior</v>
      </c>
    </row>
    <row r="6120" spans="1:25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380"/>
        <v>61-72 Months</v>
      </c>
      <c r="W6120">
        <f t="shared" si="381"/>
        <v>0</v>
      </c>
      <c r="X6120">
        <f t="shared" si="382"/>
        <v>0</v>
      </c>
      <c r="Y6120" t="str">
        <f t="shared" si="383"/>
        <v>Non-Senior</v>
      </c>
    </row>
    <row r="6121" spans="1:25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380"/>
        <v>13-24 Months</v>
      </c>
      <c r="W6121">
        <f t="shared" si="381"/>
        <v>0</v>
      </c>
      <c r="X6121">
        <f t="shared" si="382"/>
        <v>0</v>
      </c>
      <c r="Y6121" t="str">
        <f t="shared" si="383"/>
        <v>Non-Senior</v>
      </c>
    </row>
    <row r="6122" spans="1:25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380"/>
        <v>0-12 Months</v>
      </c>
      <c r="W6122">
        <f t="shared" si="381"/>
        <v>0</v>
      </c>
      <c r="X6122">
        <f t="shared" si="382"/>
        <v>0</v>
      </c>
      <c r="Y6122" t="str">
        <f t="shared" si="383"/>
        <v>Non-Senior</v>
      </c>
    </row>
    <row r="6123" spans="1:25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7082</v>
      </c>
      <c r="J6123" t="s">
        <v>7084</v>
      </c>
      <c r="K6123" t="s">
        <v>46</v>
      </c>
      <c r="L6123" t="s">
        <v>7084</v>
      </c>
      <c r="M6123" t="s">
        <v>7084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380"/>
        <v>0-12 Months</v>
      </c>
      <c r="W6123">
        <f t="shared" si="381"/>
        <v>0</v>
      </c>
      <c r="X6123">
        <f t="shared" si="382"/>
        <v>0</v>
      </c>
      <c r="Y6123" t="str">
        <f t="shared" si="383"/>
        <v>Non-Senior</v>
      </c>
    </row>
    <row r="6124" spans="1:25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7082</v>
      </c>
      <c r="J6124" t="s">
        <v>7084</v>
      </c>
      <c r="K6124" t="s">
        <v>46</v>
      </c>
      <c r="L6124" t="s">
        <v>7084</v>
      </c>
      <c r="M6124" t="s">
        <v>7084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380"/>
        <v>13-24 Months</v>
      </c>
      <c r="W6124">
        <f t="shared" si="381"/>
        <v>0</v>
      </c>
      <c r="X6124">
        <f t="shared" si="382"/>
        <v>0</v>
      </c>
      <c r="Y6124" t="str">
        <f t="shared" si="383"/>
        <v>Non-Senior</v>
      </c>
    </row>
    <row r="6125" spans="1:25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380"/>
        <v>61-72 Months</v>
      </c>
      <c r="W6125">
        <f t="shared" si="381"/>
        <v>0</v>
      </c>
      <c r="X6125">
        <f t="shared" si="382"/>
        <v>0</v>
      </c>
      <c r="Y6125" t="str">
        <f t="shared" si="383"/>
        <v>Non-Senior</v>
      </c>
    </row>
    <row r="6126" spans="1:25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380"/>
        <v>49-60 Months</v>
      </c>
      <c r="W6126">
        <f t="shared" si="381"/>
        <v>0</v>
      </c>
      <c r="X6126">
        <f t="shared" si="382"/>
        <v>0</v>
      </c>
      <c r="Y6126" t="str">
        <f t="shared" si="383"/>
        <v>Non-Senior</v>
      </c>
    </row>
    <row r="6127" spans="1:25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380"/>
        <v>13-24 Months</v>
      </c>
      <c r="W6127">
        <f t="shared" si="381"/>
        <v>1</v>
      </c>
      <c r="X6127">
        <f t="shared" si="382"/>
        <v>102.25</v>
      </c>
      <c r="Y6127" t="str">
        <f t="shared" si="383"/>
        <v>Non-Senior</v>
      </c>
    </row>
    <row r="6128" spans="1:25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380"/>
        <v>13-24 Months</v>
      </c>
      <c r="W6128">
        <f t="shared" si="381"/>
        <v>1</v>
      </c>
      <c r="X6128">
        <f t="shared" si="382"/>
        <v>95.9</v>
      </c>
      <c r="Y6128" t="str">
        <f t="shared" si="383"/>
        <v>Senior Citizen</v>
      </c>
    </row>
    <row r="6129" spans="1:25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380"/>
        <v>49-60 Months</v>
      </c>
      <c r="W6129">
        <f t="shared" si="381"/>
        <v>0</v>
      </c>
      <c r="X6129">
        <f t="shared" si="382"/>
        <v>0</v>
      </c>
      <c r="Y6129" t="str">
        <f t="shared" si="383"/>
        <v>Non-Senior</v>
      </c>
    </row>
    <row r="6130" spans="1:25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380"/>
        <v>13-24 Months</v>
      </c>
      <c r="W6130">
        <f t="shared" si="381"/>
        <v>0</v>
      </c>
      <c r="X6130">
        <f t="shared" si="382"/>
        <v>0</v>
      </c>
      <c r="Y6130" t="str">
        <f t="shared" si="383"/>
        <v>Non-Senior</v>
      </c>
    </row>
    <row r="6131" spans="1:25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380"/>
        <v>49-60 Months</v>
      </c>
      <c r="W6131">
        <f t="shared" si="381"/>
        <v>0</v>
      </c>
      <c r="X6131">
        <f t="shared" si="382"/>
        <v>0</v>
      </c>
      <c r="Y6131" t="str">
        <f t="shared" si="383"/>
        <v>Non-Senior</v>
      </c>
    </row>
    <row r="6132" spans="1:25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380"/>
        <v>49-60 Months</v>
      </c>
      <c r="W6132">
        <f t="shared" si="381"/>
        <v>0</v>
      </c>
      <c r="X6132">
        <f t="shared" si="382"/>
        <v>0</v>
      </c>
      <c r="Y6132" t="str">
        <f t="shared" si="383"/>
        <v>Non-Senior</v>
      </c>
    </row>
    <row r="6133" spans="1:25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380"/>
        <v>37-48 Months</v>
      </c>
      <c r="W6133">
        <f t="shared" si="381"/>
        <v>1</v>
      </c>
      <c r="X6133">
        <f t="shared" si="382"/>
        <v>95.05</v>
      </c>
      <c r="Y6133" t="str">
        <f t="shared" si="383"/>
        <v>Senior Citizen</v>
      </c>
    </row>
    <row r="6134" spans="1:25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380"/>
        <v>61-72 Months</v>
      </c>
      <c r="W6134">
        <f t="shared" si="381"/>
        <v>0</v>
      </c>
      <c r="X6134">
        <f t="shared" si="382"/>
        <v>0</v>
      </c>
      <c r="Y6134" t="str">
        <f t="shared" si="383"/>
        <v>Non-Senior</v>
      </c>
    </row>
    <row r="6135" spans="1:25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380"/>
        <v>0-12 Months</v>
      </c>
      <c r="W6135">
        <f t="shared" si="381"/>
        <v>0</v>
      </c>
      <c r="X6135">
        <f t="shared" si="382"/>
        <v>0</v>
      </c>
      <c r="Y6135" t="str">
        <f t="shared" si="383"/>
        <v>Non-Senior</v>
      </c>
    </row>
    <row r="6136" spans="1:25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380"/>
        <v>0-12 Months</v>
      </c>
      <c r="W6136">
        <f t="shared" si="381"/>
        <v>0</v>
      </c>
      <c r="X6136">
        <f t="shared" si="382"/>
        <v>0</v>
      </c>
      <c r="Y6136" t="str">
        <f t="shared" si="383"/>
        <v>Senior Citizen</v>
      </c>
    </row>
    <row r="6137" spans="1:25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380"/>
        <v>61-72 Months</v>
      </c>
      <c r="W6137">
        <f t="shared" si="381"/>
        <v>0</v>
      </c>
      <c r="X6137">
        <f t="shared" si="382"/>
        <v>0</v>
      </c>
      <c r="Y6137" t="str">
        <f t="shared" si="383"/>
        <v>Non-Senior</v>
      </c>
    </row>
    <row r="6138" spans="1:25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7082</v>
      </c>
      <c r="J6138" t="s">
        <v>7084</v>
      </c>
      <c r="K6138" t="s">
        <v>46</v>
      </c>
      <c r="L6138" t="s">
        <v>7084</v>
      </c>
      <c r="M6138" t="s">
        <v>7084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380"/>
        <v>37-48 Months</v>
      </c>
      <c r="W6138">
        <f t="shared" si="381"/>
        <v>0</v>
      </c>
      <c r="X6138">
        <f t="shared" si="382"/>
        <v>0</v>
      </c>
      <c r="Y6138" t="str">
        <f t="shared" si="383"/>
        <v>Non-Senior</v>
      </c>
    </row>
    <row r="6139" spans="1:25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380"/>
        <v>0-12 Months</v>
      </c>
      <c r="W6139">
        <f t="shared" si="381"/>
        <v>1</v>
      </c>
      <c r="X6139">
        <f t="shared" si="382"/>
        <v>53.85</v>
      </c>
      <c r="Y6139" t="str">
        <f t="shared" si="383"/>
        <v>Non-Senior</v>
      </c>
    </row>
    <row r="6140" spans="1:25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380"/>
        <v>61-72 Months</v>
      </c>
      <c r="W6140">
        <f t="shared" si="381"/>
        <v>0</v>
      </c>
      <c r="X6140">
        <f t="shared" si="382"/>
        <v>0</v>
      </c>
      <c r="Y6140" t="str">
        <f t="shared" si="383"/>
        <v>Senior Citizen</v>
      </c>
    </row>
    <row r="6141" spans="1:25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7082</v>
      </c>
      <c r="J6141" t="s">
        <v>7084</v>
      </c>
      <c r="K6141" t="s">
        <v>46</v>
      </c>
      <c r="L6141" t="s">
        <v>7084</v>
      </c>
      <c r="M6141" t="s">
        <v>7084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380"/>
        <v>0-12 Months</v>
      </c>
      <c r="W6141">
        <f t="shared" si="381"/>
        <v>0</v>
      </c>
      <c r="X6141">
        <f t="shared" si="382"/>
        <v>0</v>
      </c>
      <c r="Y6141" t="str">
        <f t="shared" si="383"/>
        <v>Non-Senior</v>
      </c>
    </row>
    <row r="6142" spans="1:25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7082</v>
      </c>
      <c r="J6142" t="s">
        <v>7084</v>
      </c>
      <c r="K6142" t="s">
        <v>46</v>
      </c>
      <c r="L6142" t="s">
        <v>7084</v>
      </c>
      <c r="M6142" t="s">
        <v>7084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380"/>
        <v>0-12 Months</v>
      </c>
      <c r="W6142">
        <f t="shared" si="381"/>
        <v>0</v>
      </c>
      <c r="X6142">
        <f t="shared" si="382"/>
        <v>0</v>
      </c>
      <c r="Y6142" t="str">
        <f t="shared" si="383"/>
        <v>Non-Senior</v>
      </c>
    </row>
    <row r="6143" spans="1:25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380"/>
        <v>49-60 Months</v>
      </c>
      <c r="W6143">
        <f t="shared" si="381"/>
        <v>1</v>
      </c>
      <c r="X6143">
        <f t="shared" si="382"/>
        <v>104.2</v>
      </c>
      <c r="Y6143" t="str">
        <f t="shared" si="383"/>
        <v>Senior Citizen</v>
      </c>
    </row>
    <row r="6144" spans="1:25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380"/>
        <v>37-48 Months</v>
      </c>
      <c r="W6144">
        <f t="shared" si="381"/>
        <v>1</v>
      </c>
      <c r="X6144">
        <f t="shared" si="382"/>
        <v>50.25</v>
      </c>
      <c r="Y6144" t="str">
        <f t="shared" si="383"/>
        <v>Non-Senior</v>
      </c>
    </row>
    <row r="6145" spans="1:25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7082</v>
      </c>
      <c r="J6145" t="s">
        <v>7084</v>
      </c>
      <c r="K6145" t="s">
        <v>46</v>
      </c>
      <c r="L6145" t="s">
        <v>7084</v>
      </c>
      <c r="M6145" t="s">
        <v>7084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380"/>
        <v>49-60 Months</v>
      </c>
      <c r="W6145">
        <f t="shared" si="381"/>
        <v>0</v>
      </c>
      <c r="X6145">
        <f t="shared" si="382"/>
        <v>0</v>
      </c>
      <c r="Y6145" t="str">
        <f t="shared" si="383"/>
        <v>Non-Senior</v>
      </c>
    </row>
    <row r="6146" spans="1:25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si="380"/>
        <v>13-24 Months</v>
      </c>
      <c r="W6146">
        <f t="shared" si="381"/>
        <v>0</v>
      </c>
      <c r="X6146">
        <f t="shared" si="382"/>
        <v>0</v>
      </c>
      <c r="Y6146" t="str">
        <f t="shared" si="383"/>
        <v>Senior Citizen</v>
      </c>
    </row>
    <row r="6147" spans="1:25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ref="V6147:V6210" si="384">IF(F6147&lt;=12,"0-12 Months",IF(F6147&lt;=24,"13-24 Months",IF(F6147&lt;=36,"25-36 Months",IF(F6147&lt;=48,"37-48 Months",IF(F6147&lt;=60,"49-60 Months","61-72 Months")))))</f>
        <v>61-72 Months</v>
      </c>
      <c r="W6147">
        <f t="shared" ref="W6147:W6210" si="385">IF(U6147="Yes",1,0)</f>
        <v>0</v>
      </c>
      <c r="X6147">
        <f t="shared" ref="X6147:X6210" si="386">IF(U6147="Yes",S6147,0)</f>
        <v>0</v>
      </c>
      <c r="Y6147" t="str">
        <f t="shared" ref="Y6147:Y6210" si="387">IF(C6147=1,"Senior Citizen","Non-Senior")</f>
        <v>Non-Senior</v>
      </c>
    </row>
    <row r="6148" spans="1:25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384"/>
        <v>25-36 Months</v>
      </c>
      <c r="W6148">
        <f t="shared" si="385"/>
        <v>1</v>
      </c>
      <c r="X6148">
        <f t="shared" si="386"/>
        <v>99.5</v>
      </c>
      <c r="Y6148" t="str">
        <f t="shared" si="387"/>
        <v>Non-Senior</v>
      </c>
    </row>
    <row r="6149" spans="1:25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384"/>
        <v>37-48 Months</v>
      </c>
      <c r="W6149">
        <f t="shared" si="385"/>
        <v>0</v>
      </c>
      <c r="X6149">
        <f t="shared" si="386"/>
        <v>0</v>
      </c>
      <c r="Y6149" t="str">
        <f t="shared" si="387"/>
        <v>Senior Citizen</v>
      </c>
    </row>
    <row r="6150" spans="1:25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384"/>
        <v>61-72 Months</v>
      </c>
      <c r="W6150">
        <f t="shared" si="385"/>
        <v>0</v>
      </c>
      <c r="X6150">
        <f t="shared" si="386"/>
        <v>0</v>
      </c>
      <c r="Y6150" t="str">
        <f t="shared" si="387"/>
        <v>Non-Senior</v>
      </c>
    </row>
    <row r="6151" spans="1:25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384"/>
        <v>0-12 Months</v>
      </c>
      <c r="W6151">
        <f t="shared" si="385"/>
        <v>0</v>
      </c>
      <c r="X6151">
        <f t="shared" si="386"/>
        <v>0</v>
      </c>
      <c r="Y6151" t="str">
        <f t="shared" si="387"/>
        <v>Non-Senior</v>
      </c>
    </row>
    <row r="6152" spans="1:25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384"/>
        <v>25-36 Months</v>
      </c>
      <c r="W6152">
        <f t="shared" si="385"/>
        <v>0</v>
      </c>
      <c r="X6152">
        <f t="shared" si="386"/>
        <v>0</v>
      </c>
      <c r="Y6152" t="str">
        <f t="shared" si="387"/>
        <v>Non-Senior</v>
      </c>
    </row>
    <row r="6153" spans="1:25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384"/>
        <v>0-12 Months</v>
      </c>
      <c r="W6153">
        <f t="shared" si="385"/>
        <v>1</v>
      </c>
      <c r="X6153">
        <f t="shared" si="386"/>
        <v>71</v>
      </c>
      <c r="Y6153" t="str">
        <f t="shared" si="387"/>
        <v>Non-Senior</v>
      </c>
    </row>
    <row r="6154" spans="1:25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384"/>
        <v>13-24 Months</v>
      </c>
      <c r="W6154">
        <f t="shared" si="385"/>
        <v>1</v>
      </c>
      <c r="X6154">
        <f t="shared" si="386"/>
        <v>93.2</v>
      </c>
      <c r="Y6154" t="str">
        <f t="shared" si="387"/>
        <v>Non-Senior</v>
      </c>
    </row>
    <row r="6155" spans="1:25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7082</v>
      </c>
      <c r="J6155" t="s">
        <v>7084</v>
      </c>
      <c r="K6155" t="s">
        <v>46</v>
      </c>
      <c r="L6155" t="s">
        <v>7084</v>
      </c>
      <c r="M6155" t="s">
        <v>7084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384"/>
        <v>49-60 Months</v>
      </c>
      <c r="W6155">
        <f t="shared" si="385"/>
        <v>0</v>
      </c>
      <c r="X6155">
        <f t="shared" si="386"/>
        <v>0</v>
      </c>
      <c r="Y6155" t="str">
        <f t="shared" si="387"/>
        <v>Non-Senior</v>
      </c>
    </row>
    <row r="6156" spans="1:25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384"/>
        <v>61-72 Months</v>
      </c>
      <c r="W6156">
        <f t="shared" si="385"/>
        <v>0</v>
      </c>
      <c r="X6156">
        <f t="shared" si="386"/>
        <v>0</v>
      </c>
      <c r="Y6156" t="str">
        <f t="shared" si="387"/>
        <v>Non-Senior</v>
      </c>
    </row>
    <row r="6157" spans="1:25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7082</v>
      </c>
      <c r="J6157" t="s">
        <v>7084</v>
      </c>
      <c r="K6157" t="s">
        <v>46</v>
      </c>
      <c r="L6157" t="s">
        <v>7084</v>
      </c>
      <c r="M6157" t="s">
        <v>7084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384"/>
        <v>0-12 Months</v>
      </c>
      <c r="W6157">
        <f t="shared" si="385"/>
        <v>1</v>
      </c>
      <c r="X6157">
        <f t="shared" si="386"/>
        <v>19.350000000000001</v>
      </c>
      <c r="Y6157" t="str">
        <f t="shared" si="387"/>
        <v>Non-Senior</v>
      </c>
    </row>
    <row r="6158" spans="1:25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384"/>
        <v>25-36 Months</v>
      </c>
      <c r="W6158">
        <f t="shared" si="385"/>
        <v>0</v>
      </c>
      <c r="X6158">
        <f t="shared" si="386"/>
        <v>0</v>
      </c>
      <c r="Y6158" t="str">
        <f t="shared" si="387"/>
        <v>Senior Citizen</v>
      </c>
    </row>
    <row r="6159" spans="1:25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7082</v>
      </c>
      <c r="J6159" t="s">
        <v>7084</v>
      </c>
      <c r="K6159" t="s">
        <v>46</v>
      </c>
      <c r="L6159" t="s">
        <v>7084</v>
      </c>
      <c r="M6159" t="s">
        <v>7084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384"/>
        <v>0-12 Months</v>
      </c>
      <c r="W6159">
        <f t="shared" si="385"/>
        <v>1</v>
      </c>
      <c r="X6159">
        <f t="shared" si="386"/>
        <v>19.850000000000001</v>
      </c>
      <c r="Y6159" t="str">
        <f t="shared" si="387"/>
        <v>Non-Senior</v>
      </c>
    </row>
    <row r="6160" spans="1:25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7082</v>
      </c>
      <c r="J6160" t="s">
        <v>7084</v>
      </c>
      <c r="K6160" t="s">
        <v>46</v>
      </c>
      <c r="L6160" t="s">
        <v>7084</v>
      </c>
      <c r="M6160" t="s">
        <v>7084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384"/>
        <v>0-12 Months</v>
      </c>
      <c r="W6160">
        <f t="shared" si="385"/>
        <v>0</v>
      </c>
      <c r="X6160">
        <f t="shared" si="386"/>
        <v>0</v>
      </c>
      <c r="Y6160" t="str">
        <f t="shared" si="387"/>
        <v>Non-Senior</v>
      </c>
    </row>
    <row r="6161" spans="1:25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7082</v>
      </c>
      <c r="J6161" t="s">
        <v>7084</v>
      </c>
      <c r="K6161" t="s">
        <v>46</v>
      </c>
      <c r="L6161" t="s">
        <v>7084</v>
      </c>
      <c r="M6161" t="s">
        <v>7084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384"/>
        <v>0-12 Months</v>
      </c>
      <c r="W6161">
        <f t="shared" si="385"/>
        <v>0</v>
      </c>
      <c r="X6161">
        <f t="shared" si="386"/>
        <v>0</v>
      </c>
      <c r="Y6161" t="str">
        <f t="shared" si="387"/>
        <v>Non-Senior</v>
      </c>
    </row>
    <row r="6162" spans="1:25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384"/>
        <v>25-36 Months</v>
      </c>
      <c r="W6162">
        <f t="shared" si="385"/>
        <v>0</v>
      </c>
      <c r="X6162">
        <f t="shared" si="386"/>
        <v>0</v>
      </c>
      <c r="Y6162" t="str">
        <f t="shared" si="387"/>
        <v>Non-Senior</v>
      </c>
    </row>
    <row r="6163" spans="1:25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384"/>
        <v>0-12 Months</v>
      </c>
      <c r="W6163">
        <f t="shared" si="385"/>
        <v>0</v>
      </c>
      <c r="X6163">
        <f t="shared" si="386"/>
        <v>0</v>
      </c>
      <c r="Y6163" t="str">
        <f t="shared" si="387"/>
        <v>Non-Senior</v>
      </c>
    </row>
    <row r="6164" spans="1:25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384"/>
        <v>49-60 Months</v>
      </c>
      <c r="W6164">
        <f t="shared" si="385"/>
        <v>0</v>
      </c>
      <c r="X6164">
        <f t="shared" si="386"/>
        <v>0</v>
      </c>
      <c r="Y6164" t="str">
        <f t="shared" si="387"/>
        <v>Senior Citizen</v>
      </c>
    </row>
    <row r="6165" spans="1:25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384"/>
        <v>13-24 Months</v>
      </c>
      <c r="W6165">
        <f t="shared" si="385"/>
        <v>0</v>
      </c>
      <c r="X6165">
        <f t="shared" si="386"/>
        <v>0</v>
      </c>
      <c r="Y6165" t="str">
        <f t="shared" si="387"/>
        <v>Non-Senior</v>
      </c>
    </row>
    <row r="6166" spans="1:25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384"/>
        <v>37-48 Months</v>
      </c>
      <c r="W6166">
        <f t="shared" si="385"/>
        <v>0</v>
      </c>
      <c r="X6166">
        <f t="shared" si="386"/>
        <v>0</v>
      </c>
      <c r="Y6166" t="str">
        <f t="shared" si="387"/>
        <v>Senior Citizen</v>
      </c>
    </row>
    <row r="6167" spans="1:25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384"/>
        <v>0-12 Months</v>
      </c>
      <c r="W6167">
        <f t="shared" si="385"/>
        <v>0</v>
      </c>
      <c r="X6167">
        <f t="shared" si="386"/>
        <v>0</v>
      </c>
      <c r="Y6167" t="str">
        <f t="shared" si="387"/>
        <v>Senior Citizen</v>
      </c>
    </row>
    <row r="6168" spans="1:25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384"/>
        <v>25-36 Months</v>
      </c>
      <c r="W6168">
        <f t="shared" si="385"/>
        <v>1</v>
      </c>
      <c r="X6168">
        <f t="shared" si="386"/>
        <v>104.2</v>
      </c>
      <c r="Y6168" t="str">
        <f t="shared" si="387"/>
        <v>Non-Senior</v>
      </c>
    </row>
    <row r="6169" spans="1:25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384"/>
        <v>37-48 Months</v>
      </c>
      <c r="W6169">
        <f t="shared" si="385"/>
        <v>0</v>
      </c>
      <c r="X6169">
        <f t="shared" si="386"/>
        <v>0</v>
      </c>
      <c r="Y6169" t="str">
        <f t="shared" si="387"/>
        <v>Non-Senior</v>
      </c>
    </row>
    <row r="6170" spans="1:25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384"/>
        <v>0-12 Months</v>
      </c>
      <c r="W6170">
        <f t="shared" si="385"/>
        <v>1</v>
      </c>
      <c r="X6170">
        <f t="shared" si="386"/>
        <v>79.25</v>
      </c>
      <c r="Y6170" t="str">
        <f t="shared" si="387"/>
        <v>Non-Senior</v>
      </c>
    </row>
    <row r="6171" spans="1:25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384"/>
        <v>0-12 Months</v>
      </c>
      <c r="W6171">
        <f t="shared" si="385"/>
        <v>1</v>
      </c>
      <c r="X6171">
        <f t="shared" si="386"/>
        <v>44.9</v>
      </c>
      <c r="Y6171" t="str">
        <f t="shared" si="387"/>
        <v>Non-Senior</v>
      </c>
    </row>
    <row r="6172" spans="1:25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7082</v>
      </c>
      <c r="J6172" t="s">
        <v>7084</v>
      </c>
      <c r="K6172" t="s">
        <v>46</v>
      </c>
      <c r="L6172" t="s">
        <v>7084</v>
      </c>
      <c r="M6172" t="s">
        <v>7084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384"/>
        <v>0-12 Months</v>
      </c>
      <c r="W6172">
        <f t="shared" si="385"/>
        <v>0</v>
      </c>
      <c r="X6172">
        <f t="shared" si="386"/>
        <v>0</v>
      </c>
      <c r="Y6172" t="str">
        <f t="shared" si="387"/>
        <v>Non-Senior</v>
      </c>
    </row>
    <row r="6173" spans="1:25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384"/>
        <v>49-60 Months</v>
      </c>
      <c r="W6173">
        <f t="shared" si="385"/>
        <v>0</v>
      </c>
      <c r="X6173">
        <f t="shared" si="386"/>
        <v>0</v>
      </c>
      <c r="Y6173" t="str">
        <f t="shared" si="387"/>
        <v>Senior Citizen</v>
      </c>
    </row>
    <row r="6174" spans="1:25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384"/>
        <v>0-12 Months</v>
      </c>
      <c r="W6174">
        <f t="shared" si="385"/>
        <v>1</v>
      </c>
      <c r="X6174">
        <f t="shared" si="386"/>
        <v>70.099999999999994</v>
      </c>
      <c r="Y6174" t="str">
        <f t="shared" si="387"/>
        <v>Non-Senior</v>
      </c>
    </row>
    <row r="6175" spans="1:25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384"/>
        <v>25-36 Months</v>
      </c>
      <c r="W6175">
        <f t="shared" si="385"/>
        <v>0</v>
      </c>
      <c r="X6175">
        <f t="shared" si="386"/>
        <v>0</v>
      </c>
      <c r="Y6175" t="str">
        <f t="shared" si="387"/>
        <v>Senior Citizen</v>
      </c>
    </row>
    <row r="6176" spans="1:25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384"/>
        <v>0-12 Months</v>
      </c>
      <c r="W6176">
        <f t="shared" si="385"/>
        <v>1</v>
      </c>
      <c r="X6176">
        <f t="shared" si="386"/>
        <v>29.65</v>
      </c>
      <c r="Y6176" t="str">
        <f t="shared" si="387"/>
        <v>Non-Senior</v>
      </c>
    </row>
    <row r="6177" spans="1:25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384"/>
        <v>25-36 Months</v>
      </c>
      <c r="W6177">
        <f t="shared" si="385"/>
        <v>0</v>
      </c>
      <c r="X6177">
        <f t="shared" si="386"/>
        <v>0</v>
      </c>
      <c r="Y6177" t="str">
        <f t="shared" si="387"/>
        <v>Non-Senior</v>
      </c>
    </row>
    <row r="6178" spans="1:25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384"/>
        <v>37-48 Months</v>
      </c>
      <c r="W6178">
        <f t="shared" si="385"/>
        <v>1</v>
      </c>
      <c r="X6178">
        <f t="shared" si="386"/>
        <v>77.849999999999994</v>
      </c>
      <c r="Y6178" t="str">
        <f t="shared" si="387"/>
        <v>Non-Senior</v>
      </c>
    </row>
    <row r="6179" spans="1:25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384"/>
        <v>0-12 Months</v>
      </c>
      <c r="W6179">
        <f t="shared" si="385"/>
        <v>1</v>
      </c>
      <c r="X6179">
        <f t="shared" si="386"/>
        <v>54.3</v>
      </c>
      <c r="Y6179" t="str">
        <f t="shared" si="387"/>
        <v>Non-Senior</v>
      </c>
    </row>
    <row r="6180" spans="1:25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7082</v>
      </c>
      <c r="J6180" t="s">
        <v>7084</v>
      </c>
      <c r="K6180" t="s">
        <v>46</v>
      </c>
      <c r="L6180" t="s">
        <v>7084</v>
      </c>
      <c r="M6180" t="s">
        <v>7084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384"/>
        <v>49-60 Months</v>
      </c>
      <c r="W6180">
        <f t="shared" si="385"/>
        <v>0</v>
      </c>
      <c r="X6180">
        <f t="shared" si="386"/>
        <v>0</v>
      </c>
      <c r="Y6180" t="str">
        <f t="shared" si="387"/>
        <v>Senior Citizen</v>
      </c>
    </row>
    <row r="6181" spans="1:25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384"/>
        <v>0-12 Months</v>
      </c>
      <c r="W6181">
        <f t="shared" si="385"/>
        <v>1</v>
      </c>
      <c r="X6181">
        <f t="shared" si="386"/>
        <v>95.15</v>
      </c>
      <c r="Y6181" t="str">
        <f t="shared" si="387"/>
        <v>Senior Citizen</v>
      </c>
    </row>
    <row r="6182" spans="1:25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384"/>
        <v>61-72 Months</v>
      </c>
      <c r="W6182">
        <f t="shared" si="385"/>
        <v>0</v>
      </c>
      <c r="X6182">
        <f t="shared" si="386"/>
        <v>0</v>
      </c>
      <c r="Y6182" t="str">
        <f t="shared" si="387"/>
        <v>Senior Citizen</v>
      </c>
    </row>
    <row r="6183" spans="1:25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384"/>
        <v>61-72 Months</v>
      </c>
      <c r="W6183">
        <f t="shared" si="385"/>
        <v>0</v>
      </c>
      <c r="X6183">
        <f t="shared" si="386"/>
        <v>0</v>
      </c>
      <c r="Y6183" t="str">
        <f t="shared" si="387"/>
        <v>Non-Senior</v>
      </c>
    </row>
    <row r="6184" spans="1:25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384"/>
        <v>61-72 Months</v>
      </c>
      <c r="W6184">
        <f t="shared" si="385"/>
        <v>0</v>
      </c>
      <c r="X6184">
        <f t="shared" si="386"/>
        <v>0</v>
      </c>
      <c r="Y6184" t="str">
        <f t="shared" si="387"/>
        <v>Non-Senior</v>
      </c>
    </row>
    <row r="6185" spans="1:25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384"/>
        <v>37-48 Months</v>
      </c>
      <c r="W6185">
        <f t="shared" si="385"/>
        <v>0</v>
      </c>
      <c r="X6185">
        <f t="shared" si="386"/>
        <v>0</v>
      </c>
      <c r="Y6185" t="str">
        <f t="shared" si="387"/>
        <v>Non-Senior</v>
      </c>
    </row>
    <row r="6186" spans="1:25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384"/>
        <v>37-48 Months</v>
      </c>
      <c r="W6186">
        <f t="shared" si="385"/>
        <v>0</v>
      </c>
      <c r="X6186">
        <f t="shared" si="386"/>
        <v>0</v>
      </c>
      <c r="Y6186" t="str">
        <f t="shared" si="387"/>
        <v>Non-Senior</v>
      </c>
    </row>
    <row r="6187" spans="1:25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384"/>
        <v>49-60 Months</v>
      </c>
      <c r="W6187">
        <f t="shared" si="385"/>
        <v>0</v>
      </c>
      <c r="X6187">
        <f t="shared" si="386"/>
        <v>0</v>
      </c>
      <c r="Y6187" t="str">
        <f t="shared" si="387"/>
        <v>Non-Senior</v>
      </c>
    </row>
    <row r="6188" spans="1:25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384"/>
        <v>37-48 Months</v>
      </c>
      <c r="W6188">
        <f t="shared" si="385"/>
        <v>1</v>
      </c>
      <c r="X6188">
        <f t="shared" si="386"/>
        <v>110.85</v>
      </c>
      <c r="Y6188" t="str">
        <f t="shared" si="387"/>
        <v>Non-Senior</v>
      </c>
    </row>
    <row r="6189" spans="1:25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7082</v>
      </c>
      <c r="J6189" t="s">
        <v>7084</v>
      </c>
      <c r="K6189" t="s">
        <v>46</v>
      </c>
      <c r="L6189" t="s">
        <v>7084</v>
      </c>
      <c r="M6189" t="s">
        <v>7084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384"/>
        <v>0-12 Months</v>
      </c>
      <c r="W6189">
        <f t="shared" si="385"/>
        <v>0</v>
      </c>
      <c r="X6189">
        <f t="shared" si="386"/>
        <v>0</v>
      </c>
      <c r="Y6189" t="str">
        <f t="shared" si="387"/>
        <v>Non-Senior</v>
      </c>
    </row>
    <row r="6190" spans="1:25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7082</v>
      </c>
      <c r="J6190" t="s">
        <v>7084</v>
      </c>
      <c r="K6190" t="s">
        <v>46</v>
      </c>
      <c r="L6190" t="s">
        <v>7084</v>
      </c>
      <c r="M6190" t="s">
        <v>7084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384"/>
        <v>13-24 Months</v>
      </c>
      <c r="W6190">
        <f t="shared" si="385"/>
        <v>0</v>
      </c>
      <c r="X6190">
        <f t="shared" si="386"/>
        <v>0</v>
      </c>
      <c r="Y6190" t="str">
        <f t="shared" si="387"/>
        <v>Non-Senior</v>
      </c>
    </row>
    <row r="6191" spans="1:25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384"/>
        <v>61-72 Months</v>
      </c>
      <c r="W6191">
        <f t="shared" si="385"/>
        <v>0</v>
      </c>
      <c r="X6191">
        <f t="shared" si="386"/>
        <v>0</v>
      </c>
      <c r="Y6191" t="str">
        <f t="shared" si="387"/>
        <v>Non-Senior</v>
      </c>
    </row>
    <row r="6192" spans="1:25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384"/>
        <v>0-12 Months</v>
      </c>
      <c r="W6192">
        <f t="shared" si="385"/>
        <v>1</v>
      </c>
      <c r="X6192">
        <f t="shared" si="386"/>
        <v>80.5</v>
      </c>
      <c r="Y6192" t="str">
        <f t="shared" si="387"/>
        <v>Non-Senior</v>
      </c>
    </row>
    <row r="6193" spans="1:25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384"/>
        <v>37-48 Months</v>
      </c>
      <c r="W6193">
        <f t="shared" si="385"/>
        <v>0</v>
      </c>
      <c r="X6193">
        <f t="shared" si="386"/>
        <v>0</v>
      </c>
      <c r="Y6193" t="str">
        <f t="shared" si="387"/>
        <v>Senior Citizen</v>
      </c>
    </row>
    <row r="6194" spans="1:25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384"/>
        <v>13-24 Months</v>
      </c>
      <c r="W6194">
        <f t="shared" si="385"/>
        <v>0</v>
      </c>
      <c r="X6194">
        <f t="shared" si="386"/>
        <v>0</v>
      </c>
      <c r="Y6194" t="str">
        <f t="shared" si="387"/>
        <v>Senior Citizen</v>
      </c>
    </row>
    <row r="6195" spans="1:25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384"/>
        <v>13-24 Months</v>
      </c>
      <c r="W6195">
        <f t="shared" si="385"/>
        <v>0</v>
      </c>
      <c r="X6195">
        <f t="shared" si="386"/>
        <v>0</v>
      </c>
      <c r="Y6195" t="str">
        <f t="shared" si="387"/>
        <v>Non-Senior</v>
      </c>
    </row>
    <row r="6196" spans="1:25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384"/>
        <v>61-72 Months</v>
      </c>
      <c r="W6196">
        <f t="shared" si="385"/>
        <v>0</v>
      </c>
      <c r="X6196">
        <f t="shared" si="386"/>
        <v>0</v>
      </c>
      <c r="Y6196" t="str">
        <f t="shared" si="387"/>
        <v>Non-Senior</v>
      </c>
    </row>
    <row r="6197" spans="1:25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384"/>
        <v>0-12 Months</v>
      </c>
      <c r="W6197">
        <f t="shared" si="385"/>
        <v>1</v>
      </c>
      <c r="X6197">
        <f t="shared" si="386"/>
        <v>72.2</v>
      </c>
      <c r="Y6197" t="str">
        <f t="shared" si="387"/>
        <v>Non-Senior</v>
      </c>
    </row>
    <row r="6198" spans="1:25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384"/>
        <v>61-72 Months</v>
      </c>
      <c r="W6198">
        <f t="shared" si="385"/>
        <v>0</v>
      </c>
      <c r="X6198">
        <f t="shared" si="386"/>
        <v>0</v>
      </c>
      <c r="Y6198" t="str">
        <f t="shared" si="387"/>
        <v>Non-Senior</v>
      </c>
    </row>
    <row r="6199" spans="1:25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384"/>
        <v>13-24 Months</v>
      </c>
      <c r="W6199">
        <f t="shared" si="385"/>
        <v>1</v>
      </c>
      <c r="X6199">
        <f t="shared" si="386"/>
        <v>51.5</v>
      </c>
      <c r="Y6199" t="str">
        <f t="shared" si="387"/>
        <v>Non-Senior</v>
      </c>
    </row>
    <row r="6200" spans="1:25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7082</v>
      </c>
      <c r="J6200" t="s">
        <v>7084</v>
      </c>
      <c r="K6200" t="s">
        <v>46</v>
      </c>
      <c r="L6200" t="s">
        <v>7084</v>
      </c>
      <c r="M6200" t="s">
        <v>7084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384"/>
        <v>25-36 Months</v>
      </c>
      <c r="W6200">
        <f t="shared" si="385"/>
        <v>0</v>
      </c>
      <c r="X6200">
        <f t="shared" si="386"/>
        <v>0</v>
      </c>
      <c r="Y6200" t="str">
        <f t="shared" si="387"/>
        <v>Non-Senior</v>
      </c>
    </row>
    <row r="6201" spans="1:25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384"/>
        <v>37-48 Months</v>
      </c>
      <c r="W6201">
        <f t="shared" si="385"/>
        <v>1</v>
      </c>
      <c r="X6201">
        <f t="shared" si="386"/>
        <v>89.55</v>
      </c>
      <c r="Y6201" t="str">
        <f t="shared" si="387"/>
        <v>Senior Citizen</v>
      </c>
    </row>
    <row r="6202" spans="1:25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7082</v>
      </c>
      <c r="J6202" t="s">
        <v>7084</v>
      </c>
      <c r="K6202" t="s">
        <v>46</v>
      </c>
      <c r="L6202" t="s">
        <v>7084</v>
      </c>
      <c r="M6202" t="s">
        <v>7084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384"/>
        <v>49-60 Months</v>
      </c>
      <c r="W6202">
        <f t="shared" si="385"/>
        <v>0</v>
      </c>
      <c r="X6202">
        <f t="shared" si="386"/>
        <v>0</v>
      </c>
      <c r="Y6202" t="str">
        <f t="shared" si="387"/>
        <v>Non-Senior</v>
      </c>
    </row>
    <row r="6203" spans="1:25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384"/>
        <v>0-12 Months</v>
      </c>
      <c r="W6203">
        <f t="shared" si="385"/>
        <v>0</v>
      </c>
      <c r="X6203">
        <f t="shared" si="386"/>
        <v>0</v>
      </c>
      <c r="Y6203" t="str">
        <f t="shared" si="387"/>
        <v>Senior Citizen</v>
      </c>
    </row>
    <row r="6204" spans="1:25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384"/>
        <v>13-24 Months</v>
      </c>
      <c r="W6204">
        <f t="shared" si="385"/>
        <v>1</v>
      </c>
      <c r="X6204">
        <f t="shared" si="386"/>
        <v>77.5</v>
      </c>
      <c r="Y6204" t="str">
        <f t="shared" si="387"/>
        <v>Non-Senior</v>
      </c>
    </row>
    <row r="6205" spans="1:25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384"/>
        <v>61-72 Months</v>
      </c>
      <c r="W6205">
        <f t="shared" si="385"/>
        <v>0</v>
      </c>
      <c r="X6205">
        <f t="shared" si="386"/>
        <v>0</v>
      </c>
      <c r="Y6205" t="str">
        <f t="shared" si="387"/>
        <v>Non-Senior</v>
      </c>
    </row>
    <row r="6206" spans="1:25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384"/>
        <v>13-24 Months</v>
      </c>
      <c r="W6206">
        <f t="shared" si="385"/>
        <v>0</v>
      </c>
      <c r="X6206">
        <f t="shared" si="386"/>
        <v>0</v>
      </c>
      <c r="Y6206" t="str">
        <f t="shared" si="387"/>
        <v>Non-Senior</v>
      </c>
    </row>
    <row r="6207" spans="1:25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384"/>
        <v>37-48 Months</v>
      </c>
      <c r="W6207">
        <f t="shared" si="385"/>
        <v>1</v>
      </c>
      <c r="X6207">
        <f t="shared" si="386"/>
        <v>95.25</v>
      </c>
      <c r="Y6207" t="str">
        <f t="shared" si="387"/>
        <v>Non-Senior</v>
      </c>
    </row>
    <row r="6208" spans="1:25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384"/>
        <v>49-60 Months</v>
      </c>
      <c r="W6208">
        <f t="shared" si="385"/>
        <v>0</v>
      </c>
      <c r="X6208">
        <f t="shared" si="386"/>
        <v>0</v>
      </c>
      <c r="Y6208" t="str">
        <f t="shared" si="387"/>
        <v>Non-Senior</v>
      </c>
    </row>
    <row r="6209" spans="1:25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384"/>
        <v>37-48 Months</v>
      </c>
      <c r="W6209">
        <f t="shared" si="385"/>
        <v>1</v>
      </c>
      <c r="X6209">
        <f t="shared" si="386"/>
        <v>85</v>
      </c>
      <c r="Y6209" t="str">
        <f t="shared" si="387"/>
        <v>Senior Citizen</v>
      </c>
    </row>
    <row r="6210" spans="1:25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si="384"/>
        <v>61-72 Months</v>
      </c>
      <c r="W6210">
        <f t="shared" si="385"/>
        <v>0</v>
      </c>
      <c r="X6210">
        <f t="shared" si="386"/>
        <v>0</v>
      </c>
      <c r="Y6210" t="str">
        <f t="shared" si="387"/>
        <v>Non-Senior</v>
      </c>
    </row>
    <row r="6211" spans="1:25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ref="V6211:V6274" si="388">IF(F6211&lt;=12,"0-12 Months",IF(F6211&lt;=24,"13-24 Months",IF(F6211&lt;=36,"25-36 Months",IF(F6211&lt;=48,"37-48 Months",IF(F6211&lt;=60,"49-60 Months","61-72 Months")))))</f>
        <v>25-36 Months</v>
      </c>
      <c r="W6211">
        <f t="shared" ref="W6211:W6274" si="389">IF(U6211="Yes",1,0)</f>
        <v>0</v>
      </c>
      <c r="X6211">
        <f t="shared" ref="X6211:X6274" si="390">IF(U6211="Yes",S6211,0)</f>
        <v>0</v>
      </c>
      <c r="Y6211" t="str">
        <f t="shared" ref="Y6211:Y6274" si="391">IF(C6211=1,"Senior Citizen","Non-Senior")</f>
        <v>Non-Senior</v>
      </c>
    </row>
    <row r="6212" spans="1:25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388"/>
        <v>25-36 Months</v>
      </c>
      <c r="W6212">
        <f t="shared" si="389"/>
        <v>0</v>
      </c>
      <c r="X6212">
        <f t="shared" si="390"/>
        <v>0</v>
      </c>
      <c r="Y6212" t="str">
        <f t="shared" si="391"/>
        <v>Non-Senior</v>
      </c>
    </row>
    <row r="6213" spans="1:25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388"/>
        <v>0-12 Months</v>
      </c>
      <c r="W6213">
        <f t="shared" si="389"/>
        <v>1</v>
      </c>
      <c r="X6213">
        <f t="shared" si="390"/>
        <v>85.75</v>
      </c>
      <c r="Y6213" t="str">
        <f t="shared" si="391"/>
        <v>Non-Senior</v>
      </c>
    </row>
    <row r="6214" spans="1:25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388"/>
        <v>13-24 Months</v>
      </c>
      <c r="W6214">
        <f t="shared" si="389"/>
        <v>0</v>
      </c>
      <c r="X6214">
        <f t="shared" si="390"/>
        <v>0</v>
      </c>
      <c r="Y6214" t="str">
        <f t="shared" si="391"/>
        <v>Non-Senior</v>
      </c>
    </row>
    <row r="6215" spans="1:25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7082</v>
      </c>
      <c r="J6215" t="s">
        <v>7084</v>
      </c>
      <c r="K6215" t="s">
        <v>46</v>
      </c>
      <c r="L6215" t="s">
        <v>7084</v>
      </c>
      <c r="M6215" t="s">
        <v>7084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388"/>
        <v>13-24 Months</v>
      </c>
      <c r="W6215">
        <f t="shared" si="389"/>
        <v>0</v>
      </c>
      <c r="X6215">
        <f t="shared" si="390"/>
        <v>0</v>
      </c>
      <c r="Y6215" t="str">
        <f t="shared" si="391"/>
        <v>Non-Senior</v>
      </c>
    </row>
    <row r="6216" spans="1:25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7082</v>
      </c>
      <c r="J6216" t="s">
        <v>7084</v>
      </c>
      <c r="K6216" t="s">
        <v>46</v>
      </c>
      <c r="L6216" t="s">
        <v>7084</v>
      </c>
      <c r="M6216" t="s">
        <v>7084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388"/>
        <v>37-48 Months</v>
      </c>
      <c r="W6216">
        <f t="shared" si="389"/>
        <v>0</v>
      </c>
      <c r="X6216">
        <f t="shared" si="390"/>
        <v>0</v>
      </c>
      <c r="Y6216" t="str">
        <f t="shared" si="391"/>
        <v>Non-Senior</v>
      </c>
    </row>
    <row r="6217" spans="1:25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388"/>
        <v>0-12 Months</v>
      </c>
      <c r="W6217">
        <f t="shared" si="389"/>
        <v>1</v>
      </c>
      <c r="X6217">
        <f t="shared" si="390"/>
        <v>98.25</v>
      </c>
      <c r="Y6217" t="str">
        <f t="shared" si="391"/>
        <v>Senior Citizen</v>
      </c>
    </row>
    <row r="6218" spans="1:25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388"/>
        <v>49-60 Months</v>
      </c>
      <c r="W6218">
        <f t="shared" si="389"/>
        <v>0</v>
      </c>
      <c r="X6218">
        <f t="shared" si="390"/>
        <v>0</v>
      </c>
      <c r="Y6218" t="str">
        <f t="shared" si="391"/>
        <v>Non-Senior</v>
      </c>
    </row>
    <row r="6219" spans="1:25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388"/>
        <v>61-72 Months</v>
      </c>
      <c r="W6219">
        <f t="shared" si="389"/>
        <v>0</v>
      </c>
      <c r="X6219">
        <f t="shared" si="390"/>
        <v>0</v>
      </c>
      <c r="Y6219" t="str">
        <f t="shared" si="391"/>
        <v>Non-Senior</v>
      </c>
    </row>
    <row r="6220" spans="1:25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388"/>
        <v>61-72 Months</v>
      </c>
      <c r="W6220">
        <f t="shared" si="389"/>
        <v>0</v>
      </c>
      <c r="X6220">
        <f t="shared" si="390"/>
        <v>0</v>
      </c>
      <c r="Y6220" t="str">
        <f t="shared" si="391"/>
        <v>Non-Senior</v>
      </c>
    </row>
    <row r="6221" spans="1:25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388"/>
        <v>0-12 Months</v>
      </c>
      <c r="W6221">
        <f t="shared" si="389"/>
        <v>1</v>
      </c>
      <c r="X6221">
        <f t="shared" si="390"/>
        <v>25.7</v>
      </c>
      <c r="Y6221" t="str">
        <f t="shared" si="391"/>
        <v>Senior Citizen</v>
      </c>
    </row>
    <row r="6222" spans="1:25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388"/>
        <v>0-12 Months</v>
      </c>
      <c r="W6222">
        <f t="shared" si="389"/>
        <v>0</v>
      </c>
      <c r="X6222">
        <f t="shared" si="390"/>
        <v>0</v>
      </c>
      <c r="Y6222" t="str">
        <f t="shared" si="391"/>
        <v>Non-Senior</v>
      </c>
    </row>
    <row r="6223" spans="1:25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7082</v>
      </c>
      <c r="J6223" t="s">
        <v>7084</v>
      </c>
      <c r="K6223" t="s">
        <v>46</v>
      </c>
      <c r="L6223" t="s">
        <v>7084</v>
      </c>
      <c r="M6223" t="s">
        <v>7084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388"/>
        <v>25-36 Months</v>
      </c>
      <c r="W6223">
        <f t="shared" si="389"/>
        <v>0</v>
      </c>
      <c r="X6223">
        <f t="shared" si="390"/>
        <v>0</v>
      </c>
      <c r="Y6223" t="str">
        <f t="shared" si="391"/>
        <v>Non-Senior</v>
      </c>
    </row>
    <row r="6224" spans="1:25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388"/>
        <v>61-72 Months</v>
      </c>
      <c r="W6224">
        <f t="shared" si="389"/>
        <v>0</v>
      </c>
      <c r="X6224">
        <f t="shared" si="390"/>
        <v>0</v>
      </c>
      <c r="Y6224" t="str">
        <f t="shared" si="391"/>
        <v>Non-Senior</v>
      </c>
    </row>
    <row r="6225" spans="1:25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388"/>
        <v>0-12 Months</v>
      </c>
      <c r="W6225">
        <f t="shared" si="389"/>
        <v>1</v>
      </c>
      <c r="X6225">
        <f t="shared" si="390"/>
        <v>69</v>
      </c>
      <c r="Y6225" t="str">
        <f t="shared" si="391"/>
        <v>Non-Senior</v>
      </c>
    </row>
    <row r="6226" spans="1:25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388"/>
        <v>49-60 Months</v>
      </c>
      <c r="W6226">
        <f t="shared" si="389"/>
        <v>0</v>
      </c>
      <c r="X6226">
        <f t="shared" si="390"/>
        <v>0</v>
      </c>
      <c r="Y6226" t="str">
        <f t="shared" si="391"/>
        <v>Non-Senior</v>
      </c>
    </row>
    <row r="6227" spans="1:25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388"/>
        <v>61-72 Months</v>
      </c>
      <c r="W6227">
        <f t="shared" si="389"/>
        <v>0</v>
      </c>
      <c r="X6227">
        <f t="shared" si="390"/>
        <v>0</v>
      </c>
      <c r="Y6227" t="str">
        <f t="shared" si="391"/>
        <v>Non-Senior</v>
      </c>
    </row>
    <row r="6228" spans="1:25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7082</v>
      </c>
      <c r="J6228" t="s">
        <v>7084</v>
      </c>
      <c r="K6228" t="s">
        <v>46</v>
      </c>
      <c r="L6228" t="s">
        <v>7084</v>
      </c>
      <c r="M6228" t="s">
        <v>7084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388"/>
        <v>61-72 Months</v>
      </c>
      <c r="W6228">
        <f t="shared" si="389"/>
        <v>0</v>
      </c>
      <c r="X6228">
        <f t="shared" si="390"/>
        <v>0</v>
      </c>
      <c r="Y6228" t="str">
        <f t="shared" si="391"/>
        <v>Non-Senior</v>
      </c>
    </row>
    <row r="6229" spans="1:25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388"/>
        <v>0-12 Months</v>
      </c>
      <c r="W6229">
        <f t="shared" si="389"/>
        <v>1</v>
      </c>
      <c r="X6229">
        <f t="shared" si="390"/>
        <v>46.05</v>
      </c>
      <c r="Y6229" t="str">
        <f t="shared" si="391"/>
        <v>Non-Senior</v>
      </c>
    </row>
    <row r="6230" spans="1:25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388"/>
        <v>61-72 Months</v>
      </c>
      <c r="W6230">
        <f t="shared" si="389"/>
        <v>0</v>
      </c>
      <c r="X6230">
        <f t="shared" si="390"/>
        <v>0</v>
      </c>
      <c r="Y6230" t="str">
        <f t="shared" si="391"/>
        <v>Non-Senior</v>
      </c>
    </row>
    <row r="6231" spans="1:25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388"/>
        <v>61-72 Months</v>
      </c>
      <c r="W6231">
        <f t="shared" si="389"/>
        <v>0</v>
      </c>
      <c r="X6231">
        <f t="shared" si="390"/>
        <v>0</v>
      </c>
      <c r="Y6231" t="str">
        <f t="shared" si="391"/>
        <v>Non-Senior</v>
      </c>
    </row>
    <row r="6232" spans="1:25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7082</v>
      </c>
      <c r="J6232" t="s">
        <v>7084</v>
      </c>
      <c r="K6232" t="s">
        <v>46</v>
      </c>
      <c r="L6232" t="s">
        <v>7084</v>
      </c>
      <c r="M6232" t="s">
        <v>7084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388"/>
        <v>0-12 Months</v>
      </c>
      <c r="W6232">
        <f t="shared" si="389"/>
        <v>0</v>
      </c>
      <c r="X6232">
        <f t="shared" si="390"/>
        <v>0</v>
      </c>
      <c r="Y6232" t="str">
        <f t="shared" si="391"/>
        <v>Non-Senior</v>
      </c>
    </row>
    <row r="6233" spans="1:25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388"/>
        <v>0-12 Months</v>
      </c>
      <c r="W6233">
        <f t="shared" si="389"/>
        <v>1</v>
      </c>
      <c r="X6233">
        <f t="shared" si="390"/>
        <v>76.400000000000006</v>
      </c>
      <c r="Y6233" t="str">
        <f t="shared" si="391"/>
        <v>Senior Citizen</v>
      </c>
    </row>
    <row r="6234" spans="1:25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388"/>
        <v>0-12 Months</v>
      </c>
      <c r="W6234">
        <f t="shared" si="389"/>
        <v>1</v>
      </c>
      <c r="X6234">
        <f t="shared" si="390"/>
        <v>100.5</v>
      </c>
      <c r="Y6234" t="str">
        <f t="shared" si="391"/>
        <v>Non-Senior</v>
      </c>
    </row>
    <row r="6235" spans="1:25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7082</v>
      </c>
      <c r="J6235" t="s">
        <v>7084</v>
      </c>
      <c r="K6235" t="s">
        <v>46</v>
      </c>
      <c r="L6235" t="s">
        <v>7084</v>
      </c>
      <c r="M6235" t="s">
        <v>7084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388"/>
        <v>0-12 Months</v>
      </c>
      <c r="W6235">
        <f t="shared" si="389"/>
        <v>0</v>
      </c>
      <c r="X6235">
        <f t="shared" si="390"/>
        <v>0</v>
      </c>
      <c r="Y6235" t="str">
        <f t="shared" si="391"/>
        <v>Non-Senior</v>
      </c>
    </row>
    <row r="6236" spans="1:25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7082</v>
      </c>
      <c r="J6236" t="s">
        <v>7084</v>
      </c>
      <c r="K6236" t="s">
        <v>46</v>
      </c>
      <c r="L6236" t="s">
        <v>7084</v>
      </c>
      <c r="M6236" t="s">
        <v>7084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388"/>
        <v>49-60 Months</v>
      </c>
      <c r="W6236">
        <f t="shared" si="389"/>
        <v>0</v>
      </c>
      <c r="X6236">
        <f t="shared" si="390"/>
        <v>0</v>
      </c>
      <c r="Y6236" t="str">
        <f t="shared" si="391"/>
        <v>Non-Senior</v>
      </c>
    </row>
    <row r="6237" spans="1:25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388"/>
        <v>13-24 Months</v>
      </c>
      <c r="W6237">
        <f t="shared" si="389"/>
        <v>1</v>
      </c>
      <c r="X6237">
        <f t="shared" si="390"/>
        <v>40.049999999999997</v>
      </c>
      <c r="Y6237" t="str">
        <f t="shared" si="391"/>
        <v>Senior Citizen</v>
      </c>
    </row>
    <row r="6238" spans="1:25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388"/>
        <v>25-36 Months</v>
      </c>
      <c r="W6238">
        <f t="shared" si="389"/>
        <v>0</v>
      </c>
      <c r="X6238">
        <f t="shared" si="390"/>
        <v>0</v>
      </c>
      <c r="Y6238" t="str">
        <f t="shared" si="391"/>
        <v>Senior Citizen</v>
      </c>
    </row>
    <row r="6239" spans="1:25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388"/>
        <v>0-12 Months</v>
      </c>
      <c r="W6239">
        <f t="shared" si="389"/>
        <v>1</v>
      </c>
      <c r="X6239">
        <f t="shared" si="390"/>
        <v>69.95</v>
      </c>
      <c r="Y6239" t="str">
        <f t="shared" si="391"/>
        <v>Non-Senior</v>
      </c>
    </row>
    <row r="6240" spans="1:25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388"/>
        <v>49-60 Months</v>
      </c>
      <c r="W6240">
        <f t="shared" si="389"/>
        <v>0</v>
      </c>
      <c r="X6240">
        <f t="shared" si="390"/>
        <v>0</v>
      </c>
      <c r="Y6240" t="str">
        <f t="shared" si="391"/>
        <v>Senior Citizen</v>
      </c>
    </row>
    <row r="6241" spans="1:25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388"/>
        <v>61-72 Months</v>
      </c>
      <c r="W6241">
        <f t="shared" si="389"/>
        <v>0</v>
      </c>
      <c r="X6241">
        <f t="shared" si="390"/>
        <v>0</v>
      </c>
      <c r="Y6241" t="str">
        <f t="shared" si="391"/>
        <v>Non-Senior</v>
      </c>
    </row>
    <row r="6242" spans="1:25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388"/>
        <v>0-12 Months</v>
      </c>
      <c r="W6242">
        <f t="shared" si="389"/>
        <v>1</v>
      </c>
      <c r="X6242">
        <f t="shared" si="390"/>
        <v>93.3</v>
      </c>
      <c r="Y6242" t="str">
        <f t="shared" si="391"/>
        <v>Non-Senior</v>
      </c>
    </row>
    <row r="6243" spans="1:25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388"/>
        <v>0-12 Months</v>
      </c>
      <c r="W6243">
        <f t="shared" si="389"/>
        <v>1</v>
      </c>
      <c r="X6243">
        <f t="shared" si="390"/>
        <v>49.15</v>
      </c>
      <c r="Y6243" t="str">
        <f t="shared" si="391"/>
        <v>Non-Senior</v>
      </c>
    </row>
    <row r="6244" spans="1:25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388"/>
        <v>61-72 Months</v>
      </c>
      <c r="W6244">
        <f t="shared" si="389"/>
        <v>0</v>
      </c>
      <c r="X6244">
        <f t="shared" si="390"/>
        <v>0</v>
      </c>
      <c r="Y6244" t="str">
        <f t="shared" si="391"/>
        <v>Non-Senior</v>
      </c>
    </row>
    <row r="6245" spans="1:25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388"/>
        <v>61-72 Months</v>
      </c>
      <c r="W6245">
        <f t="shared" si="389"/>
        <v>0</v>
      </c>
      <c r="X6245">
        <f t="shared" si="390"/>
        <v>0</v>
      </c>
      <c r="Y6245" t="str">
        <f t="shared" si="391"/>
        <v>Non-Senior</v>
      </c>
    </row>
    <row r="6246" spans="1:25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388"/>
        <v>49-60 Months</v>
      </c>
      <c r="W6246">
        <f t="shared" si="389"/>
        <v>0</v>
      </c>
      <c r="X6246">
        <f t="shared" si="390"/>
        <v>0</v>
      </c>
      <c r="Y6246" t="str">
        <f t="shared" si="391"/>
        <v>Senior Citizen</v>
      </c>
    </row>
    <row r="6247" spans="1:25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388"/>
        <v>49-60 Months</v>
      </c>
      <c r="W6247">
        <f t="shared" si="389"/>
        <v>0</v>
      </c>
      <c r="X6247">
        <f t="shared" si="390"/>
        <v>0</v>
      </c>
      <c r="Y6247" t="str">
        <f t="shared" si="391"/>
        <v>Non-Senior</v>
      </c>
    </row>
    <row r="6248" spans="1:25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388"/>
        <v>49-60 Months</v>
      </c>
      <c r="W6248">
        <f t="shared" si="389"/>
        <v>0</v>
      </c>
      <c r="X6248">
        <f t="shared" si="390"/>
        <v>0</v>
      </c>
      <c r="Y6248" t="str">
        <f t="shared" si="391"/>
        <v>Non-Senior</v>
      </c>
    </row>
    <row r="6249" spans="1:25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388"/>
        <v>49-60 Months</v>
      </c>
      <c r="W6249">
        <f t="shared" si="389"/>
        <v>0</v>
      </c>
      <c r="X6249">
        <f t="shared" si="390"/>
        <v>0</v>
      </c>
      <c r="Y6249" t="str">
        <f t="shared" si="391"/>
        <v>Non-Senior</v>
      </c>
    </row>
    <row r="6250" spans="1:25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388"/>
        <v>49-60 Months</v>
      </c>
      <c r="W6250">
        <f t="shared" si="389"/>
        <v>0</v>
      </c>
      <c r="X6250">
        <f t="shared" si="390"/>
        <v>0</v>
      </c>
      <c r="Y6250" t="str">
        <f t="shared" si="391"/>
        <v>Non-Senior</v>
      </c>
    </row>
    <row r="6251" spans="1:25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388"/>
        <v>0-12 Months</v>
      </c>
      <c r="W6251">
        <f t="shared" si="389"/>
        <v>0</v>
      </c>
      <c r="X6251">
        <f t="shared" si="390"/>
        <v>0</v>
      </c>
      <c r="Y6251" t="str">
        <f t="shared" si="391"/>
        <v>Non-Senior</v>
      </c>
    </row>
    <row r="6252" spans="1:25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388"/>
        <v>61-72 Months</v>
      </c>
      <c r="W6252">
        <f t="shared" si="389"/>
        <v>0</v>
      </c>
      <c r="X6252">
        <f t="shared" si="390"/>
        <v>0</v>
      </c>
      <c r="Y6252" t="str">
        <f t="shared" si="391"/>
        <v>Non-Senior</v>
      </c>
    </row>
    <row r="6253" spans="1:25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7082</v>
      </c>
      <c r="J6253" t="s">
        <v>7084</v>
      </c>
      <c r="K6253" t="s">
        <v>46</v>
      </c>
      <c r="L6253" t="s">
        <v>7084</v>
      </c>
      <c r="M6253" t="s">
        <v>7084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388"/>
        <v>0-12 Months</v>
      </c>
      <c r="W6253">
        <f t="shared" si="389"/>
        <v>0</v>
      </c>
      <c r="X6253">
        <f t="shared" si="390"/>
        <v>0</v>
      </c>
      <c r="Y6253" t="str">
        <f t="shared" si="391"/>
        <v>Non-Senior</v>
      </c>
    </row>
    <row r="6254" spans="1:25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388"/>
        <v>49-60 Months</v>
      </c>
      <c r="W6254">
        <f t="shared" si="389"/>
        <v>0</v>
      </c>
      <c r="X6254">
        <f t="shared" si="390"/>
        <v>0</v>
      </c>
      <c r="Y6254" t="str">
        <f t="shared" si="391"/>
        <v>Non-Senior</v>
      </c>
    </row>
    <row r="6255" spans="1:25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388"/>
        <v>49-60 Months</v>
      </c>
      <c r="W6255">
        <f t="shared" si="389"/>
        <v>0</v>
      </c>
      <c r="X6255">
        <f t="shared" si="390"/>
        <v>0</v>
      </c>
      <c r="Y6255" t="str">
        <f t="shared" si="391"/>
        <v>Non-Senior</v>
      </c>
    </row>
    <row r="6256" spans="1:25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388"/>
        <v>49-60 Months</v>
      </c>
      <c r="W6256">
        <f t="shared" si="389"/>
        <v>0</v>
      </c>
      <c r="X6256">
        <f t="shared" si="390"/>
        <v>0</v>
      </c>
      <c r="Y6256" t="str">
        <f t="shared" si="391"/>
        <v>Non-Senior</v>
      </c>
    </row>
    <row r="6257" spans="1:25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388"/>
        <v>61-72 Months</v>
      </c>
      <c r="W6257">
        <f t="shared" si="389"/>
        <v>0</v>
      </c>
      <c r="X6257">
        <f t="shared" si="390"/>
        <v>0</v>
      </c>
      <c r="Y6257" t="str">
        <f t="shared" si="391"/>
        <v>Senior Citizen</v>
      </c>
    </row>
    <row r="6258" spans="1:25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388"/>
        <v>0-12 Months</v>
      </c>
      <c r="W6258">
        <f t="shared" si="389"/>
        <v>1</v>
      </c>
      <c r="X6258">
        <f t="shared" si="390"/>
        <v>35.049999999999997</v>
      </c>
      <c r="Y6258" t="str">
        <f t="shared" si="391"/>
        <v>Non-Senior</v>
      </c>
    </row>
    <row r="6259" spans="1:25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388"/>
        <v>0-12 Months</v>
      </c>
      <c r="W6259">
        <f t="shared" si="389"/>
        <v>1</v>
      </c>
      <c r="X6259">
        <f t="shared" si="390"/>
        <v>73</v>
      </c>
      <c r="Y6259" t="str">
        <f t="shared" si="391"/>
        <v>Senior Citizen</v>
      </c>
    </row>
    <row r="6260" spans="1:25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7082</v>
      </c>
      <c r="J6260" t="s">
        <v>7084</v>
      </c>
      <c r="K6260" t="s">
        <v>46</v>
      </c>
      <c r="L6260" t="s">
        <v>7084</v>
      </c>
      <c r="M6260" t="s">
        <v>7084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388"/>
        <v>0-12 Months</v>
      </c>
      <c r="W6260">
        <f t="shared" si="389"/>
        <v>0</v>
      </c>
      <c r="X6260">
        <f t="shared" si="390"/>
        <v>0</v>
      </c>
      <c r="Y6260" t="str">
        <f t="shared" si="391"/>
        <v>Non-Senior</v>
      </c>
    </row>
    <row r="6261" spans="1:25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388"/>
        <v>49-60 Months</v>
      </c>
      <c r="W6261">
        <f t="shared" si="389"/>
        <v>0</v>
      </c>
      <c r="X6261">
        <f t="shared" si="390"/>
        <v>0</v>
      </c>
      <c r="Y6261" t="str">
        <f t="shared" si="391"/>
        <v>Non-Senior</v>
      </c>
    </row>
    <row r="6262" spans="1:25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388"/>
        <v>13-24 Months</v>
      </c>
      <c r="W6262">
        <f t="shared" si="389"/>
        <v>0</v>
      </c>
      <c r="X6262">
        <f t="shared" si="390"/>
        <v>0</v>
      </c>
      <c r="Y6262" t="str">
        <f t="shared" si="391"/>
        <v>Non-Senior</v>
      </c>
    </row>
    <row r="6263" spans="1:25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7082</v>
      </c>
      <c r="J6263" t="s">
        <v>7084</v>
      </c>
      <c r="K6263" t="s">
        <v>46</v>
      </c>
      <c r="L6263" t="s">
        <v>7084</v>
      </c>
      <c r="M6263" t="s">
        <v>7084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388"/>
        <v>61-72 Months</v>
      </c>
      <c r="W6263">
        <f t="shared" si="389"/>
        <v>0</v>
      </c>
      <c r="X6263">
        <f t="shared" si="390"/>
        <v>0</v>
      </c>
      <c r="Y6263" t="str">
        <f t="shared" si="391"/>
        <v>Non-Senior</v>
      </c>
    </row>
    <row r="6264" spans="1:25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388"/>
        <v>37-48 Months</v>
      </c>
      <c r="W6264">
        <f t="shared" si="389"/>
        <v>0</v>
      </c>
      <c r="X6264">
        <f t="shared" si="390"/>
        <v>0</v>
      </c>
      <c r="Y6264" t="str">
        <f t="shared" si="391"/>
        <v>Non-Senior</v>
      </c>
    </row>
    <row r="6265" spans="1:25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388"/>
        <v>25-36 Months</v>
      </c>
      <c r="W6265">
        <f t="shared" si="389"/>
        <v>0</v>
      </c>
      <c r="X6265">
        <f t="shared" si="390"/>
        <v>0</v>
      </c>
      <c r="Y6265" t="str">
        <f t="shared" si="391"/>
        <v>Non-Senior</v>
      </c>
    </row>
    <row r="6266" spans="1:25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388"/>
        <v>37-48 Months</v>
      </c>
      <c r="W6266">
        <f t="shared" si="389"/>
        <v>0</v>
      </c>
      <c r="X6266">
        <f t="shared" si="390"/>
        <v>0</v>
      </c>
      <c r="Y6266" t="str">
        <f t="shared" si="391"/>
        <v>Non-Senior</v>
      </c>
    </row>
    <row r="6267" spans="1:25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388"/>
        <v>0-12 Months</v>
      </c>
      <c r="W6267">
        <f t="shared" si="389"/>
        <v>0</v>
      </c>
      <c r="X6267">
        <f t="shared" si="390"/>
        <v>0</v>
      </c>
      <c r="Y6267" t="str">
        <f t="shared" si="391"/>
        <v>Non-Senior</v>
      </c>
    </row>
    <row r="6268" spans="1:25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388"/>
        <v>25-36 Months</v>
      </c>
      <c r="W6268">
        <f t="shared" si="389"/>
        <v>1</v>
      </c>
      <c r="X6268">
        <f t="shared" si="390"/>
        <v>83.85</v>
      </c>
      <c r="Y6268" t="str">
        <f t="shared" si="391"/>
        <v>Senior Citizen</v>
      </c>
    </row>
    <row r="6269" spans="1:25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388"/>
        <v>0-12 Months</v>
      </c>
      <c r="W6269">
        <f t="shared" si="389"/>
        <v>1</v>
      </c>
      <c r="X6269">
        <f t="shared" si="390"/>
        <v>70.099999999999994</v>
      </c>
      <c r="Y6269" t="str">
        <f t="shared" si="391"/>
        <v>Non-Senior</v>
      </c>
    </row>
    <row r="6270" spans="1:25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7082</v>
      </c>
      <c r="J6270" t="s">
        <v>7084</v>
      </c>
      <c r="K6270" t="s">
        <v>46</v>
      </c>
      <c r="L6270" t="s">
        <v>7084</v>
      </c>
      <c r="M6270" t="s">
        <v>7084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388"/>
        <v>13-24 Months</v>
      </c>
      <c r="W6270">
        <f t="shared" si="389"/>
        <v>0</v>
      </c>
      <c r="X6270">
        <f t="shared" si="390"/>
        <v>0</v>
      </c>
      <c r="Y6270" t="str">
        <f t="shared" si="391"/>
        <v>Non-Senior</v>
      </c>
    </row>
    <row r="6271" spans="1:25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388"/>
        <v>25-36 Months</v>
      </c>
      <c r="W6271">
        <f t="shared" si="389"/>
        <v>0</v>
      </c>
      <c r="X6271">
        <f t="shared" si="390"/>
        <v>0</v>
      </c>
      <c r="Y6271" t="str">
        <f t="shared" si="391"/>
        <v>Non-Senior</v>
      </c>
    </row>
    <row r="6272" spans="1:25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7082</v>
      </c>
      <c r="J6272" t="s">
        <v>7084</v>
      </c>
      <c r="K6272" t="s">
        <v>46</v>
      </c>
      <c r="L6272" t="s">
        <v>7084</v>
      </c>
      <c r="M6272" t="s">
        <v>7084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388"/>
        <v>25-36 Months</v>
      </c>
      <c r="W6272">
        <f t="shared" si="389"/>
        <v>0</v>
      </c>
      <c r="X6272">
        <f t="shared" si="390"/>
        <v>0</v>
      </c>
      <c r="Y6272" t="str">
        <f t="shared" si="391"/>
        <v>Non-Senior</v>
      </c>
    </row>
    <row r="6273" spans="1:25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388"/>
        <v>25-36 Months</v>
      </c>
      <c r="W6273">
        <f t="shared" si="389"/>
        <v>0</v>
      </c>
      <c r="X6273">
        <f t="shared" si="390"/>
        <v>0</v>
      </c>
      <c r="Y6273" t="str">
        <f t="shared" si="391"/>
        <v>Senior Citizen</v>
      </c>
    </row>
    <row r="6274" spans="1:25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si="388"/>
        <v>49-60 Months</v>
      </c>
      <c r="W6274">
        <f t="shared" si="389"/>
        <v>0</v>
      </c>
      <c r="X6274">
        <f t="shared" si="390"/>
        <v>0</v>
      </c>
      <c r="Y6274" t="str">
        <f t="shared" si="391"/>
        <v>Non-Senior</v>
      </c>
    </row>
    <row r="6275" spans="1:25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ref="V6275:V6338" si="392">IF(F6275&lt;=12,"0-12 Months",IF(F6275&lt;=24,"13-24 Months",IF(F6275&lt;=36,"25-36 Months",IF(F6275&lt;=48,"37-48 Months",IF(F6275&lt;=60,"49-60 Months","61-72 Months")))))</f>
        <v>0-12 Months</v>
      </c>
      <c r="W6275">
        <f t="shared" ref="W6275:W6338" si="393">IF(U6275="Yes",1,0)</f>
        <v>1</v>
      </c>
      <c r="X6275">
        <f t="shared" ref="X6275:X6338" si="394">IF(U6275="Yes",S6275,0)</f>
        <v>70.650000000000006</v>
      </c>
      <c r="Y6275" t="str">
        <f t="shared" ref="Y6275:Y6338" si="395">IF(C6275=1,"Senior Citizen","Non-Senior")</f>
        <v>Senior Citizen</v>
      </c>
    </row>
    <row r="6276" spans="1:25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392"/>
        <v>49-60 Months</v>
      </c>
      <c r="W6276">
        <f t="shared" si="393"/>
        <v>0</v>
      </c>
      <c r="X6276">
        <f t="shared" si="394"/>
        <v>0</v>
      </c>
      <c r="Y6276" t="str">
        <f t="shared" si="395"/>
        <v>Non-Senior</v>
      </c>
    </row>
    <row r="6277" spans="1:25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392"/>
        <v>61-72 Months</v>
      </c>
      <c r="W6277">
        <f t="shared" si="393"/>
        <v>0</v>
      </c>
      <c r="X6277">
        <f t="shared" si="394"/>
        <v>0</v>
      </c>
      <c r="Y6277" t="str">
        <f t="shared" si="395"/>
        <v>Non-Senior</v>
      </c>
    </row>
    <row r="6278" spans="1:25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7082</v>
      </c>
      <c r="J6278" t="s">
        <v>7084</v>
      </c>
      <c r="K6278" t="s">
        <v>46</v>
      </c>
      <c r="L6278" t="s">
        <v>7084</v>
      </c>
      <c r="M6278" t="s">
        <v>7084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392"/>
        <v>13-24 Months</v>
      </c>
      <c r="W6278">
        <f t="shared" si="393"/>
        <v>0</v>
      </c>
      <c r="X6278">
        <f t="shared" si="394"/>
        <v>0</v>
      </c>
      <c r="Y6278" t="str">
        <f t="shared" si="395"/>
        <v>Non-Senior</v>
      </c>
    </row>
    <row r="6279" spans="1:25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7082</v>
      </c>
      <c r="J6279" t="s">
        <v>7084</v>
      </c>
      <c r="K6279" t="s">
        <v>46</v>
      </c>
      <c r="L6279" t="s">
        <v>7084</v>
      </c>
      <c r="M6279" t="s">
        <v>7084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392"/>
        <v>0-12 Months</v>
      </c>
      <c r="W6279">
        <f t="shared" si="393"/>
        <v>1</v>
      </c>
      <c r="X6279">
        <f t="shared" si="394"/>
        <v>20.350000000000001</v>
      </c>
      <c r="Y6279" t="str">
        <f t="shared" si="395"/>
        <v>Non-Senior</v>
      </c>
    </row>
    <row r="6280" spans="1:25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392"/>
        <v>61-72 Months</v>
      </c>
      <c r="W6280">
        <f t="shared" si="393"/>
        <v>0</v>
      </c>
      <c r="X6280">
        <f t="shared" si="394"/>
        <v>0</v>
      </c>
      <c r="Y6280" t="str">
        <f t="shared" si="395"/>
        <v>Non-Senior</v>
      </c>
    </row>
    <row r="6281" spans="1:25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392"/>
        <v>13-24 Months</v>
      </c>
      <c r="W6281">
        <f t="shared" si="393"/>
        <v>0</v>
      </c>
      <c r="X6281">
        <f t="shared" si="394"/>
        <v>0</v>
      </c>
      <c r="Y6281" t="str">
        <f t="shared" si="395"/>
        <v>Non-Senior</v>
      </c>
    </row>
    <row r="6282" spans="1:25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392"/>
        <v>13-24 Months</v>
      </c>
      <c r="W6282">
        <f t="shared" si="393"/>
        <v>0</v>
      </c>
      <c r="X6282">
        <f t="shared" si="394"/>
        <v>0</v>
      </c>
      <c r="Y6282" t="str">
        <f t="shared" si="395"/>
        <v>Non-Senior</v>
      </c>
    </row>
    <row r="6283" spans="1:25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7082</v>
      </c>
      <c r="J6283" t="s">
        <v>7084</v>
      </c>
      <c r="K6283" t="s">
        <v>46</v>
      </c>
      <c r="L6283" t="s">
        <v>7084</v>
      </c>
      <c r="M6283" t="s">
        <v>7084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392"/>
        <v>0-12 Months</v>
      </c>
      <c r="W6283">
        <f t="shared" si="393"/>
        <v>0</v>
      </c>
      <c r="X6283">
        <f t="shared" si="394"/>
        <v>0</v>
      </c>
      <c r="Y6283" t="str">
        <f t="shared" si="395"/>
        <v>Non-Senior</v>
      </c>
    </row>
    <row r="6284" spans="1:25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7082</v>
      </c>
      <c r="J6284" t="s">
        <v>7084</v>
      </c>
      <c r="K6284" t="s">
        <v>46</v>
      </c>
      <c r="L6284" t="s">
        <v>7084</v>
      </c>
      <c r="M6284" t="s">
        <v>7084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392"/>
        <v>0-12 Months</v>
      </c>
      <c r="W6284">
        <f t="shared" si="393"/>
        <v>0</v>
      </c>
      <c r="X6284">
        <f t="shared" si="394"/>
        <v>0</v>
      </c>
      <c r="Y6284" t="str">
        <f t="shared" si="395"/>
        <v>Non-Senior</v>
      </c>
    </row>
    <row r="6285" spans="1:25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392"/>
        <v>0-12 Months</v>
      </c>
      <c r="W6285">
        <f t="shared" si="393"/>
        <v>1</v>
      </c>
      <c r="X6285">
        <f t="shared" si="394"/>
        <v>99</v>
      </c>
      <c r="Y6285" t="str">
        <f t="shared" si="395"/>
        <v>Non-Senior</v>
      </c>
    </row>
    <row r="6286" spans="1:25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392"/>
        <v>13-24 Months</v>
      </c>
      <c r="W6286">
        <f t="shared" si="393"/>
        <v>0</v>
      </c>
      <c r="X6286">
        <f t="shared" si="394"/>
        <v>0</v>
      </c>
      <c r="Y6286" t="str">
        <f t="shared" si="395"/>
        <v>Non-Senior</v>
      </c>
    </row>
    <row r="6287" spans="1:25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392"/>
        <v>25-36 Months</v>
      </c>
      <c r="W6287">
        <f t="shared" si="393"/>
        <v>0</v>
      </c>
      <c r="X6287">
        <f t="shared" si="394"/>
        <v>0</v>
      </c>
      <c r="Y6287" t="str">
        <f t="shared" si="395"/>
        <v>Non-Senior</v>
      </c>
    </row>
    <row r="6288" spans="1:25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7082</v>
      </c>
      <c r="J6288" t="s">
        <v>7084</v>
      </c>
      <c r="K6288" t="s">
        <v>46</v>
      </c>
      <c r="L6288" t="s">
        <v>7084</v>
      </c>
      <c r="M6288" t="s">
        <v>7084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392"/>
        <v>0-12 Months</v>
      </c>
      <c r="W6288">
        <f t="shared" si="393"/>
        <v>0</v>
      </c>
      <c r="X6288">
        <f t="shared" si="394"/>
        <v>0</v>
      </c>
      <c r="Y6288" t="str">
        <f t="shared" si="395"/>
        <v>Non-Senior</v>
      </c>
    </row>
    <row r="6289" spans="1:25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392"/>
        <v>25-36 Months</v>
      </c>
      <c r="W6289">
        <f t="shared" si="393"/>
        <v>1</v>
      </c>
      <c r="X6289">
        <f t="shared" si="394"/>
        <v>83.95</v>
      </c>
      <c r="Y6289" t="str">
        <f t="shared" si="395"/>
        <v>Non-Senior</v>
      </c>
    </row>
    <row r="6290" spans="1:25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392"/>
        <v>0-12 Months</v>
      </c>
      <c r="W6290">
        <f t="shared" si="393"/>
        <v>0</v>
      </c>
      <c r="X6290">
        <f t="shared" si="394"/>
        <v>0</v>
      </c>
      <c r="Y6290" t="str">
        <f t="shared" si="395"/>
        <v>Non-Senior</v>
      </c>
    </row>
    <row r="6291" spans="1:25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392"/>
        <v>61-72 Months</v>
      </c>
      <c r="W6291">
        <f t="shared" si="393"/>
        <v>1</v>
      </c>
      <c r="X6291">
        <f t="shared" si="394"/>
        <v>116.2</v>
      </c>
      <c r="Y6291" t="str">
        <f t="shared" si="395"/>
        <v>Non-Senior</v>
      </c>
    </row>
    <row r="6292" spans="1:25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392"/>
        <v>61-72 Months</v>
      </c>
      <c r="W6292">
        <f t="shared" si="393"/>
        <v>1</v>
      </c>
      <c r="X6292">
        <f t="shared" si="394"/>
        <v>93.7</v>
      </c>
      <c r="Y6292" t="str">
        <f t="shared" si="395"/>
        <v>Non-Senior</v>
      </c>
    </row>
    <row r="6293" spans="1:25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392"/>
        <v>49-60 Months</v>
      </c>
      <c r="W6293">
        <f t="shared" si="393"/>
        <v>0</v>
      </c>
      <c r="X6293">
        <f t="shared" si="394"/>
        <v>0</v>
      </c>
      <c r="Y6293" t="str">
        <f t="shared" si="395"/>
        <v>Non-Senior</v>
      </c>
    </row>
    <row r="6294" spans="1:25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392"/>
        <v>37-48 Months</v>
      </c>
      <c r="W6294">
        <f t="shared" si="393"/>
        <v>0</v>
      </c>
      <c r="X6294">
        <f t="shared" si="394"/>
        <v>0</v>
      </c>
      <c r="Y6294" t="str">
        <f t="shared" si="395"/>
        <v>Non-Senior</v>
      </c>
    </row>
    <row r="6295" spans="1:25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7082</v>
      </c>
      <c r="J6295" t="s">
        <v>7084</v>
      </c>
      <c r="K6295" t="s">
        <v>46</v>
      </c>
      <c r="L6295" t="s">
        <v>7084</v>
      </c>
      <c r="M6295" t="s">
        <v>7084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392"/>
        <v>13-24 Months</v>
      </c>
      <c r="W6295">
        <f t="shared" si="393"/>
        <v>0</v>
      </c>
      <c r="X6295">
        <f t="shared" si="394"/>
        <v>0</v>
      </c>
      <c r="Y6295" t="str">
        <f t="shared" si="395"/>
        <v>Non-Senior</v>
      </c>
    </row>
    <row r="6296" spans="1:25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7082</v>
      </c>
      <c r="J6296" t="s">
        <v>7084</v>
      </c>
      <c r="K6296" t="s">
        <v>46</v>
      </c>
      <c r="L6296" t="s">
        <v>7084</v>
      </c>
      <c r="M6296" t="s">
        <v>7084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392"/>
        <v>0-12 Months</v>
      </c>
      <c r="W6296">
        <f t="shared" si="393"/>
        <v>1</v>
      </c>
      <c r="X6296">
        <f t="shared" si="394"/>
        <v>19.7</v>
      </c>
      <c r="Y6296" t="str">
        <f t="shared" si="395"/>
        <v>Non-Senior</v>
      </c>
    </row>
    <row r="6297" spans="1:25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7082</v>
      </c>
      <c r="J6297" t="s">
        <v>7084</v>
      </c>
      <c r="K6297" t="s">
        <v>46</v>
      </c>
      <c r="L6297" t="s">
        <v>7084</v>
      </c>
      <c r="M6297" t="s">
        <v>7084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392"/>
        <v>37-48 Months</v>
      </c>
      <c r="W6297">
        <f t="shared" si="393"/>
        <v>0</v>
      </c>
      <c r="X6297">
        <f t="shared" si="394"/>
        <v>0</v>
      </c>
      <c r="Y6297" t="str">
        <f t="shared" si="395"/>
        <v>Non-Senior</v>
      </c>
    </row>
    <row r="6298" spans="1:25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392"/>
        <v>25-36 Months</v>
      </c>
      <c r="W6298">
        <f t="shared" si="393"/>
        <v>0</v>
      </c>
      <c r="X6298">
        <f t="shared" si="394"/>
        <v>0</v>
      </c>
      <c r="Y6298" t="str">
        <f t="shared" si="395"/>
        <v>Senior Citizen</v>
      </c>
    </row>
    <row r="6299" spans="1:25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392"/>
        <v>61-72 Months</v>
      </c>
      <c r="W6299">
        <f t="shared" si="393"/>
        <v>0</v>
      </c>
      <c r="X6299">
        <f t="shared" si="394"/>
        <v>0</v>
      </c>
      <c r="Y6299" t="str">
        <f t="shared" si="395"/>
        <v>Non-Senior</v>
      </c>
    </row>
    <row r="6300" spans="1:25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392"/>
        <v>37-48 Months</v>
      </c>
      <c r="W6300">
        <f t="shared" si="393"/>
        <v>0</v>
      </c>
      <c r="X6300">
        <f t="shared" si="394"/>
        <v>0</v>
      </c>
      <c r="Y6300" t="str">
        <f t="shared" si="395"/>
        <v>Non-Senior</v>
      </c>
    </row>
    <row r="6301" spans="1:25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392"/>
        <v>49-60 Months</v>
      </c>
      <c r="W6301">
        <f t="shared" si="393"/>
        <v>0</v>
      </c>
      <c r="X6301">
        <f t="shared" si="394"/>
        <v>0</v>
      </c>
      <c r="Y6301" t="str">
        <f t="shared" si="395"/>
        <v>Non-Senior</v>
      </c>
    </row>
    <row r="6302" spans="1:25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7082</v>
      </c>
      <c r="J6302" t="s">
        <v>7084</v>
      </c>
      <c r="K6302" t="s">
        <v>46</v>
      </c>
      <c r="L6302" t="s">
        <v>7084</v>
      </c>
      <c r="M6302" t="s">
        <v>7084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392"/>
        <v>61-72 Months</v>
      </c>
      <c r="W6302">
        <f t="shared" si="393"/>
        <v>0</v>
      </c>
      <c r="X6302">
        <f t="shared" si="394"/>
        <v>0</v>
      </c>
      <c r="Y6302" t="str">
        <f t="shared" si="395"/>
        <v>Non-Senior</v>
      </c>
    </row>
    <row r="6303" spans="1:25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392"/>
        <v>61-72 Months</v>
      </c>
      <c r="W6303">
        <f t="shared" si="393"/>
        <v>0</v>
      </c>
      <c r="X6303">
        <f t="shared" si="394"/>
        <v>0</v>
      </c>
      <c r="Y6303" t="str">
        <f t="shared" si="395"/>
        <v>Senior Citizen</v>
      </c>
    </row>
    <row r="6304" spans="1:25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392"/>
        <v>0-12 Months</v>
      </c>
      <c r="W6304">
        <f t="shared" si="393"/>
        <v>1</v>
      </c>
      <c r="X6304">
        <f t="shared" si="394"/>
        <v>75.55</v>
      </c>
      <c r="Y6304" t="str">
        <f t="shared" si="395"/>
        <v>Non-Senior</v>
      </c>
    </row>
    <row r="6305" spans="1:25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392"/>
        <v>61-72 Months</v>
      </c>
      <c r="W6305">
        <f t="shared" si="393"/>
        <v>0</v>
      </c>
      <c r="X6305">
        <f t="shared" si="394"/>
        <v>0</v>
      </c>
      <c r="Y6305" t="str">
        <f t="shared" si="395"/>
        <v>Non-Senior</v>
      </c>
    </row>
    <row r="6306" spans="1:25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392"/>
        <v>0-12 Months</v>
      </c>
      <c r="W6306">
        <f t="shared" si="393"/>
        <v>1</v>
      </c>
      <c r="X6306">
        <f t="shared" si="394"/>
        <v>77.650000000000006</v>
      </c>
      <c r="Y6306" t="str">
        <f t="shared" si="395"/>
        <v>Non-Senior</v>
      </c>
    </row>
    <row r="6307" spans="1:25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392"/>
        <v>25-36 Months</v>
      </c>
      <c r="W6307">
        <f t="shared" si="393"/>
        <v>1</v>
      </c>
      <c r="X6307">
        <f t="shared" si="394"/>
        <v>95</v>
      </c>
      <c r="Y6307" t="str">
        <f t="shared" si="395"/>
        <v>Senior Citizen</v>
      </c>
    </row>
    <row r="6308" spans="1:25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392"/>
        <v>61-72 Months</v>
      </c>
      <c r="W6308">
        <f t="shared" si="393"/>
        <v>0</v>
      </c>
      <c r="X6308">
        <f t="shared" si="394"/>
        <v>0</v>
      </c>
      <c r="Y6308" t="str">
        <f t="shared" si="395"/>
        <v>Non-Senior</v>
      </c>
    </row>
    <row r="6309" spans="1:25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7082</v>
      </c>
      <c r="J6309" t="s">
        <v>7084</v>
      </c>
      <c r="K6309" t="s">
        <v>46</v>
      </c>
      <c r="L6309" t="s">
        <v>7084</v>
      </c>
      <c r="M6309" t="s">
        <v>7084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392"/>
        <v>25-36 Months</v>
      </c>
      <c r="W6309">
        <f t="shared" si="393"/>
        <v>0</v>
      </c>
      <c r="X6309">
        <f t="shared" si="394"/>
        <v>0</v>
      </c>
      <c r="Y6309" t="str">
        <f t="shared" si="395"/>
        <v>Non-Senior</v>
      </c>
    </row>
    <row r="6310" spans="1:25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392"/>
        <v>0-12 Months</v>
      </c>
      <c r="W6310">
        <f t="shared" si="393"/>
        <v>0</v>
      </c>
      <c r="X6310">
        <f t="shared" si="394"/>
        <v>0</v>
      </c>
      <c r="Y6310" t="str">
        <f t="shared" si="395"/>
        <v>Non-Senior</v>
      </c>
    </row>
    <row r="6311" spans="1:25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7082</v>
      </c>
      <c r="J6311" t="s">
        <v>7084</v>
      </c>
      <c r="K6311" t="s">
        <v>46</v>
      </c>
      <c r="L6311" t="s">
        <v>7084</v>
      </c>
      <c r="M6311" t="s">
        <v>7084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392"/>
        <v>61-72 Months</v>
      </c>
      <c r="W6311">
        <f t="shared" si="393"/>
        <v>0</v>
      </c>
      <c r="X6311">
        <f t="shared" si="394"/>
        <v>0</v>
      </c>
      <c r="Y6311" t="str">
        <f t="shared" si="395"/>
        <v>Non-Senior</v>
      </c>
    </row>
    <row r="6312" spans="1:25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392"/>
        <v>49-60 Months</v>
      </c>
      <c r="W6312">
        <f t="shared" si="393"/>
        <v>0</v>
      </c>
      <c r="X6312">
        <f t="shared" si="394"/>
        <v>0</v>
      </c>
      <c r="Y6312" t="str">
        <f t="shared" si="395"/>
        <v>Non-Senior</v>
      </c>
    </row>
    <row r="6313" spans="1:25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392"/>
        <v>49-60 Months</v>
      </c>
      <c r="W6313">
        <f t="shared" si="393"/>
        <v>0</v>
      </c>
      <c r="X6313">
        <f t="shared" si="394"/>
        <v>0</v>
      </c>
      <c r="Y6313" t="str">
        <f t="shared" si="395"/>
        <v>Senior Citizen</v>
      </c>
    </row>
    <row r="6314" spans="1:25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392"/>
        <v>49-60 Months</v>
      </c>
      <c r="W6314">
        <f t="shared" si="393"/>
        <v>1</v>
      </c>
      <c r="X6314">
        <f t="shared" si="394"/>
        <v>105.4</v>
      </c>
      <c r="Y6314" t="str">
        <f t="shared" si="395"/>
        <v>Non-Senior</v>
      </c>
    </row>
    <row r="6315" spans="1:25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392"/>
        <v>0-12 Months</v>
      </c>
      <c r="W6315">
        <f t="shared" si="393"/>
        <v>1</v>
      </c>
      <c r="X6315">
        <f t="shared" si="394"/>
        <v>95.85</v>
      </c>
      <c r="Y6315" t="str">
        <f t="shared" si="395"/>
        <v>Non-Senior</v>
      </c>
    </row>
    <row r="6316" spans="1:25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392"/>
        <v>0-12 Months</v>
      </c>
      <c r="W6316">
        <f t="shared" si="393"/>
        <v>0</v>
      </c>
      <c r="X6316">
        <f t="shared" si="394"/>
        <v>0</v>
      </c>
      <c r="Y6316" t="str">
        <f t="shared" si="395"/>
        <v>Non-Senior</v>
      </c>
    </row>
    <row r="6317" spans="1:25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392"/>
        <v>37-48 Months</v>
      </c>
      <c r="W6317">
        <f t="shared" si="393"/>
        <v>0</v>
      </c>
      <c r="X6317">
        <f t="shared" si="394"/>
        <v>0</v>
      </c>
      <c r="Y6317" t="str">
        <f t="shared" si="395"/>
        <v>Non-Senior</v>
      </c>
    </row>
    <row r="6318" spans="1:25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7082</v>
      </c>
      <c r="J6318" t="s">
        <v>7084</v>
      </c>
      <c r="K6318" t="s">
        <v>46</v>
      </c>
      <c r="L6318" t="s">
        <v>7084</v>
      </c>
      <c r="M6318" t="s">
        <v>7084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392"/>
        <v>61-72 Months</v>
      </c>
      <c r="W6318">
        <f t="shared" si="393"/>
        <v>0</v>
      </c>
      <c r="X6318">
        <f t="shared" si="394"/>
        <v>0</v>
      </c>
      <c r="Y6318" t="str">
        <f t="shared" si="395"/>
        <v>Non-Senior</v>
      </c>
    </row>
    <row r="6319" spans="1:25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392"/>
        <v>0-12 Months</v>
      </c>
      <c r="W6319">
        <f t="shared" si="393"/>
        <v>1</v>
      </c>
      <c r="X6319">
        <f t="shared" si="394"/>
        <v>79.150000000000006</v>
      </c>
      <c r="Y6319" t="str">
        <f t="shared" si="395"/>
        <v>Non-Senior</v>
      </c>
    </row>
    <row r="6320" spans="1:25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7082</v>
      </c>
      <c r="J6320" t="s">
        <v>7084</v>
      </c>
      <c r="K6320" t="s">
        <v>46</v>
      </c>
      <c r="L6320" t="s">
        <v>7084</v>
      </c>
      <c r="M6320" t="s">
        <v>7084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392"/>
        <v>0-12 Months</v>
      </c>
      <c r="W6320">
        <f t="shared" si="393"/>
        <v>0</v>
      </c>
      <c r="X6320">
        <f t="shared" si="394"/>
        <v>0</v>
      </c>
      <c r="Y6320" t="str">
        <f t="shared" si="395"/>
        <v>Non-Senior</v>
      </c>
    </row>
    <row r="6321" spans="1:25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392"/>
        <v>49-60 Months</v>
      </c>
      <c r="W6321">
        <f t="shared" si="393"/>
        <v>0</v>
      </c>
      <c r="X6321">
        <f t="shared" si="394"/>
        <v>0</v>
      </c>
      <c r="Y6321" t="str">
        <f t="shared" si="395"/>
        <v>Senior Citizen</v>
      </c>
    </row>
    <row r="6322" spans="1:25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392"/>
        <v>25-36 Months</v>
      </c>
      <c r="W6322">
        <f t="shared" si="393"/>
        <v>0</v>
      </c>
      <c r="X6322">
        <f t="shared" si="394"/>
        <v>0</v>
      </c>
      <c r="Y6322" t="str">
        <f t="shared" si="395"/>
        <v>Non-Senior</v>
      </c>
    </row>
    <row r="6323" spans="1:25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7082</v>
      </c>
      <c r="J6323" t="s">
        <v>7084</v>
      </c>
      <c r="K6323" t="s">
        <v>46</v>
      </c>
      <c r="L6323" t="s">
        <v>7084</v>
      </c>
      <c r="M6323" t="s">
        <v>7084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392"/>
        <v>25-36 Months</v>
      </c>
      <c r="W6323">
        <f t="shared" si="393"/>
        <v>1</v>
      </c>
      <c r="X6323">
        <f t="shared" si="394"/>
        <v>19.649999999999999</v>
      </c>
      <c r="Y6323" t="str">
        <f t="shared" si="395"/>
        <v>Non-Senior</v>
      </c>
    </row>
    <row r="6324" spans="1:25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392"/>
        <v>0-12 Months</v>
      </c>
      <c r="W6324">
        <f t="shared" si="393"/>
        <v>1</v>
      </c>
      <c r="X6324">
        <f t="shared" si="394"/>
        <v>79</v>
      </c>
      <c r="Y6324" t="str">
        <f t="shared" si="395"/>
        <v>Non-Senior</v>
      </c>
    </row>
    <row r="6325" spans="1:25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392"/>
        <v>37-48 Months</v>
      </c>
      <c r="W6325">
        <f t="shared" si="393"/>
        <v>0</v>
      </c>
      <c r="X6325">
        <f t="shared" si="394"/>
        <v>0</v>
      </c>
      <c r="Y6325" t="str">
        <f t="shared" si="395"/>
        <v>Non-Senior</v>
      </c>
    </row>
    <row r="6326" spans="1:25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392"/>
        <v>0-12 Months</v>
      </c>
      <c r="W6326">
        <f t="shared" si="393"/>
        <v>0</v>
      </c>
      <c r="X6326">
        <f t="shared" si="394"/>
        <v>0</v>
      </c>
      <c r="Y6326" t="str">
        <f t="shared" si="395"/>
        <v>Non-Senior</v>
      </c>
    </row>
    <row r="6327" spans="1:25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392"/>
        <v>13-24 Months</v>
      </c>
      <c r="W6327">
        <f t="shared" si="393"/>
        <v>1</v>
      </c>
      <c r="X6327">
        <f t="shared" si="394"/>
        <v>91.85</v>
      </c>
      <c r="Y6327" t="str">
        <f t="shared" si="395"/>
        <v>Non-Senior</v>
      </c>
    </row>
    <row r="6328" spans="1:25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392"/>
        <v>61-72 Months</v>
      </c>
      <c r="W6328">
        <f t="shared" si="393"/>
        <v>0</v>
      </c>
      <c r="X6328">
        <f t="shared" si="394"/>
        <v>0</v>
      </c>
      <c r="Y6328" t="str">
        <f t="shared" si="395"/>
        <v>Non-Senior</v>
      </c>
    </row>
    <row r="6329" spans="1:25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392"/>
        <v>25-36 Months</v>
      </c>
      <c r="W6329">
        <f t="shared" si="393"/>
        <v>0</v>
      </c>
      <c r="X6329">
        <f t="shared" si="394"/>
        <v>0</v>
      </c>
      <c r="Y6329" t="str">
        <f t="shared" si="395"/>
        <v>Non-Senior</v>
      </c>
    </row>
    <row r="6330" spans="1:25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392"/>
        <v>61-72 Months</v>
      </c>
      <c r="W6330">
        <f t="shared" si="393"/>
        <v>0</v>
      </c>
      <c r="X6330">
        <f t="shared" si="394"/>
        <v>0</v>
      </c>
      <c r="Y6330" t="str">
        <f t="shared" si="395"/>
        <v>Non-Senior</v>
      </c>
    </row>
    <row r="6331" spans="1:25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392"/>
        <v>37-48 Months</v>
      </c>
      <c r="W6331">
        <f t="shared" si="393"/>
        <v>0</v>
      </c>
      <c r="X6331">
        <f t="shared" si="394"/>
        <v>0</v>
      </c>
      <c r="Y6331" t="str">
        <f t="shared" si="395"/>
        <v>Non-Senior</v>
      </c>
    </row>
    <row r="6332" spans="1:25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392"/>
        <v>13-24 Months</v>
      </c>
      <c r="W6332">
        <f t="shared" si="393"/>
        <v>0</v>
      </c>
      <c r="X6332">
        <f t="shared" si="394"/>
        <v>0</v>
      </c>
      <c r="Y6332" t="str">
        <f t="shared" si="395"/>
        <v>Non-Senior</v>
      </c>
    </row>
    <row r="6333" spans="1:25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392"/>
        <v>37-48 Months</v>
      </c>
      <c r="W6333">
        <f t="shared" si="393"/>
        <v>0</v>
      </c>
      <c r="X6333">
        <f t="shared" si="394"/>
        <v>0</v>
      </c>
      <c r="Y6333" t="str">
        <f t="shared" si="395"/>
        <v>Non-Senior</v>
      </c>
    </row>
    <row r="6334" spans="1:25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392"/>
        <v>61-72 Months</v>
      </c>
      <c r="W6334">
        <f t="shared" si="393"/>
        <v>0</v>
      </c>
      <c r="X6334">
        <f t="shared" si="394"/>
        <v>0</v>
      </c>
      <c r="Y6334" t="str">
        <f t="shared" si="395"/>
        <v>Non-Senior</v>
      </c>
    </row>
    <row r="6335" spans="1:25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392"/>
        <v>49-60 Months</v>
      </c>
      <c r="W6335">
        <f t="shared" si="393"/>
        <v>1</v>
      </c>
      <c r="X6335">
        <f t="shared" si="394"/>
        <v>106</v>
      </c>
      <c r="Y6335" t="str">
        <f t="shared" si="395"/>
        <v>Senior Citizen</v>
      </c>
    </row>
    <row r="6336" spans="1:25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392"/>
        <v>61-72 Months</v>
      </c>
      <c r="W6336">
        <f t="shared" si="393"/>
        <v>0</v>
      </c>
      <c r="X6336">
        <f t="shared" si="394"/>
        <v>0</v>
      </c>
      <c r="Y6336" t="str">
        <f t="shared" si="395"/>
        <v>Non-Senior</v>
      </c>
    </row>
    <row r="6337" spans="1:25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392"/>
        <v>13-24 Months</v>
      </c>
      <c r="W6337">
        <f t="shared" si="393"/>
        <v>0</v>
      </c>
      <c r="X6337">
        <f t="shared" si="394"/>
        <v>0</v>
      </c>
      <c r="Y6337" t="str">
        <f t="shared" si="395"/>
        <v>Non-Senior</v>
      </c>
    </row>
    <row r="6338" spans="1:25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si="392"/>
        <v>49-60 Months</v>
      </c>
      <c r="W6338">
        <f t="shared" si="393"/>
        <v>0</v>
      </c>
      <c r="X6338">
        <f t="shared" si="394"/>
        <v>0</v>
      </c>
      <c r="Y6338" t="str">
        <f t="shared" si="395"/>
        <v>Non-Senior</v>
      </c>
    </row>
    <row r="6339" spans="1:25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ref="V6339:V6402" si="396">IF(F6339&lt;=12,"0-12 Months",IF(F6339&lt;=24,"13-24 Months",IF(F6339&lt;=36,"25-36 Months",IF(F6339&lt;=48,"37-48 Months",IF(F6339&lt;=60,"49-60 Months","61-72 Months")))))</f>
        <v>49-60 Months</v>
      </c>
      <c r="W6339">
        <f t="shared" ref="W6339:W6402" si="397">IF(U6339="Yes",1,0)</f>
        <v>0</v>
      </c>
      <c r="X6339">
        <f t="shared" ref="X6339:X6402" si="398">IF(U6339="Yes",S6339,0)</f>
        <v>0</v>
      </c>
      <c r="Y6339" t="str">
        <f t="shared" ref="Y6339:Y6402" si="399">IF(C6339=1,"Senior Citizen","Non-Senior")</f>
        <v>Non-Senior</v>
      </c>
    </row>
    <row r="6340" spans="1:25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7082</v>
      </c>
      <c r="J6340" t="s">
        <v>7084</v>
      </c>
      <c r="K6340" t="s">
        <v>46</v>
      </c>
      <c r="L6340" t="s">
        <v>7084</v>
      </c>
      <c r="M6340" t="s">
        <v>7084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396"/>
        <v>0-12 Months</v>
      </c>
      <c r="W6340">
        <f t="shared" si="397"/>
        <v>0</v>
      </c>
      <c r="X6340">
        <f t="shared" si="398"/>
        <v>0</v>
      </c>
      <c r="Y6340" t="str">
        <f t="shared" si="399"/>
        <v>Non-Senior</v>
      </c>
    </row>
    <row r="6341" spans="1:25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396"/>
        <v>0-12 Months</v>
      </c>
      <c r="W6341">
        <f t="shared" si="397"/>
        <v>1</v>
      </c>
      <c r="X6341">
        <f t="shared" si="398"/>
        <v>49.9</v>
      </c>
      <c r="Y6341" t="str">
        <f t="shared" si="399"/>
        <v>Non-Senior</v>
      </c>
    </row>
    <row r="6342" spans="1:25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396"/>
        <v>13-24 Months</v>
      </c>
      <c r="W6342">
        <f t="shared" si="397"/>
        <v>0</v>
      </c>
      <c r="X6342">
        <f t="shared" si="398"/>
        <v>0</v>
      </c>
      <c r="Y6342" t="str">
        <f t="shared" si="399"/>
        <v>Non-Senior</v>
      </c>
    </row>
    <row r="6343" spans="1:25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396"/>
        <v>13-24 Months</v>
      </c>
      <c r="W6343">
        <f t="shared" si="397"/>
        <v>1</v>
      </c>
      <c r="X6343">
        <f t="shared" si="398"/>
        <v>100.35</v>
      </c>
      <c r="Y6343" t="str">
        <f t="shared" si="399"/>
        <v>Non-Senior</v>
      </c>
    </row>
    <row r="6344" spans="1:25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396"/>
        <v>37-48 Months</v>
      </c>
      <c r="W6344">
        <f t="shared" si="397"/>
        <v>0</v>
      </c>
      <c r="X6344">
        <f t="shared" si="398"/>
        <v>0</v>
      </c>
      <c r="Y6344" t="str">
        <f t="shared" si="399"/>
        <v>Non-Senior</v>
      </c>
    </row>
    <row r="6345" spans="1:25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7082</v>
      </c>
      <c r="J6345" t="s">
        <v>7084</v>
      </c>
      <c r="K6345" t="s">
        <v>46</v>
      </c>
      <c r="L6345" t="s">
        <v>7084</v>
      </c>
      <c r="M6345" t="s">
        <v>7084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396"/>
        <v>37-48 Months</v>
      </c>
      <c r="W6345">
        <f t="shared" si="397"/>
        <v>0</v>
      </c>
      <c r="X6345">
        <f t="shared" si="398"/>
        <v>0</v>
      </c>
      <c r="Y6345" t="str">
        <f t="shared" si="399"/>
        <v>Non-Senior</v>
      </c>
    </row>
    <row r="6346" spans="1:25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396"/>
        <v>37-48 Months</v>
      </c>
      <c r="W6346">
        <f t="shared" si="397"/>
        <v>1</v>
      </c>
      <c r="X6346">
        <f t="shared" si="398"/>
        <v>74.95</v>
      </c>
      <c r="Y6346" t="str">
        <f t="shared" si="399"/>
        <v>Senior Citizen</v>
      </c>
    </row>
    <row r="6347" spans="1:25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396"/>
        <v>0-12 Months</v>
      </c>
      <c r="W6347">
        <f t="shared" si="397"/>
        <v>0</v>
      </c>
      <c r="X6347">
        <f t="shared" si="398"/>
        <v>0</v>
      </c>
      <c r="Y6347" t="str">
        <f t="shared" si="399"/>
        <v>Senior Citizen</v>
      </c>
    </row>
    <row r="6348" spans="1:25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396"/>
        <v>0-12 Months</v>
      </c>
      <c r="W6348">
        <f t="shared" si="397"/>
        <v>1</v>
      </c>
      <c r="X6348">
        <f t="shared" si="398"/>
        <v>49.25</v>
      </c>
      <c r="Y6348" t="str">
        <f t="shared" si="399"/>
        <v>Senior Citizen</v>
      </c>
    </row>
    <row r="6349" spans="1:25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396"/>
        <v>13-24 Months</v>
      </c>
      <c r="W6349">
        <f t="shared" si="397"/>
        <v>0</v>
      </c>
      <c r="X6349">
        <f t="shared" si="398"/>
        <v>0</v>
      </c>
      <c r="Y6349" t="str">
        <f t="shared" si="399"/>
        <v>Non-Senior</v>
      </c>
    </row>
    <row r="6350" spans="1:25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396"/>
        <v>25-36 Months</v>
      </c>
      <c r="W6350">
        <f t="shared" si="397"/>
        <v>0</v>
      </c>
      <c r="X6350">
        <f t="shared" si="398"/>
        <v>0</v>
      </c>
      <c r="Y6350" t="str">
        <f t="shared" si="399"/>
        <v>Non-Senior</v>
      </c>
    </row>
    <row r="6351" spans="1:25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7082</v>
      </c>
      <c r="J6351" t="s">
        <v>7084</v>
      </c>
      <c r="K6351" t="s">
        <v>46</v>
      </c>
      <c r="L6351" t="s">
        <v>7084</v>
      </c>
      <c r="M6351" t="s">
        <v>7084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396"/>
        <v>25-36 Months</v>
      </c>
      <c r="W6351">
        <f t="shared" si="397"/>
        <v>0</v>
      </c>
      <c r="X6351">
        <f t="shared" si="398"/>
        <v>0</v>
      </c>
      <c r="Y6351" t="str">
        <f t="shared" si="399"/>
        <v>Non-Senior</v>
      </c>
    </row>
    <row r="6352" spans="1:25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7082</v>
      </c>
      <c r="J6352" t="s">
        <v>7084</v>
      </c>
      <c r="K6352" t="s">
        <v>46</v>
      </c>
      <c r="L6352" t="s">
        <v>7084</v>
      </c>
      <c r="M6352" t="s">
        <v>7084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396"/>
        <v>0-12 Months</v>
      </c>
      <c r="W6352">
        <f t="shared" si="397"/>
        <v>0</v>
      </c>
      <c r="X6352">
        <f t="shared" si="398"/>
        <v>0</v>
      </c>
      <c r="Y6352" t="str">
        <f t="shared" si="399"/>
        <v>Non-Senior</v>
      </c>
    </row>
    <row r="6353" spans="1:25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396"/>
        <v>49-60 Months</v>
      </c>
      <c r="W6353">
        <f t="shared" si="397"/>
        <v>1</v>
      </c>
      <c r="X6353">
        <f t="shared" si="398"/>
        <v>103.7</v>
      </c>
      <c r="Y6353" t="str">
        <f t="shared" si="399"/>
        <v>Non-Senior</v>
      </c>
    </row>
    <row r="6354" spans="1:25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396"/>
        <v>37-48 Months</v>
      </c>
      <c r="W6354">
        <f t="shared" si="397"/>
        <v>0</v>
      </c>
      <c r="X6354">
        <f t="shared" si="398"/>
        <v>0</v>
      </c>
      <c r="Y6354" t="str">
        <f t="shared" si="399"/>
        <v>Non-Senior</v>
      </c>
    </row>
    <row r="6355" spans="1:25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396"/>
        <v>0-12 Months</v>
      </c>
      <c r="W6355">
        <f t="shared" si="397"/>
        <v>0</v>
      </c>
      <c r="X6355">
        <f t="shared" si="398"/>
        <v>0</v>
      </c>
      <c r="Y6355" t="str">
        <f t="shared" si="399"/>
        <v>Non-Senior</v>
      </c>
    </row>
    <row r="6356" spans="1:25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396"/>
        <v>61-72 Months</v>
      </c>
      <c r="W6356">
        <f t="shared" si="397"/>
        <v>0</v>
      </c>
      <c r="X6356">
        <f t="shared" si="398"/>
        <v>0</v>
      </c>
      <c r="Y6356" t="str">
        <f t="shared" si="399"/>
        <v>Non-Senior</v>
      </c>
    </row>
    <row r="6357" spans="1:25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396"/>
        <v>61-72 Months</v>
      </c>
      <c r="W6357">
        <f t="shared" si="397"/>
        <v>0</v>
      </c>
      <c r="X6357">
        <f t="shared" si="398"/>
        <v>0</v>
      </c>
      <c r="Y6357" t="str">
        <f t="shared" si="399"/>
        <v>Non-Senior</v>
      </c>
    </row>
    <row r="6358" spans="1:25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396"/>
        <v>0-12 Months</v>
      </c>
      <c r="W6358">
        <f t="shared" si="397"/>
        <v>0</v>
      </c>
      <c r="X6358">
        <f t="shared" si="398"/>
        <v>0</v>
      </c>
      <c r="Y6358" t="str">
        <f t="shared" si="399"/>
        <v>Non-Senior</v>
      </c>
    </row>
    <row r="6359" spans="1:25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396"/>
        <v>61-72 Months</v>
      </c>
      <c r="W6359">
        <f t="shared" si="397"/>
        <v>1</v>
      </c>
      <c r="X6359">
        <f t="shared" si="398"/>
        <v>89.75</v>
      </c>
      <c r="Y6359" t="str">
        <f t="shared" si="399"/>
        <v>Non-Senior</v>
      </c>
    </row>
    <row r="6360" spans="1:25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396"/>
        <v>61-72 Months</v>
      </c>
      <c r="W6360">
        <f t="shared" si="397"/>
        <v>0</v>
      </c>
      <c r="X6360">
        <f t="shared" si="398"/>
        <v>0</v>
      </c>
      <c r="Y6360" t="str">
        <f t="shared" si="399"/>
        <v>Non-Senior</v>
      </c>
    </row>
    <row r="6361" spans="1:25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396"/>
        <v>49-60 Months</v>
      </c>
      <c r="W6361">
        <f t="shared" si="397"/>
        <v>0</v>
      </c>
      <c r="X6361">
        <f t="shared" si="398"/>
        <v>0</v>
      </c>
      <c r="Y6361" t="str">
        <f t="shared" si="399"/>
        <v>Non-Senior</v>
      </c>
    </row>
    <row r="6362" spans="1:25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7082</v>
      </c>
      <c r="J6362" t="s">
        <v>7084</v>
      </c>
      <c r="K6362" t="s">
        <v>46</v>
      </c>
      <c r="L6362" t="s">
        <v>7084</v>
      </c>
      <c r="M6362" t="s">
        <v>7084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396"/>
        <v>0-12 Months</v>
      </c>
      <c r="W6362">
        <f t="shared" si="397"/>
        <v>1</v>
      </c>
      <c r="X6362">
        <f t="shared" si="398"/>
        <v>20.3</v>
      </c>
      <c r="Y6362" t="str">
        <f t="shared" si="399"/>
        <v>Non-Senior</v>
      </c>
    </row>
    <row r="6363" spans="1:25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396"/>
        <v>0-12 Months</v>
      </c>
      <c r="W6363">
        <f t="shared" si="397"/>
        <v>0</v>
      </c>
      <c r="X6363">
        <f t="shared" si="398"/>
        <v>0</v>
      </c>
      <c r="Y6363" t="str">
        <f t="shared" si="399"/>
        <v>Non-Senior</v>
      </c>
    </row>
    <row r="6364" spans="1:25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396"/>
        <v>0-12 Months</v>
      </c>
      <c r="W6364">
        <f t="shared" si="397"/>
        <v>0</v>
      </c>
      <c r="X6364">
        <f t="shared" si="398"/>
        <v>0</v>
      </c>
      <c r="Y6364" t="str">
        <f t="shared" si="399"/>
        <v>Non-Senior</v>
      </c>
    </row>
    <row r="6365" spans="1:25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396"/>
        <v>0-12 Months</v>
      </c>
      <c r="W6365">
        <f t="shared" si="397"/>
        <v>0</v>
      </c>
      <c r="X6365">
        <f t="shared" si="398"/>
        <v>0</v>
      </c>
      <c r="Y6365" t="str">
        <f t="shared" si="399"/>
        <v>Non-Senior</v>
      </c>
    </row>
    <row r="6366" spans="1:25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7082</v>
      </c>
      <c r="J6366" t="s">
        <v>7084</v>
      </c>
      <c r="K6366" t="s">
        <v>46</v>
      </c>
      <c r="L6366" t="s">
        <v>7084</v>
      </c>
      <c r="M6366" t="s">
        <v>7084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396"/>
        <v>25-36 Months</v>
      </c>
      <c r="W6366">
        <f t="shared" si="397"/>
        <v>0</v>
      </c>
      <c r="X6366">
        <f t="shared" si="398"/>
        <v>0</v>
      </c>
      <c r="Y6366" t="str">
        <f t="shared" si="399"/>
        <v>Non-Senior</v>
      </c>
    </row>
    <row r="6367" spans="1:25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396"/>
        <v>0-12 Months</v>
      </c>
      <c r="W6367">
        <f t="shared" si="397"/>
        <v>1</v>
      </c>
      <c r="X6367">
        <f t="shared" si="398"/>
        <v>101.95</v>
      </c>
      <c r="Y6367" t="str">
        <f t="shared" si="399"/>
        <v>Senior Citizen</v>
      </c>
    </row>
    <row r="6368" spans="1:25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396"/>
        <v>61-72 Months</v>
      </c>
      <c r="W6368">
        <f t="shared" si="397"/>
        <v>0</v>
      </c>
      <c r="X6368">
        <f t="shared" si="398"/>
        <v>0</v>
      </c>
      <c r="Y6368" t="str">
        <f t="shared" si="399"/>
        <v>Non-Senior</v>
      </c>
    </row>
    <row r="6369" spans="1:25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396"/>
        <v>61-72 Months</v>
      </c>
      <c r="W6369">
        <f t="shared" si="397"/>
        <v>0</v>
      </c>
      <c r="X6369">
        <f t="shared" si="398"/>
        <v>0</v>
      </c>
      <c r="Y6369" t="str">
        <f t="shared" si="399"/>
        <v>Non-Senior</v>
      </c>
    </row>
    <row r="6370" spans="1:25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396"/>
        <v>0-12 Months</v>
      </c>
      <c r="W6370">
        <f t="shared" si="397"/>
        <v>1</v>
      </c>
      <c r="X6370">
        <f t="shared" si="398"/>
        <v>94</v>
      </c>
      <c r="Y6370" t="str">
        <f t="shared" si="399"/>
        <v>Senior Citizen</v>
      </c>
    </row>
    <row r="6371" spans="1:25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396"/>
        <v>61-72 Months</v>
      </c>
      <c r="W6371">
        <f t="shared" si="397"/>
        <v>0</v>
      </c>
      <c r="X6371">
        <f t="shared" si="398"/>
        <v>0</v>
      </c>
      <c r="Y6371" t="str">
        <f t="shared" si="399"/>
        <v>Senior Citizen</v>
      </c>
    </row>
    <row r="6372" spans="1:25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396"/>
        <v>37-48 Months</v>
      </c>
      <c r="W6372">
        <f t="shared" si="397"/>
        <v>1</v>
      </c>
      <c r="X6372">
        <f t="shared" si="398"/>
        <v>89.3</v>
      </c>
      <c r="Y6372" t="str">
        <f t="shared" si="399"/>
        <v>Non-Senior</v>
      </c>
    </row>
    <row r="6373" spans="1:25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7082</v>
      </c>
      <c r="J6373" t="s">
        <v>7084</v>
      </c>
      <c r="K6373" t="s">
        <v>46</v>
      </c>
      <c r="L6373" t="s">
        <v>7084</v>
      </c>
      <c r="M6373" t="s">
        <v>7084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396"/>
        <v>13-24 Months</v>
      </c>
      <c r="W6373">
        <f t="shared" si="397"/>
        <v>0</v>
      </c>
      <c r="X6373">
        <f t="shared" si="398"/>
        <v>0</v>
      </c>
      <c r="Y6373" t="str">
        <f t="shared" si="399"/>
        <v>Non-Senior</v>
      </c>
    </row>
    <row r="6374" spans="1:25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7082</v>
      </c>
      <c r="J6374" t="s">
        <v>7084</v>
      </c>
      <c r="K6374" t="s">
        <v>46</v>
      </c>
      <c r="L6374" t="s">
        <v>7084</v>
      </c>
      <c r="M6374" t="s">
        <v>7084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396"/>
        <v>0-12 Months</v>
      </c>
      <c r="W6374">
        <f t="shared" si="397"/>
        <v>0</v>
      </c>
      <c r="X6374">
        <f t="shared" si="398"/>
        <v>0</v>
      </c>
      <c r="Y6374" t="str">
        <f t="shared" si="399"/>
        <v>Non-Senior</v>
      </c>
    </row>
    <row r="6375" spans="1:25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396"/>
        <v>37-48 Months</v>
      </c>
      <c r="W6375">
        <f t="shared" si="397"/>
        <v>0</v>
      </c>
      <c r="X6375">
        <f t="shared" si="398"/>
        <v>0</v>
      </c>
      <c r="Y6375" t="str">
        <f t="shared" si="399"/>
        <v>Non-Senior</v>
      </c>
    </row>
    <row r="6376" spans="1:25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7082</v>
      </c>
      <c r="J6376" t="s">
        <v>7084</v>
      </c>
      <c r="K6376" t="s">
        <v>46</v>
      </c>
      <c r="L6376" t="s">
        <v>7084</v>
      </c>
      <c r="M6376" t="s">
        <v>7084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396"/>
        <v>61-72 Months</v>
      </c>
      <c r="W6376">
        <f t="shared" si="397"/>
        <v>0</v>
      </c>
      <c r="X6376">
        <f t="shared" si="398"/>
        <v>0</v>
      </c>
      <c r="Y6376" t="str">
        <f t="shared" si="399"/>
        <v>Non-Senior</v>
      </c>
    </row>
    <row r="6377" spans="1:25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396"/>
        <v>0-12 Months</v>
      </c>
      <c r="W6377">
        <f t="shared" si="397"/>
        <v>1</v>
      </c>
      <c r="X6377">
        <f t="shared" si="398"/>
        <v>74.3</v>
      </c>
      <c r="Y6377" t="str">
        <f t="shared" si="399"/>
        <v>Non-Senior</v>
      </c>
    </row>
    <row r="6378" spans="1:25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7082</v>
      </c>
      <c r="J6378" t="s">
        <v>7084</v>
      </c>
      <c r="K6378" t="s">
        <v>46</v>
      </c>
      <c r="L6378" t="s">
        <v>7084</v>
      </c>
      <c r="M6378" t="s">
        <v>7084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396"/>
        <v>61-72 Months</v>
      </c>
      <c r="W6378">
        <f t="shared" si="397"/>
        <v>0</v>
      </c>
      <c r="X6378">
        <f t="shared" si="398"/>
        <v>0</v>
      </c>
      <c r="Y6378" t="str">
        <f t="shared" si="399"/>
        <v>Non-Senior</v>
      </c>
    </row>
    <row r="6379" spans="1:25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396"/>
        <v>0-12 Months</v>
      </c>
      <c r="W6379">
        <f t="shared" si="397"/>
        <v>1</v>
      </c>
      <c r="X6379">
        <f t="shared" si="398"/>
        <v>44.65</v>
      </c>
      <c r="Y6379" t="str">
        <f t="shared" si="399"/>
        <v>Non-Senior</v>
      </c>
    </row>
    <row r="6380" spans="1:25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396"/>
        <v>13-24 Months</v>
      </c>
      <c r="W6380">
        <f t="shared" si="397"/>
        <v>1</v>
      </c>
      <c r="X6380">
        <f t="shared" si="398"/>
        <v>84.05</v>
      </c>
      <c r="Y6380" t="str">
        <f t="shared" si="399"/>
        <v>Non-Senior</v>
      </c>
    </row>
    <row r="6381" spans="1:25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396"/>
        <v>0-12 Months</v>
      </c>
      <c r="W6381">
        <f t="shared" si="397"/>
        <v>1</v>
      </c>
      <c r="X6381">
        <f t="shared" si="398"/>
        <v>80.7</v>
      </c>
      <c r="Y6381" t="str">
        <f t="shared" si="399"/>
        <v>Non-Senior</v>
      </c>
    </row>
    <row r="6382" spans="1:25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396"/>
        <v>61-72 Months</v>
      </c>
      <c r="W6382">
        <f t="shared" si="397"/>
        <v>0</v>
      </c>
      <c r="X6382">
        <f t="shared" si="398"/>
        <v>0</v>
      </c>
      <c r="Y6382" t="str">
        <f t="shared" si="399"/>
        <v>Senior Citizen</v>
      </c>
    </row>
    <row r="6383" spans="1:25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7082</v>
      </c>
      <c r="J6383" t="s">
        <v>7084</v>
      </c>
      <c r="K6383" t="s">
        <v>46</v>
      </c>
      <c r="L6383" t="s">
        <v>7084</v>
      </c>
      <c r="M6383" t="s">
        <v>7084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396"/>
        <v>0-12 Months</v>
      </c>
      <c r="W6383">
        <f t="shared" si="397"/>
        <v>0</v>
      </c>
      <c r="X6383">
        <f t="shared" si="398"/>
        <v>0</v>
      </c>
      <c r="Y6383" t="str">
        <f t="shared" si="399"/>
        <v>Non-Senior</v>
      </c>
    </row>
    <row r="6384" spans="1:25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396"/>
        <v>37-48 Months</v>
      </c>
      <c r="W6384">
        <f t="shared" si="397"/>
        <v>0</v>
      </c>
      <c r="X6384">
        <f t="shared" si="398"/>
        <v>0</v>
      </c>
      <c r="Y6384" t="str">
        <f t="shared" si="399"/>
        <v>Non-Senior</v>
      </c>
    </row>
    <row r="6385" spans="1:25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396"/>
        <v>13-24 Months</v>
      </c>
      <c r="W6385">
        <f t="shared" si="397"/>
        <v>0</v>
      </c>
      <c r="X6385">
        <f t="shared" si="398"/>
        <v>0</v>
      </c>
      <c r="Y6385" t="str">
        <f t="shared" si="399"/>
        <v>Non-Senior</v>
      </c>
    </row>
    <row r="6386" spans="1:25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7082</v>
      </c>
      <c r="J6386" t="s">
        <v>7084</v>
      </c>
      <c r="K6386" t="s">
        <v>46</v>
      </c>
      <c r="L6386" t="s">
        <v>7084</v>
      </c>
      <c r="M6386" t="s">
        <v>7084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396"/>
        <v>0-12 Months</v>
      </c>
      <c r="W6386">
        <f t="shared" si="397"/>
        <v>0</v>
      </c>
      <c r="X6386">
        <f t="shared" si="398"/>
        <v>0</v>
      </c>
      <c r="Y6386" t="str">
        <f t="shared" si="399"/>
        <v>Non-Senior</v>
      </c>
    </row>
    <row r="6387" spans="1:25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396"/>
        <v>0-12 Months</v>
      </c>
      <c r="W6387">
        <f t="shared" si="397"/>
        <v>1</v>
      </c>
      <c r="X6387">
        <f t="shared" si="398"/>
        <v>101.7</v>
      </c>
      <c r="Y6387" t="str">
        <f t="shared" si="399"/>
        <v>Non-Senior</v>
      </c>
    </row>
    <row r="6388" spans="1:25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396"/>
        <v>61-72 Months</v>
      </c>
      <c r="W6388">
        <f t="shared" si="397"/>
        <v>0</v>
      </c>
      <c r="X6388">
        <f t="shared" si="398"/>
        <v>0</v>
      </c>
      <c r="Y6388" t="str">
        <f t="shared" si="399"/>
        <v>Non-Senior</v>
      </c>
    </row>
    <row r="6389" spans="1:25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396"/>
        <v>25-36 Months</v>
      </c>
      <c r="W6389">
        <f t="shared" si="397"/>
        <v>0</v>
      </c>
      <c r="X6389">
        <f t="shared" si="398"/>
        <v>0</v>
      </c>
      <c r="Y6389" t="str">
        <f t="shared" si="399"/>
        <v>Non-Senior</v>
      </c>
    </row>
    <row r="6390" spans="1:25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7082</v>
      </c>
      <c r="J6390" t="s">
        <v>7084</v>
      </c>
      <c r="K6390" t="s">
        <v>46</v>
      </c>
      <c r="L6390" t="s">
        <v>7084</v>
      </c>
      <c r="M6390" t="s">
        <v>7084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396"/>
        <v>0-12 Months</v>
      </c>
      <c r="W6390">
        <f t="shared" si="397"/>
        <v>1</v>
      </c>
      <c r="X6390">
        <f t="shared" si="398"/>
        <v>20.399999999999999</v>
      </c>
      <c r="Y6390" t="str">
        <f t="shared" si="399"/>
        <v>Non-Senior</v>
      </c>
    </row>
    <row r="6391" spans="1:25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7082</v>
      </c>
      <c r="J6391" t="s">
        <v>7084</v>
      </c>
      <c r="K6391" t="s">
        <v>46</v>
      </c>
      <c r="L6391" t="s">
        <v>7084</v>
      </c>
      <c r="M6391" t="s">
        <v>7084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396"/>
        <v>49-60 Months</v>
      </c>
      <c r="W6391">
        <f t="shared" si="397"/>
        <v>0</v>
      </c>
      <c r="X6391">
        <f t="shared" si="398"/>
        <v>0</v>
      </c>
      <c r="Y6391" t="str">
        <f t="shared" si="399"/>
        <v>Non-Senior</v>
      </c>
    </row>
    <row r="6392" spans="1:25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396"/>
        <v>61-72 Months</v>
      </c>
      <c r="W6392">
        <f t="shared" si="397"/>
        <v>0</v>
      </c>
      <c r="X6392">
        <f t="shared" si="398"/>
        <v>0</v>
      </c>
      <c r="Y6392" t="str">
        <f t="shared" si="399"/>
        <v>Non-Senior</v>
      </c>
    </row>
    <row r="6393" spans="1:25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396"/>
        <v>37-48 Months</v>
      </c>
      <c r="W6393">
        <f t="shared" si="397"/>
        <v>0</v>
      </c>
      <c r="X6393">
        <f t="shared" si="398"/>
        <v>0</v>
      </c>
      <c r="Y6393" t="str">
        <f t="shared" si="399"/>
        <v>Non-Senior</v>
      </c>
    </row>
    <row r="6394" spans="1:25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396"/>
        <v>49-60 Months</v>
      </c>
      <c r="W6394">
        <f t="shared" si="397"/>
        <v>0</v>
      </c>
      <c r="X6394">
        <f t="shared" si="398"/>
        <v>0</v>
      </c>
      <c r="Y6394" t="str">
        <f t="shared" si="399"/>
        <v>Non-Senior</v>
      </c>
    </row>
    <row r="6395" spans="1:25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396"/>
        <v>25-36 Months</v>
      </c>
      <c r="W6395">
        <f t="shared" si="397"/>
        <v>0</v>
      </c>
      <c r="X6395">
        <f t="shared" si="398"/>
        <v>0</v>
      </c>
      <c r="Y6395" t="str">
        <f t="shared" si="399"/>
        <v>Non-Senior</v>
      </c>
    </row>
    <row r="6396" spans="1:25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396"/>
        <v>0-12 Months</v>
      </c>
      <c r="W6396">
        <f t="shared" si="397"/>
        <v>0</v>
      </c>
      <c r="X6396">
        <f t="shared" si="398"/>
        <v>0</v>
      </c>
      <c r="Y6396" t="str">
        <f t="shared" si="399"/>
        <v>Non-Senior</v>
      </c>
    </row>
    <row r="6397" spans="1:25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396"/>
        <v>37-48 Months</v>
      </c>
      <c r="W6397">
        <f t="shared" si="397"/>
        <v>1</v>
      </c>
      <c r="X6397">
        <f t="shared" si="398"/>
        <v>102.6</v>
      </c>
      <c r="Y6397" t="str">
        <f t="shared" si="399"/>
        <v>Non-Senior</v>
      </c>
    </row>
    <row r="6398" spans="1:25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396"/>
        <v>25-36 Months</v>
      </c>
      <c r="W6398">
        <f t="shared" si="397"/>
        <v>0</v>
      </c>
      <c r="X6398">
        <f t="shared" si="398"/>
        <v>0</v>
      </c>
      <c r="Y6398" t="str">
        <f t="shared" si="399"/>
        <v>Senior Citizen</v>
      </c>
    </row>
    <row r="6399" spans="1:25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396"/>
        <v>49-60 Months</v>
      </c>
      <c r="W6399">
        <f t="shared" si="397"/>
        <v>0</v>
      </c>
      <c r="X6399">
        <f t="shared" si="398"/>
        <v>0</v>
      </c>
      <c r="Y6399" t="str">
        <f t="shared" si="399"/>
        <v>Senior Citizen</v>
      </c>
    </row>
    <row r="6400" spans="1:25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396"/>
        <v>61-72 Months</v>
      </c>
      <c r="W6400">
        <f t="shared" si="397"/>
        <v>1</v>
      </c>
      <c r="X6400">
        <f t="shared" si="398"/>
        <v>106</v>
      </c>
      <c r="Y6400" t="str">
        <f t="shared" si="399"/>
        <v>Non-Senior</v>
      </c>
    </row>
    <row r="6401" spans="1:25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396"/>
        <v>49-60 Months</v>
      </c>
      <c r="W6401">
        <f t="shared" si="397"/>
        <v>0</v>
      </c>
      <c r="X6401">
        <f t="shared" si="398"/>
        <v>0</v>
      </c>
      <c r="Y6401" t="str">
        <f t="shared" si="399"/>
        <v>Non-Senior</v>
      </c>
    </row>
    <row r="6402" spans="1:25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si="396"/>
        <v>61-72 Months</v>
      </c>
      <c r="W6402">
        <f t="shared" si="397"/>
        <v>0</v>
      </c>
      <c r="X6402">
        <f t="shared" si="398"/>
        <v>0</v>
      </c>
      <c r="Y6402" t="str">
        <f t="shared" si="399"/>
        <v>Non-Senior</v>
      </c>
    </row>
    <row r="6403" spans="1:25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ref="V6403:V6466" si="400">IF(F6403&lt;=12,"0-12 Months",IF(F6403&lt;=24,"13-24 Months",IF(F6403&lt;=36,"25-36 Months",IF(F6403&lt;=48,"37-48 Months",IF(F6403&lt;=60,"49-60 Months","61-72 Months")))))</f>
        <v>0-12 Months</v>
      </c>
      <c r="W6403">
        <f t="shared" ref="W6403:W6466" si="401">IF(U6403="Yes",1,0)</f>
        <v>1</v>
      </c>
      <c r="X6403">
        <f t="shared" ref="X6403:X6466" si="402">IF(U6403="Yes",S6403,0)</f>
        <v>55.1</v>
      </c>
      <c r="Y6403" t="str">
        <f t="shared" ref="Y6403:Y6466" si="403">IF(C6403=1,"Senior Citizen","Non-Senior")</f>
        <v>Non-Senior</v>
      </c>
    </row>
    <row r="6404" spans="1:25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400"/>
        <v>49-60 Months</v>
      </c>
      <c r="W6404">
        <f t="shared" si="401"/>
        <v>0</v>
      </c>
      <c r="X6404">
        <f t="shared" si="402"/>
        <v>0</v>
      </c>
      <c r="Y6404" t="str">
        <f t="shared" si="403"/>
        <v>Non-Senior</v>
      </c>
    </row>
    <row r="6405" spans="1:25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400"/>
        <v>61-72 Months</v>
      </c>
      <c r="W6405">
        <f t="shared" si="401"/>
        <v>0</v>
      </c>
      <c r="X6405">
        <f t="shared" si="402"/>
        <v>0</v>
      </c>
      <c r="Y6405" t="str">
        <f t="shared" si="403"/>
        <v>Non-Senior</v>
      </c>
    </row>
    <row r="6406" spans="1:25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400"/>
        <v>49-60 Months</v>
      </c>
      <c r="W6406">
        <f t="shared" si="401"/>
        <v>0</v>
      </c>
      <c r="X6406">
        <f t="shared" si="402"/>
        <v>0</v>
      </c>
      <c r="Y6406" t="str">
        <f t="shared" si="403"/>
        <v>Non-Senior</v>
      </c>
    </row>
    <row r="6407" spans="1:25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400"/>
        <v>49-60 Months</v>
      </c>
      <c r="W6407">
        <f t="shared" si="401"/>
        <v>0</v>
      </c>
      <c r="X6407">
        <f t="shared" si="402"/>
        <v>0</v>
      </c>
      <c r="Y6407" t="str">
        <f t="shared" si="403"/>
        <v>Senior Citizen</v>
      </c>
    </row>
    <row r="6408" spans="1:25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400"/>
        <v>37-48 Months</v>
      </c>
      <c r="W6408">
        <f t="shared" si="401"/>
        <v>0</v>
      </c>
      <c r="X6408">
        <f t="shared" si="402"/>
        <v>0</v>
      </c>
      <c r="Y6408" t="str">
        <f t="shared" si="403"/>
        <v>Non-Senior</v>
      </c>
    </row>
    <row r="6409" spans="1:25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400"/>
        <v>13-24 Months</v>
      </c>
      <c r="W6409">
        <f t="shared" si="401"/>
        <v>0</v>
      </c>
      <c r="X6409">
        <f t="shared" si="402"/>
        <v>0</v>
      </c>
      <c r="Y6409" t="str">
        <f t="shared" si="403"/>
        <v>Non-Senior</v>
      </c>
    </row>
    <row r="6410" spans="1:25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400"/>
        <v>61-72 Months</v>
      </c>
      <c r="W6410">
        <f t="shared" si="401"/>
        <v>1</v>
      </c>
      <c r="X6410">
        <f t="shared" si="402"/>
        <v>106.5</v>
      </c>
      <c r="Y6410" t="str">
        <f t="shared" si="403"/>
        <v>Non-Senior</v>
      </c>
    </row>
    <row r="6411" spans="1:25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7082</v>
      </c>
      <c r="J6411" t="s">
        <v>7084</v>
      </c>
      <c r="K6411" t="s">
        <v>46</v>
      </c>
      <c r="L6411" t="s">
        <v>7084</v>
      </c>
      <c r="M6411" t="s">
        <v>7084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400"/>
        <v>37-48 Months</v>
      </c>
      <c r="W6411">
        <f t="shared" si="401"/>
        <v>0</v>
      </c>
      <c r="X6411">
        <f t="shared" si="402"/>
        <v>0</v>
      </c>
      <c r="Y6411" t="str">
        <f t="shared" si="403"/>
        <v>Non-Senior</v>
      </c>
    </row>
    <row r="6412" spans="1:25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400"/>
        <v>61-72 Months</v>
      </c>
      <c r="W6412">
        <f t="shared" si="401"/>
        <v>0</v>
      </c>
      <c r="X6412">
        <f t="shared" si="402"/>
        <v>0</v>
      </c>
      <c r="Y6412" t="str">
        <f t="shared" si="403"/>
        <v>Senior Citizen</v>
      </c>
    </row>
    <row r="6413" spans="1:25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400"/>
        <v>0-12 Months</v>
      </c>
      <c r="W6413">
        <f t="shared" si="401"/>
        <v>0</v>
      </c>
      <c r="X6413">
        <f t="shared" si="402"/>
        <v>0</v>
      </c>
      <c r="Y6413" t="str">
        <f t="shared" si="403"/>
        <v>Senior Citizen</v>
      </c>
    </row>
    <row r="6414" spans="1:25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400"/>
        <v>61-72 Months</v>
      </c>
      <c r="W6414">
        <f t="shared" si="401"/>
        <v>0</v>
      </c>
      <c r="X6414">
        <f t="shared" si="402"/>
        <v>0</v>
      </c>
      <c r="Y6414" t="str">
        <f t="shared" si="403"/>
        <v>Non-Senior</v>
      </c>
    </row>
    <row r="6415" spans="1:25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400"/>
        <v>25-36 Months</v>
      </c>
      <c r="W6415">
        <f t="shared" si="401"/>
        <v>1</v>
      </c>
      <c r="X6415">
        <f t="shared" si="402"/>
        <v>91.05</v>
      </c>
      <c r="Y6415" t="str">
        <f t="shared" si="403"/>
        <v>Non-Senior</v>
      </c>
    </row>
    <row r="6416" spans="1:25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7082</v>
      </c>
      <c r="J6416" t="s">
        <v>7084</v>
      </c>
      <c r="K6416" t="s">
        <v>46</v>
      </c>
      <c r="L6416" t="s">
        <v>7084</v>
      </c>
      <c r="M6416" t="s">
        <v>7084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400"/>
        <v>37-48 Months</v>
      </c>
      <c r="W6416">
        <f t="shared" si="401"/>
        <v>0</v>
      </c>
      <c r="X6416">
        <f t="shared" si="402"/>
        <v>0</v>
      </c>
      <c r="Y6416" t="str">
        <f t="shared" si="403"/>
        <v>Non-Senior</v>
      </c>
    </row>
    <row r="6417" spans="1:25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400"/>
        <v>49-60 Months</v>
      </c>
      <c r="W6417">
        <f t="shared" si="401"/>
        <v>0</v>
      </c>
      <c r="X6417">
        <f t="shared" si="402"/>
        <v>0</v>
      </c>
      <c r="Y6417" t="str">
        <f t="shared" si="403"/>
        <v>Non-Senior</v>
      </c>
    </row>
    <row r="6418" spans="1:25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400"/>
        <v>61-72 Months</v>
      </c>
      <c r="W6418">
        <f t="shared" si="401"/>
        <v>0</v>
      </c>
      <c r="X6418">
        <f t="shared" si="402"/>
        <v>0</v>
      </c>
      <c r="Y6418" t="str">
        <f t="shared" si="403"/>
        <v>Non-Senior</v>
      </c>
    </row>
    <row r="6419" spans="1:25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400"/>
        <v>49-60 Months</v>
      </c>
      <c r="W6419">
        <f t="shared" si="401"/>
        <v>1</v>
      </c>
      <c r="X6419">
        <f t="shared" si="402"/>
        <v>77.5</v>
      </c>
      <c r="Y6419" t="str">
        <f t="shared" si="403"/>
        <v>Senior Citizen</v>
      </c>
    </row>
    <row r="6420" spans="1:25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400"/>
        <v>25-36 Months</v>
      </c>
      <c r="W6420">
        <f t="shared" si="401"/>
        <v>0</v>
      </c>
      <c r="X6420">
        <f t="shared" si="402"/>
        <v>0</v>
      </c>
      <c r="Y6420" t="str">
        <f t="shared" si="403"/>
        <v>Non-Senior</v>
      </c>
    </row>
    <row r="6421" spans="1:25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400"/>
        <v>61-72 Months</v>
      </c>
      <c r="W6421">
        <f t="shared" si="401"/>
        <v>0</v>
      </c>
      <c r="X6421">
        <f t="shared" si="402"/>
        <v>0</v>
      </c>
      <c r="Y6421" t="str">
        <f t="shared" si="403"/>
        <v>Senior Citizen</v>
      </c>
    </row>
    <row r="6422" spans="1:25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400"/>
        <v>25-36 Months</v>
      </c>
      <c r="W6422">
        <f t="shared" si="401"/>
        <v>0</v>
      </c>
      <c r="X6422">
        <f t="shared" si="402"/>
        <v>0</v>
      </c>
      <c r="Y6422" t="str">
        <f t="shared" si="403"/>
        <v>Non-Senior</v>
      </c>
    </row>
    <row r="6423" spans="1:25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400"/>
        <v>13-24 Months</v>
      </c>
      <c r="W6423">
        <f t="shared" si="401"/>
        <v>0</v>
      </c>
      <c r="X6423">
        <f t="shared" si="402"/>
        <v>0</v>
      </c>
      <c r="Y6423" t="str">
        <f t="shared" si="403"/>
        <v>Non-Senior</v>
      </c>
    </row>
    <row r="6424" spans="1:25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400"/>
        <v>49-60 Months</v>
      </c>
      <c r="W6424">
        <f t="shared" si="401"/>
        <v>0</v>
      </c>
      <c r="X6424">
        <f t="shared" si="402"/>
        <v>0</v>
      </c>
      <c r="Y6424" t="str">
        <f t="shared" si="403"/>
        <v>Non-Senior</v>
      </c>
    </row>
    <row r="6425" spans="1:25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7082</v>
      </c>
      <c r="J6425" t="s">
        <v>7084</v>
      </c>
      <c r="K6425" t="s">
        <v>46</v>
      </c>
      <c r="L6425" t="s">
        <v>7084</v>
      </c>
      <c r="M6425" t="s">
        <v>7084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400"/>
        <v>61-72 Months</v>
      </c>
      <c r="W6425">
        <f t="shared" si="401"/>
        <v>0</v>
      </c>
      <c r="X6425">
        <f t="shared" si="402"/>
        <v>0</v>
      </c>
      <c r="Y6425" t="str">
        <f t="shared" si="403"/>
        <v>Non-Senior</v>
      </c>
    </row>
    <row r="6426" spans="1:25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400"/>
        <v>61-72 Months</v>
      </c>
      <c r="W6426">
        <f t="shared" si="401"/>
        <v>1</v>
      </c>
      <c r="X6426">
        <f t="shared" si="402"/>
        <v>54.2</v>
      </c>
      <c r="Y6426" t="str">
        <f t="shared" si="403"/>
        <v>Non-Senior</v>
      </c>
    </row>
    <row r="6427" spans="1:25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400"/>
        <v>49-60 Months</v>
      </c>
      <c r="W6427">
        <f t="shared" si="401"/>
        <v>0</v>
      </c>
      <c r="X6427">
        <f t="shared" si="402"/>
        <v>0</v>
      </c>
      <c r="Y6427" t="str">
        <f t="shared" si="403"/>
        <v>Non-Senior</v>
      </c>
    </row>
    <row r="6428" spans="1:25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400"/>
        <v>37-48 Months</v>
      </c>
      <c r="W6428">
        <f t="shared" si="401"/>
        <v>0</v>
      </c>
      <c r="X6428">
        <f t="shared" si="402"/>
        <v>0</v>
      </c>
      <c r="Y6428" t="str">
        <f t="shared" si="403"/>
        <v>Non-Senior</v>
      </c>
    </row>
    <row r="6429" spans="1:25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7082</v>
      </c>
      <c r="J6429" t="s">
        <v>7084</v>
      </c>
      <c r="K6429" t="s">
        <v>46</v>
      </c>
      <c r="L6429" t="s">
        <v>7084</v>
      </c>
      <c r="M6429" t="s">
        <v>7084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400"/>
        <v>37-48 Months</v>
      </c>
      <c r="W6429">
        <f t="shared" si="401"/>
        <v>0</v>
      </c>
      <c r="X6429">
        <f t="shared" si="402"/>
        <v>0</v>
      </c>
      <c r="Y6429" t="str">
        <f t="shared" si="403"/>
        <v>Non-Senior</v>
      </c>
    </row>
    <row r="6430" spans="1:25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400"/>
        <v>0-12 Months</v>
      </c>
      <c r="W6430">
        <f t="shared" si="401"/>
        <v>1</v>
      </c>
      <c r="X6430">
        <f t="shared" si="402"/>
        <v>69.25</v>
      </c>
      <c r="Y6430" t="str">
        <f t="shared" si="403"/>
        <v>Non-Senior</v>
      </c>
    </row>
    <row r="6431" spans="1:25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400"/>
        <v>61-72 Months</v>
      </c>
      <c r="W6431">
        <f t="shared" si="401"/>
        <v>0</v>
      </c>
      <c r="X6431">
        <f t="shared" si="402"/>
        <v>0</v>
      </c>
      <c r="Y6431" t="str">
        <f t="shared" si="403"/>
        <v>Non-Senior</v>
      </c>
    </row>
    <row r="6432" spans="1:25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7082</v>
      </c>
      <c r="J6432" t="s">
        <v>7084</v>
      </c>
      <c r="K6432" t="s">
        <v>46</v>
      </c>
      <c r="L6432" t="s">
        <v>7084</v>
      </c>
      <c r="M6432" t="s">
        <v>7084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400"/>
        <v>13-24 Months</v>
      </c>
      <c r="W6432">
        <f t="shared" si="401"/>
        <v>0</v>
      </c>
      <c r="X6432">
        <f t="shared" si="402"/>
        <v>0</v>
      </c>
      <c r="Y6432" t="str">
        <f t="shared" si="403"/>
        <v>Non-Senior</v>
      </c>
    </row>
    <row r="6433" spans="1:25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7082</v>
      </c>
      <c r="J6433" t="s">
        <v>7084</v>
      </c>
      <c r="K6433" t="s">
        <v>46</v>
      </c>
      <c r="L6433" t="s">
        <v>7084</v>
      </c>
      <c r="M6433" t="s">
        <v>7084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400"/>
        <v>13-24 Months</v>
      </c>
      <c r="W6433">
        <f t="shared" si="401"/>
        <v>0</v>
      </c>
      <c r="X6433">
        <f t="shared" si="402"/>
        <v>0</v>
      </c>
      <c r="Y6433" t="str">
        <f t="shared" si="403"/>
        <v>Non-Senior</v>
      </c>
    </row>
    <row r="6434" spans="1:25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400"/>
        <v>25-36 Months</v>
      </c>
      <c r="W6434">
        <f t="shared" si="401"/>
        <v>0</v>
      </c>
      <c r="X6434">
        <f t="shared" si="402"/>
        <v>0</v>
      </c>
      <c r="Y6434" t="str">
        <f t="shared" si="403"/>
        <v>Non-Senior</v>
      </c>
    </row>
    <row r="6435" spans="1:25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7082</v>
      </c>
      <c r="J6435" t="s">
        <v>7084</v>
      </c>
      <c r="K6435" t="s">
        <v>46</v>
      </c>
      <c r="L6435" t="s">
        <v>7084</v>
      </c>
      <c r="M6435" t="s">
        <v>7084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400"/>
        <v>49-60 Months</v>
      </c>
      <c r="W6435">
        <f t="shared" si="401"/>
        <v>0</v>
      </c>
      <c r="X6435">
        <f t="shared" si="402"/>
        <v>0</v>
      </c>
      <c r="Y6435" t="str">
        <f t="shared" si="403"/>
        <v>Non-Senior</v>
      </c>
    </row>
    <row r="6436" spans="1:25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400"/>
        <v>0-12 Months</v>
      </c>
      <c r="W6436">
        <f t="shared" si="401"/>
        <v>1</v>
      </c>
      <c r="X6436">
        <f t="shared" si="402"/>
        <v>50.5</v>
      </c>
      <c r="Y6436" t="str">
        <f t="shared" si="403"/>
        <v>Non-Senior</v>
      </c>
    </row>
    <row r="6437" spans="1:25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400"/>
        <v>49-60 Months</v>
      </c>
      <c r="W6437">
        <f t="shared" si="401"/>
        <v>0</v>
      </c>
      <c r="X6437">
        <f t="shared" si="402"/>
        <v>0</v>
      </c>
      <c r="Y6437" t="str">
        <f t="shared" si="403"/>
        <v>Non-Senior</v>
      </c>
    </row>
    <row r="6438" spans="1:25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400"/>
        <v>61-72 Months</v>
      </c>
      <c r="W6438">
        <f t="shared" si="401"/>
        <v>0</v>
      </c>
      <c r="X6438">
        <f t="shared" si="402"/>
        <v>0</v>
      </c>
      <c r="Y6438" t="str">
        <f t="shared" si="403"/>
        <v>Non-Senior</v>
      </c>
    </row>
    <row r="6439" spans="1:25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7082</v>
      </c>
      <c r="J6439" t="s">
        <v>7084</v>
      </c>
      <c r="K6439" t="s">
        <v>46</v>
      </c>
      <c r="L6439" t="s">
        <v>7084</v>
      </c>
      <c r="M6439" t="s">
        <v>7084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400"/>
        <v>13-24 Months</v>
      </c>
      <c r="W6439">
        <f t="shared" si="401"/>
        <v>0</v>
      </c>
      <c r="X6439">
        <f t="shared" si="402"/>
        <v>0</v>
      </c>
      <c r="Y6439" t="str">
        <f t="shared" si="403"/>
        <v>Non-Senior</v>
      </c>
    </row>
    <row r="6440" spans="1:25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400"/>
        <v>0-12 Months</v>
      </c>
      <c r="W6440">
        <f t="shared" si="401"/>
        <v>1</v>
      </c>
      <c r="X6440">
        <f t="shared" si="402"/>
        <v>74.400000000000006</v>
      </c>
      <c r="Y6440" t="str">
        <f t="shared" si="403"/>
        <v>Senior Citizen</v>
      </c>
    </row>
    <row r="6441" spans="1:25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400"/>
        <v>25-36 Months</v>
      </c>
      <c r="W6441">
        <f t="shared" si="401"/>
        <v>0</v>
      </c>
      <c r="X6441">
        <f t="shared" si="402"/>
        <v>0</v>
      </c>
      <c r="Y6441" t="str">
        <f t="shared" si="403"/>
        <v>Non-Senior</v>
      </c>
    </row>
    <row r="6442" spans="1:25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400"/>
        <v>25-36 Months</v>
      </c>
      <c r="W6442">
        <f t="shared" si="401"/>
        <v>0</v>
      </c>
      <c r="X6442">
        <f t="shared" si="402"/>
        <v>0</v>
      </c>
      <c r="Y6442" t="str">
        <f t="shared" si="403"/>
        <v>Non-Senior</v>
      </c>
    </row>
    <row r="6443" spans="1:25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400"/>
        <v>13-24 Months</v>
      </c>
      <c r="W6443">
        <f t="shared" si="401"/>
        <v>0</v>
      </c>
      <c r="X6443">
        <f t="shared" si="402"/>
        <v>0</v>
      </c>
      <c r="Y6443" t="str">
        <f t="shared" si="403"/>
        <v>Non-Senior</v>
      </c>
    </row>
    <row r="6444" spans="1:25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400"/>
        <v>61-72 Months</v>
      </c>
      <c r="W6444">
        <f t="shared" si="401"/>
        <v>0</v>
      </c>
      <c r="X6444">
        <f t="shared" si="402"/>
        <v>0</v>
      </c>
      <c r="Y6444" t="str">
        <f t="shared" si="403"/>
        <v>Non-Senior</v>
      </c>
    </row>
    <row r="6445" spans="1:25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7082</v>
      </c>
      <c r="J6445" t="s">
        <v>7084</v>
      </c>
      <c r="K6445" t="s">
        <v>46</v>
      </c>
      <c r="L6445" t="s">
        <v>7084</v>
      </c>
      <c r="M6445" t="s">
        <v>7084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400"/>
        <v>0-12 Months</v>
      </c>
      <c r="W6445">
        <f t="shared" si="401"/>
        <v>0</v>
      </c>
      <c r="X6445">
        <f t="shared" si="402"/>
        <v>0</v>
      </c>
      <c r="Y6445" t="str">
        <f t="shared" si="403"/>
        <v>Non-Senior</v>
      </c>
    </row>
    <row r="6446" spans="1:25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400"/>
        <v>25-36 Months</v>
      </c>
      <c r="W6446">
        <f t="shared" si="401"/>
        <v>1</v>
      </c>
      <c r="X6446">
        <f t="shared" si="402"/>
        <v>79.45</v>
      </c>
      <c r="Y6446" t="str">
        <f t="shared" si="403"/>
        <v>Non-Senior</v>
      </c>
    </row>
    <row r="6447" spans="1:25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400"/>
        <v>0-12 Months</v>
      </c>
      <c r="W6447">
        <f t="shared" si="401"/>
        <v>0</v>
      </c>
      <c r="X6447">
        <f t="shared" si="402"/>
        <v>0</v>
      </c>
      <c r="Y6447" t="str">
        <f t="shared" si="403"/>
        <v>Non-Senior</v>
      </c>
    </row>
    <row r="6448" spans="1:25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400"/>
        <v>49-60 Months</v>
      </c>
      <c r="W6448">
        <f t="shared" si="401"/>
        <v>0</v>
      </c>
      <c r="X6448">
        <f t="shared" si="402"/>
        <v>0</v>
      </c>
      <c r="Y6448" t="str">
        <f t="shared" si="403"/>
        <v>Senior Citizen</v>
      </c>
    </row>
    <row r="6449" spans="1:25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400"/>
        <v>49-60 Months</v>
      </c>
      <c r="W6449">
        <f t="shared" si="401"/>
        <v>0</v>
      </c>
      <c r="X6449">
        <f t="shared" si="402"/>
        <v>0</v>
      </c>
      <c r="Y6449" t="str">
        <f t="shared" si="403"/>
        <v>Non-Senior</v>
      </c>
    </row>
    <row r="6450" spans="1:25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400"/>
        <v>49-60 Months</v>
      </c>
      <c r="W6450">
        <f t="shared" si="401"/>
        <v>1</v>
      </c>
      <c r="X6450">
        <f t="shared" si="402"/>
        <v>104.65</v>
      </c>
      <c r="Y6450" t="str">
        <f t="shared" si="403"/>
        <v>Non-Senior</v>
      </c>
    </row>
    <row r="6451" spans="1:25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7082</v>
      </c>
      <c r="J6451" t="s">
        <v>7084</v>
      </c>
      <c r="K6451" t="s">
        <v>46</v>
      </c>
      <c r="L6451" t="s">
        <v>7084</v>
      </c>
      <c r="M6451" t="s">
        <v>7084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400"/>
        <v>0-12 Months</v>
      </c>
      <c r="W6451">
        <f t="shared" si="401"/>
        <v>0</v>
      </c>
      <c r="X6451">
        <f t="shared" si="402"/>
        <v>0</v>
      </c>
      <c r="Y6451" t="str">
        <f t="shared" si="403"/>
        <v>Non-Senior</v>
      </c>
    </row>
    <row r="6452" spans="1:25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7082</v>
      </c>
      <c r="J6452" t="s">
        <v>7084</v>
      </c>
      <c r="K6452" t="s">
        <v>46</v>
      </c>
      <c r="L6452" t="s">
        <v>7084</v>
      </c>
      <c r="M6452" t="s">
        <v>7084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400"/>
        <v>25-36 Months</v>
      </c>
      <c r="W6452">
        <f t="shared" si="401"/>
        <v>0</v>
      </c>
      <c r="X6452">
        <f t="shared" si="402"/>
        <v>0</v>
      </c>
      <c r="Y6452" t="str">
        <f t="shared" si="403"/>
        <v>Non-Senior</v>
      </c>
    </row>
    <row r="6453" spans="1:25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400"/>
        <v>61-72 Months</v>
      </c>
      <c r="W6453">
        <f t="shared" si="401"/>
        <v>0</v>
      </c>
      <c r="X6453">
        <f t="shared" si="402"/>
        <v>0</v>
      </c>
      <c r="Y6453" t="str">
        <f t="shared" si="403"/>
        <v>Senior Citizen</v>
      </c>
    </row>
    <row r="6454" spans="1:25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400"/>
        <v>13-24 Months</v>
      </c>
      <c r="W6454">
        <f t="shared" si="401"/>
        <v>0</v>
      </c>
      <c r="X6454">
        <f t="shared" si="402"/>
        <v>0</v>
      </c>
      <c r="Y6454" t="str">
        <f t="shared" si="403"/>
        <v>Non-Senior</v>
      </c>
    </row>
    <row r="6455" spans="1:25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400"/>
        <v>37-48 Months</v>
      </c>
      <c r="W6455">
        <f t="shared" si="401"/>
        <v>1</v>
      </c>
      <c r="X6455">
        <f t="shared" si="402"/>
        <v>100.05</v>
      </c>
      <c r="Y6455" t="str">
        <f t="shared" si="403"/>
        <v>Senior Citizen</v>
      </c>
    </row>
    <row r="6456" spans="1:25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400"/>
        <v>37-48 Months</v>
      </c>
      <c r="W6456">
        <f t="shared" si="401"/>
        <v>0</v>
      </c>
      <c r="X6456">
        <f t="shared" si="402"/>
        <v>0</v>
      </c>
      <c r="Y6456" t="str">
        <f t="shared" si="403"/>
        <v>Non-Senior</v>
      </c>
    </row>
    <row r="6457" spans="1:25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400"/>
        <v>49-60 Months</v>
      </c>
      <c r="W6457">
        <f t="shared" si="401"/>
        <v>0</v>
      </c>
      <c r="X6457">
        <f t="shared" si="402"/>
        <v>0</v>
      </c>
      <c r="Y6457" t="str">
        <f t="shared" si="403"/>
        <v>Non-Senior</v>
      </c>
    </row>
    <row r="6458" spans="1:25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400"/>
        <v>49-60 Months</v>
      </c>
      <c r="W6458">
        <f t="shared" si="401"/>
        <v>0</v>
      </c>
      <c r="X6458">
        <f t="shared" si="402"/>
        <v>0</v>
      </c>
      <c r="Y6458" t="str">
        <f t="shared" si="403"/>
        <v>Non-Senior</v>
      </c>
    </row>
    <row r="6459" spans="1:25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400"/>
        <v>13-24 Months</v>
      </c>
      <c r="W6459">
        <f t="shared" si="401"/>
        <v>0</v>
      </c>
      <c r="X6459">
        <f t="shared" si="402"/>
        <v>0</v>
      </c>
      <c r="Y6459" t="str">
        <f t="shared" si="403"/>
        <v>Non-Senior</v>
      </c>
    </row>
    <row r="6460" spans="1:25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400"/>
        <v>0-12 Months</v>
      </c>
      <c r="W6460">
        <f t="shared" si="401"/>
        <v>0</v>
      </c>
      <c r="X6460">
        <f t="shared" si="402"/>
        <v>0</v>
      </c>
      <c r="Y6460" t="str">
        <f t="shared" si="403"/>
        <v>Non-Senior</v>
      </c>
    </row>
    <row r="6461" spans="1:25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400"/>
        <v>49-60 Months</v>
      </c>
      <c r="W6461">
        <f t="shared" si="401"/>
        <v>0</v>
      </c>
      <c r="X6461">
        <f t="shared" si="402"/>
        <v>0</v>
      </c>
      <c r="Y6461" t="str">
        <f t="shared" si="403"/>
        <v>Senior Citizen</v>
      </c>
    </row>
    <row r="6462" spans="1:25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400"/>
        <v>37-48 Months</v>
      </c>
      <c r="W6462">
        <f t="shared" si="401"/>
        <v>1</v>
      </c>
      <c r="X6462">
        <f t="shared" si="402"/>
        <v>100.55</v>
      </c>
      <c r="Y6462" t="str">
        <f t="shared" si="403"/>
        <v>Non-Senior</v>
      </c>
    </row>
    <row r="6463" spans="1:25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400"/>
        <v>49-60 Months</v>
      </c>
      <c r="W6463">
        <f t="shared" si="401"/>
        <v>0</v>
      </c>
      <c r="X6463">
        <f t="shared" si="402"/>
        <v>0</v>
      </c>
      <c r="Y6463" t="str">
        <f t="shared" si="403"/>
        <v>Non-Senior</v>
      </c>
    </row>
    <row r="6464" spans="1:25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400"/>
        <v>0-12 Months</v>
      </c>
      <c r="W6464">
        <f t="shared" si="401"/>
        <v>1</v>
      </c>
      <c r="X6464">
        <f t="shared" si="402"/>
        <v>95.65</v>
      </c>
      <c r="Y6464" t="str">
        <f t="shared" si="403"/>
        <v>Non-Senior</v>
      </c>
    </row>
    <row r="6465" spans="1:25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400"/>
        <v>49-60 Months</v>
      </c>
      <c r="W6465">
        <f t="shared" si="401"/>
        <v>0</v>
      </c>
      <c r="X6465">
        <f t="shared" si="402"/>
        <v>0</v>
      </c>
      <c r="Y6465" t="str">
        <f t="shared" si="403"/>
        <v>Non-Senior</v>
      </c>
    </row>
    <row r="6466" spans="1:25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si="400"/>
        <v>49-60 Months</v>
      </c>
      <c r="W6466">
        <f t="shared" si="401"/>
        <v>0</v>
      </c>
      <c r="X6466">
        <f t="shared" si="402"/>
        <v>0</v>
      </c>
      <c r="Y6466" t="str">
        <f t="shared" si="403"/>
        <v>Senior Citizen</v>
      </c>
    </row>
    <row r="6467" spans="1:25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7082</v>
      </c>
      <c r="J6467" t="s">
        <v>7084</v>
      </c>
      <c r="K6467" t="s">
        <v>46</v>
      </c>
      <c r="L6467" t="s">
        <v>7084</v>
      </c>
      <c r="M6467" t="s">
        <v>7084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ref="V6467:V6530" si="404">IF(F6467&lt;=12,"0-12 Months",IF(F6467&lt;=24,"13-24 Months",IF(F6467&lt;=36,"25-36 Months",IF(F6467&lt;=48,"37-48 Months",IF(F6467&lt;=60,"49-60 Months","61-72 Months")))))</f>
        <v>49-60 Months</v>
      </c>
      <c r="W6467">
        <f t="shared" ref="W6467:W6530" si="405">IF(U6467="Yes",1,0)</f>
        <v>0</v>
      </c>
      <c r="X6467">
        <f t="shared" ref="X6467:X6530" si="406">IF(U6467="Yes",S6467,0)</f>
        <v>0</v>
      </c>
      <c r="Y6467" t="str">
        <f t="shared" ref="Y6467:Y6530" si="407">IF(C6467=1,"Senior Citizen","Non-Senior")</f>
        <v>Non-Senior</v>
      </c>
    </row>
    <row r="6468" spans="1:25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404"/>
        <v>13-24 Months</v>
      </c>
      <c r="W6468">
        <f t="shared" si="405"/>
        <v>0</v>
      </c>
      <c r="X6468">
        <f t="shared" si="406"/>
        <v>0</v>
      </c>
      <c r="Y6468" t="str">
        <f t="shared" si="407"/>
        <v>Non-Senior</v>
      </c>
    </row>
    <row r="6469" spans="1:25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404"/>
        <v>0-12 Months</v>
      </c>
      <c r="W6469">
        <f t="shared" si="405"/>
        <v>0</v>
      </c>
      <c r="X6469">
        <f t="shared" si="406"/>
        <v>0</v>
      </c>
      <c r="Y6469" t="str">
        <f t="shared" si="407"/>
        <v>Non-Senior</v>
      </c>
    </row>
    <row r="6470" spans="1:25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404"/>
        <v>13-24 Months</v>
      </c>
      <c r="W6470">
        <f t="shared" si="405"/>
        <v>0</v>
      </c>
      <c r="X6470">
        <f t="shared" si="406"/>
        <v>0</v>
      </c>
      <c r="Y6470" t="str">
        <f t="shared" si="407"/>
        <v>Non-Senior</v>
      </c>
    </row>
    <row r="6471" spans="1:25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7082</v>
      </c>
      <c r="J6471" t="s">
        <v>7084</v>
      </c>
      <c r="K6471" t="s">
        <v>46</v>
      </c>
      <c r="L6471" t="s">
        <v>7084</v>
      </c>
      <c r="M6471" t="s">
        <v>7084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404"/>
        <v>25-36 Months</v>
      </c>
      <c r="W6471">
        <f t="shared" si="405"/>
        <v>0</v>
      </c>
      <c r="X6471">
        <f t="shared" si="406"/>
        <v>0</v>
      </c>
      <c r="Y6471" t="str">
        <f t="shared" si="407"/>
        <v>Non-Senior</v>
      </c>
    </row>
    <row r="6472" spans="1:25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404"/>
        <v>0-12 Months</v>
      </c>
      <c r="W6472">
        <f t="shared" si="405"/>
        <v>0</v>
      </c>
      <c r="X6472">
        <f t="shared" si="406"/>
        <v>0</v>
      </c>
      <c r="Y6472" t="str">
        <f t="shared" si="407"/>
        <v>Non-Senior</v>
      </c>
    </row>
    <row r="6473" spans="1:25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7082</v>
      </c>
      <c r="J6473" t="s">
        <v>7084</v>
      </c>
      <c r="K6473" t="s">
        <v>46</v>
      </c>
      <c r="L6473" t="s">
        <v>7084</v>
      </c>
      <c r="M6473" t="s">
        <v>7084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404"/>
        <v>13-24 Months</v>
      </c>
      <c r="W6473">
        <f t="shared" si="405"/>
        <v>0</v>
      </c>
      <c r="X6473">
        <f t="shared" si="406"/>
        <v>0</v>
      </c>
      <c r="Y6473" t="str">
        <f t="shared" si="407"/>
        <v>Non-Senior</v>
      </c>
    </row>
    <row r="6474" spans="1:25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404"/>
        <v>49-60 Months</v>
      </c>
      <c r="W6474">
        <f t="shared" si="405"/>
        <v>0</v>
      </c>
      <c r="X6474">
        <f t="shared" si="406"/>
        <v>0</v>
      </c>
      <c r="Y6474" t="str">
        <f t="shared" si="407"/>
        <v>Non-Senior</v>
      </c>
    </row>
    <row r="6475" spans="1:25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404"/>
        <v>0-12 Months</v>
      </c>
      <c r="W6475">
        <f t="shared" si="405"/>
        <v>1</v>
      </c>
      <c r="X6475">
        <f t="shared" si="406"/>
        <v>94.4</v>
      </c>
      <c r="Y6475" t="str">
        <f t="shared" si="407"/>
        <v>Non-Senior</v>
      </c>
    </row>
    <row r="6476" spans="1:25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7082</v>
      </c>
      <c r="J6476" t="s">
        <v>7084</v>
      </c>
      <c r="K6476" t="s">
        <v>46</v>
      </c>
      <c r="L6476" t="s">
        <v>7084</v>
      </c>
      <c r="M6476" t="s">
        <v>7084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404"/>
        <v>0-12 Months</v>
      </c>
      <c r="W6476">
        <f t="shared" si="405"/>
        <v>0</v>
      </c>
      <c r="X6476">
        <f t="shared" si="406"/>
        <v>0</v>
      </c>
      <c r="Y6476" t="str">
        <f t="shared" si="407"/>
        <v>Non-Senior</v>
      </c>
    </row>
    <row r="6477" spans="1:25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404"/>
        <v>13-24 Months</v>
      </c>
      <c r="W6477">
        <f t="shared" si="405"/>
        <v>0</v>
      </c>
      <c r="X6477">
        <f t="shared" si="406"/>
        <v>0</v>
      </c>
      <c r="Y6477" t="str">
        <f t="shared" si="407"/>
        <v>Non-Senior</v>
      </c>
    </row>
    <row r="6478" spans="1:25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404"/>
        <v>49-60 Months</v>
      </c>
      <c r="W6478">
        <f t="shared" si="405"/>
        <v>0</v>
      </c>
      <c r="X6478">
        <f t="shared" si="406"/>
        <v>0</v>
      </c>
      <c r="Y6478" t="str">
        <f t="shared" si="407"/>
        <v>Non-Senior</v>
      </c>
    </row>
    <row r="6479" spans="1:25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404"/>
        <v>61-72 Months</v>
      </c>
      <c r="W6479">
        <f t="shared" si="405"/>
        <v>0</v>
      </c>
      <c r="X6479">
        <f t="shared" si="406"/>
        <v>0</v>
      </c>
      <c r="Y6479" t="str">
        <f t="shared" si="407"/>
        <v>Senior Citizen</v>
      </c>
    </row>
    <row r="6480" spans="1:25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404"/>
        <v>49-60 Months</v>
      </c>
      <c r="W6480">
        <f t="shared" si="405"/>
        <v>0</v>
      </c>
      <c r="X6480">
        <f t="shared" si="406"/>
        <v>0</v>
      </c>
      <c r="Y6480" t="str">
        <f t="shared" si="407"/>
        <v>Non-Senior</v>
      </c>
    </row>
    <row r="6481" spans="1:25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404"/>
        <v>0-12 Months</v>
      </c>
      <c r="W6481">
        <f t="shared" si="405"/>
        <v>1</v>
      </c>
      <c r="X6481">
        <f t="shared" si="406"/>
        <v>55</v>
      </c>
      <c r="Y6481" t="str">
        <f t="shared" si="407"/>
        <v>Non-Senior</v>
      </c>
    </row>
    <row r="6482" spans="1:25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404"/>
        <v>13-24 Months</v>
      </c>
      <c r="W6482">
        <f t="shared" si="405"/>
        <v>0</v>
      </c>
      <c r="X6482">
        <f t="shared" si="406"/>
        <v>0</v>
      </c>
      <c r="Y6482" t="str">
        <f t="shared" si="407"/>
        <v>Non-Senior</v>
      </c>
    </row>
    <row r="6483" spans="1:25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404"/>
        <v>0-12 Months</v>
      </c>
      <c r="W6483">
        <f t="shared" si="405"/>
        <v>0</v>
      </c>
      <c r="X6483">
        <f t="shared" si="406"/>
        <v>0</v>
      </c>
      <c r="Y6483" t="str">
        <f t="shared" si="407"/>
        <v>Non-Senior</v>
      </c>
    </row>
    <row r="6484" spans="1:25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404"/>
        <v>0-12 Months</v>
      </c>
      <c r="W6484">
        <f t="shared" si="405"/>
        <v>1</v>
      </c>
      <c r="X6484">
        <f t="shared" si="406"/>
        <v>101.45</v>
      </c>
      <c r="Y6484" t="str">
        <f t="shared" si="407"/>
        <v>Non-Senior</v>
      </c>
    </row>
    <row r="6485" spans="1:25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404"/>
        <v>13-24 Months</v>
      </c>
      <c r="W6485">
        <f t="shared" si="405"/>
        <v>0</v>
      </c>
      <c r="X6485">
        <f t="shared" si="406"/>
        <v>0</v>
      </c>
      <c r="Y6485" t="str">
        <f t="shared" si="407"/>
        <v>Non-Senior</v>
      </c>
    </row>
    <row r="6486" spans="1:25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404"/>
        <v>37-48 Months</v>
      </c>
      <c r="W6486">
        <f t="shared" si="405"/>
        <v>0</v>
      </c>
      <c r="X6486">
        <f t="shared" si="406"/>
        <v>0</v>
      </c>
      <c r="Y6486" t="str">
        <f t="shared" si="407"/>
        <v>Non-Senior</v>
      </c>
    </row>
    <row r="6487" spans="1:25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404"/>
        <v>61-72 Months</v>
      </c>
      <c r="W6487">
        <f t="shared" si="405"/>
        <v>0</v>
      </c>
      <c r="X6487">
        <f t="shared" si="406"/>
        <v>0</v>
      </c>
      <c r="Y6487" t="str">
        <f t="shared" si="407"/>
        <v>Non-Senior</v>
      </c>
    </row>
    <row r="6488" spans="1:25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404"/>
        <v>0-12 Months</v>
      </c>
      <c r="W6488">
        <f t="shared" si="405"/>
        <v>1</v>
      </c>
      <c r="X6488">
        <f t="shared" si="406"/>
        <v>67.95</v>
      </c>
      <c r="Y6488" t="str">
        <f t="shared" si="407"/>
        <v>Non-Senior</v>
      </c>
    </row>
    <row r="6489" spans="1:25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404"/>
        <v>61-72 Months</v>
      </c>
      <c r="W6489">
        <f t="shared" si="405"/>
        <v>0</v>
      </c>
      <c r="X6489">
        <f t="shared" si="406"/>
        <v>0</v>
      </c>
      <c r="Y6489" t="str">
        <f t="shared" si="407"/>
        <v>Non-Senior</v>
      </c>
    </row>
    <row r="6490" spans="1:25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404"/>
        <v>0-12 Months</v>
      </c>
      <c r="W6490">
        <f t="shared" si="405"/>
        <v>1</v>
      </c>
      <c r="X6490">
        <f t="shared" si="406"/>
        <v>69.5</v>
      </c>
      <c r="Y6490" t="str">
        <f t="shared" si="407"/>
        <v>Non-Senior</v>
      </c>
    </row>
    <row r="6491" spans="1:25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7082</v>
      </c>
      <c r="J6491" t="s">
        <v>7084</v>
      </c>
      <c r="K6491" t="s">
        <v>46</v>
      </c>
      <c r="L6491" t="s">
        <v>7084</v>
      </c>
      <c r="M6491" t="s">
        <v>7084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404"/>
        <v>0-12 Months</v>
      </c>
      <c r="W6491">
        <f t="shared" si="405"/>
        <v>1</v>
      </c>
      <c r="X6491">
        <f t="shared" si="406"/>
        <v>18.850000000000001</v>
      </c>
      <c r="Y6491" t="str">
        <f t="shared" si="407"/>
        <v>Non-Senior</v>
      </c>
    </row>
    <row r="6492" spans="1:25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7082</v>
      </c>
      <c r="J6492" t="s">
        <v>7084</v>
      </c>
      <c r="K6492" t="s">
        <v>46</v>
      </c>
      <c r="L6492" t="s">
        <v>7084</v>
      </c>
      <c r="M6492" t="s">
        <v>7084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404"/>
        <v>25-36 Months</v>
      </c>
      <c r="W6492">
        <f t="shared" si="405"/>
        <v>0</v>
      </c>
      <c r="X6492">
        <f t="shared" si="406"/>
        <v>0</v>
      </c>
      <c r="Y6492" t="str">
        <f t="shared" si="407"/>
        <v>Non-Senior</v>
      </c>
    </row>
    <row r="6493" spans="1:25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404"/>
        <v>0-12 Months</v>
      </c>
      <c r="W6493">
        <f t="shared" si="405"/>
        <v>1</v>
      </c>
      <c r="X6493">
        <f t="shared" si="406"/>
        <v>69.2</v>
      </c>
      <c r="Y6493" t="str">
        <f t="shared" si="407"/>
        <v>Non-Senior</v>
      </c>
    </row>
    <row r="6494" spans="1:25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7082</v>
      </c>
      <c r="J6494" t="s">
        <v>7084</v>
      </c>
      <c r="K6494" t="s">
        <v>46</v>
      </c>
      <c r="L6494" t="s">
        <v>7084</v>
      </c>
      <c r="M6494" t="s">
        <v>7084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404"/>
        <v>13-24 Months</v>
      </c>
      <c r="W6494">
        <f t="shared" si="405"/>
        <v>0</v>
      </c>
      <c r="X6494">
        <f t="shared" si="406"/>
        <v>0</v>
      </c>
      <c r="Y6494" t="str">
        <f t="shared" si="407"/>
        <v>Non-Senior</v>
      </c>
    </row>
    <row r="6495" spans="1:25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404"/>
        <v>13-24 Months</v>
      </c>
      <c r="W6495">
        <f t="shared" si="405"/>
        <v>0</v>
      </c>
      <c r="X6495">
        <f t="shared" si="406"/>
        <v>0</v>
      </c>
      <c r="Y6495" t="str">
        <f t="shared" si="407"/>
        <v>Non-Senior</v>
      </c>
    </row>
    <row r="6496" spans="1:25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404"/>
        <v>25-36 Months</v>
      </c>
      <c r="W6496">
        <f t="shared" si="405"/>
        <v>0</v>
      </c>
      <c r="X6496">
        <f t="shared" si="406"/>
        <v>0</v>
      </c>
      <c r="Y6496" t="str">
        <f t="shared" si="407"/>
        <v>Non-Senior</v>
      </c>
    </row>
    <row r="6497" spans="1:25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404"/>
        <v>0-12 Months</v>
      </c>
      <c r="W6497">
        <f t="shared" si="405"/>
        <v>1</v>
      </c>
      <c r="X6497">
        <f t="shared" si="406"/>
        <v>69.650000000000006</v>
      </c>
      <c r="Y6497" t="str">
        <f t="shared" si="407"/>
        <v>Non-Senior</v>
      </c>
    </row>
    <row r="6498" spans="1:25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404"/>
        <v>37-48 Months</v>
      </c>
      <c r="W6498">
        <f t="shared" si="405"/>
        <v>1</v>
      </c>
      <c r="X6498">
        <f t="shared" si="406"/>
        <v>101.85</v>
      </c>
      <c r="Y6498" t="str">
        <f t="shared" si="407"/>
        <v>Senior Citizen</v>
      </c>
    </row>
    <row r="6499" spans="1:25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404"/>
        <v>49-60 Months</v>
      </c>
      <c r="W6499">
        <f t="shared" si="405"/>
        <v>0</v>
      </c>
      <c r="X6499">
        <f t="shared" si="406"/>
        <v>0</v>
      </c>
      <c r="Y6499" t="str">
        <f t="shared" si="407"/>
        <v>Non-Senior</v>
      </c>
    </row>
    <row r="6500" spans="1:25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404"/>
        <v>0-12 Months</v>
      </c>
      <c r="W6500">
        <f t="shared" si="405"/>
        <v>1</v>
      </c>
      <c r="X6500">
        <f t="shared" si="406"/>
        <v>82.3</v>
      </c>
      <c r="Y6500" t="str">
        <f t="shared" si="407"/>
        <v>Non-Senior</v>
      </c>
    </row>
    <row r="6501" spans="1:25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7082</v>
      </c>
      <c r="J6501" t="s">
        <v>7084</v>
      </c>
      <c r="K6501" t="s">
        <v>46</v>
      </c>
      <c r="L6501" t="s">
        <v>7084</v>
      </c>
      <c r="M6501" t="s">
        <v>7084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404"/>
        <v>0-12 Months</v>
      </c>
      <c r="W6501">
        <f t="shared" si="405"/>
        <v>0</v>
      </c>
      <c r="X6501">
        <f t="shared" si="406"/>
        <v>0</v>
      </c>
      <c r="Y6501" t="str">
        <f t="shared" si="407"/>
        <v>Non-Senior</v>
      </c>
    </row>
    <row r="6502" spans="1:25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404"/>
        <v>13-24 Months</v>
      </c>
      <c r="W6502">
        <f t="shared" si="405"/>
        <v>0</v>
      </c>
      <c r="X6502">
        <f t="shared" si="406"/>
        <v>0</v>
      </c>
      <c r="Y6502" t="str">
        <f t="shared" si="407"/>
        <v>Non-Senior</v>
      </c>
    </row>
    <row r="6503" spans="1:25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404"/>
        <v>61-72 Months</v>
      </c>
      <c r="W6503">
        <f t="shared" si="405"/>
        <v>0</v>
      </c>
      <c r="X6503">
        <f t="shared" si="406"/>
        <v>0</v>
      </c>
      <c r="Y6503" t="str">
        <f t="shared" si="407"/>
        <v>Non-Senior</v>
      </c>
    </row>
    <row r="6504" spans="1:25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404"/>
        <v>37-48 Months</v>
      </c>
      <c r="W6504">
        <f t="shared" si="405"/>
        <v>0</v>
      </c>
      <c r="X6504">
        <f t="shared" si="406"/>
        <v>0</v>
      </c>
      <c r="Y6504" t="str">
        <f t="shared" si="407"/>
        <v>Non-Senior</v>
      </c>
    </row>
    <row r="6505" spans="1:25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404"/>
        <v>61-72 Months</v>
      </c>
      <c r="W6505">
        <f t="shared" si="405"/>
        <v>0</v>
      </c>
      <c r="X6505">
        <f t="shared" si="406"/>
        <v>0</v>
      </c>
      <c r="Y6505" t="str">
        <f t="shared" si="407"/>
        <v>Non-Senior</v>
      </c>
    </row>
    <row r="6506" spans="1:25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404"/>
        <v>0-12 Months</v>
      </c>
      <c r="W6506">
        <f t="shared" si="405"/>
        <v>1</v>
      </c>
      <c r="X6506">
        <f t="shared" si="406"/>
        <v>79.25</v>
      </c>
      <c r="Y6506" t="str">
        <f t="shared" si="407"/>
        <v>Non-Senior</v>
      </c>
    </row>
    <row r="6507" spans="1:25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404"/>
        <v>49-60 Months</v>
      </c>
      <c r="W6507">
        <f t="shared" si="405"/>
        <v>0</v>
      </c>
      <c r="X6507">
        <f t="shared" si="406"/>
        <v>0</v>
      </c>
      <c r="Y6507" t="str">
        <f t="shared" si="407"/>
        <v>Non-Senior</v>
      </c>
    </row>
    <row r="6508" spans="1:25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404"/>
        <v>13-24 Months</v>
      </c>
      <c r="W6508">
        <f t="shared" si="405"/>
        <v>1</v>
      </c>
      <c r="X6508">
        <f t="shared" si="406"/>
        <v>84.6</v>
      </c>
      <c r="Y6508" t="str">
        <f t="shared" si="407"/>
        <v>Non-Senior</v>
      </c>
    </row>
    <row r="6509" spans="1:25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404"/>
        <v>49-60 Months</v>
      </c>
      <c r="W6509">
        <f t="shared" si="405"/>
        <v>1</v>
      </c>
      <c r="X6509">
        <f t="shared" si="406"/>
        <v>93.4</v>
      </c>
      <c r="Y6509" t="str">
        <f t="shared" si="407"/>
        <v>Non-Senior</v>
      </c>
    </row>
    <row r="6510" spans="1:25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404"/>
        <v>37-48 Months</v>
      </c>
      <c r="W6510">
        <f t="shared" si="405"/>
        <v>1</v>
      </c>
      <c r="X6510">
        <f t="shared" si="406"/>
        <v>94.2</v>
      </c>
      <c r="Y6510" t="str">
        <f t="shared" si="407"/>
        <v>Non-Senior</v>
      </c>
    </row>
    <row r="6511" spans="1:25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404"/>
        <v>0-12 Months</v>
      </c>
      <c r="W6511">
        <f t="shared" si="405"/>
        <v>1</v>
      </c>
      <c r="X6511">
        <f t="shared" si="406"/>
        <v>25.05</v>
      </c>
      <c r="Y6511" t="str">
        <f t="shared" si="407"/>
        <v>Senior Citizen</v>
      </c>
    </row>
    <row r="6512" spans="1:25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404"/>
        <v>37-48 Months</v>
      </c>
      <c r="W6512">
        <f t="shared" si="405"/>
        <v>0</v>
      </c>
      <c r="X6512">
        <f t="shared" si="406"/>
        <v>0</v>
      </c>
      <c r="Y6512" t="str">
        <f t="shared" si="407"/>
        <v>Non-Senior</v>
      </c>
    </row>
    <row r="6513" spans="1:25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404"/>
        <v>61-72 Months</v>
      </c>
      <c r="W6513">
        <f t="shared" si="405"/>
        <v>0</v>
      </c>
      <c r="X6513">
        <f t="shared" si="406"/>
        <v>0</v>
      </c>
      <c r="Y6513" t="str">
        <f t="shared" si="407"/>
        <v>Non-Senior</v>
      </c>
    </row>
    <row r="6514" spans="1:25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404"/>
        <v>0-12 Months</v>
      </c>
      <c r="W6514">
        <f t="shared" si="405"/>
        <v>0</v>
      </c>
      <c r="X6514">
        <f t="shared" si="406"/>
        <v>0</v>
      </c>
      <c r="Y6514" t="str">
        <f t="shared" si="407"/>
        <v>Non-Senior</v>
      </c>
    </row>
    <row r="6515" spans="1:25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404"/>
        <v>13-24 Months</v>
      </c>
      <c r="W6515">
        <f t="shared" si="405"/>
        <v>0</v>
      </c>
      <c r="X6515">
        <f t="shared" si="406"/>
        <v>0</v>
      </c>
      <c r="Y6515" t="str">
        <f t="shared" si="407"/>
        <v>Non-Senior</v>
      </c>
    </row>
    <row r="6516" spans="1:25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404"/>
        <v>61-72 Months</v>
      </c>
      <c r="W6516">
        <f t="shared" si="405"/>
        <v>0</v>
      </c>
      <c r="X6516">
        <f t="shared" si="406"/>
        <v>0</v>
      </c>
      <c r="Y6516" t="str">
        <f t="shared" si="407"/>
        <v>Non-Senior</v>
      </c>
    </row>
    <row r="6517" spans="1:25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404"/>
        <v>25-36 Months</v>
      </c>
      <c r="W6517">
        <f t="shared" si="405"/>
        <v>1</v>
      </c>
      <c r="X6517">
        <f t="shared" si="406"/>
        <v>25.1</v>
      </c>
      <c r="Y6517" t="str">
        <f t="shared" si="407"/>
        <v>Non-Senior</v>
      </c>
    </row>
    <row r="6518" spans="1:25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404"/>
        <v>0-12 Months</v>
      </c>
      <c r="W6518">
        <f t="shared" si="405"/>
        <v>1</v>
      </c>
      <c r="X6518">
        <f t="shared" si="406"/>
        <v>48.95</v>
      </c>
      <c r="Y6518" t="str">
        <f t="shared" si="407"/>
        <v>Non-Senior</v>
      </c>
    </row>
    <row r="6519" spans="1:25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404"/>
        <v>0-12 Months</v>
      </c>
      <c r="W6519">
        <f t="shared" si="405"/>
        <v>0</v>
      </c>
      <c r="X6519">
        <f t="shared" si="406"/>
        <v>0</v>
      </c>
      <c r="Y6519" t="str">
        <f t="shared" si="407"/>
        <v>Non-Senior</v>
      </c>
    </row>
    <row r="6520" spans="1:25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404"/>
        <v>0-12 Months</v>
      </c>
      <c r="W6520">
        <f t="shared" si="405"/>
        <v>1</v>
      </c>
      <c r="X6520">
        <f t="shared" si="406"/>
        <v>45.3</v>
      </c>
      <c r="Y6520" t="str">
        <f t="shared" si="407"/>
        <v>Non-Senior</v>
      </c>
    </row>
    <row r="6521" spans="1:25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404"/>
        <v>61-72 Months</v>
      </c>
      <c r="W6521">
        <f t="shared" si="405"/>
        <v>0</v>
      </c>
      <c r="X6521">
        <f t="shared" si="406"/>
        <v>0</v>
      </c>
      <c r="Y6521" t="str">
        <f t="shared" si="407"/>
        <v>Non-Senior</v>
      </c>
    </row>
    <row r="6522" spans="1:25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404"/>
        <v>0-12 Months</v>
      </c>
      <c r="W6522">
        <f t="shared" si="405"/>
        <v>1</v>
      </c>
      <c r="X6522">
        <f t="shared" si="406"/>
        <v>85.85</v>
      </c>
      <c r="Y6522" t="str">
        <f t="shared" si="407"/>
        <v>Non-Senior</v>
      </c>
    </row>
    <row r="6523" spans="1:25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7082</v>
      </c>
      <c r="J6523" t="s">
        <v>7084</v>
      </c>
      <c r="K6523" t="s">
        <v>46</v>
      </c>
      <c r="L6523" t="s">
        <v>7084</v>
      </c>
      <c r="M6523" t="s">
        <v>7084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404"/>
        <v>13-24 Months</v>
      </c>
      <c r="W6523">
        <f t="shared" si="405"/>
        <v>0</v>
      </c>
      <c r="X6523">
        <f t="shared" si="406"/>
        <v>0</v>
      </c>
      <c r="Y6523" t="str">
        <f t="shared" si="407"/>
        <v>Non-Senior</v>
      </c>
    </row>
    <row r="6524" spans="1:25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404"/>
        <v>37-48 Months</v>
      </c>
      <c r="W6524">
        <f t="shared" si="405"/>
        <v>0</v>
      </c>
      <c r="X6524">
        <f t="shared" si="406"/>
        <v>0</v>
      </c>
      <c r="Y6524" t="str">
        <f t="shared" si="407"/>
        <v>Non-Senior</v>
      </c>
    </row>
    <row r="6525" spans="1:25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404"/>
        <v>13-24 Months</v>
      </c>
      <c r="W6525">
        <f t="shared" si="405"/>
        <v>0</v>
      </c>
      <c r="X6525">
        <f t="shared" si="406"/>
        <v>0</v>
      </c>
      <c r="Y6525" t="str">
        <f t="shared" si="407"/>
        <v>Non-Senior</v>
      </c>
    </row>
    <row r="6526" spans="1:25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404"/>
        <v>0-12 Months</v>
      </c>
      <c r="W6526">
        <f t="shared" si="405"/>
        <v>1</v>
      </c>
      <c r="X6526">
        <f t="shared" si="406"/>
        <v>95.2</v>
      </c>
      <c r="Y6526" t="str">
        <f t="shared" si="407"/>
        <v>Non-Senior</v>
      </c>
    </row>
    <row r="6527" spans="1:25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7082</v>
      </c>
      <c r="J6527" t="s">
        <v>7084</v>
      </c>
      <c r="K6527" t="s">
        <v>46</v>
      </c>
      <c r="L6527" t="s">
        <v>7084</v>
      </c>
      <c r="M6527" t="s">
        <v>7084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404"/>
        <v>49-60 Months</v>
      </c>
      <c r="W6527">
        <f t="shared" si="405"/>
        <v>0</v>
      </c>
      <c r="X6527">
        <f t="shared" si="406"/>
        <v>0</v>
      </c>
      <c r="Y6527" t="str">
        <f t="shared" si="407"/>
        <v>Non-Senior</v>
      </c>
    </row>
    <row r="6528" spans="1:25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404"/>
        <v>49-60 Months</v>
      </c>
      <c r="W6528">
        <f t="shared" si="405"/>
        <v>1</v>
      </c>
      <c r="X6528">
        <f t="shared" si="406"/>
        <v>100.6</v>
      </c>
      <c r="Y6528" t="str">
        <f t="shared" si="407"/>
        <v>Non-Senior</v>
      </c>
    </row>
    <row r="6529" spans="1:25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404"/>
        <v>0-12 Months</v>
      </c>
      <c r="W6529">
        <f t="shared" si="405"/>
        <v>1</v>
      </c>
      <c r="X6529">
        <f t="shared" si="406"/>
        <v>55.3</v>
      </c>
      <c r="Y6529" t="str">
        <f t="shared" si="407"/>
        <v>Non-Senior</v>
      </c>
    </row>
    <row r="6530" spans="1:25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7082</v>
      </c>
      <c r="J6530" t="s">
        <v>7084</v>
      </c>
      <c r="K6530" t="s">
        <v>46</v>
      </c>
      <c r="L6530" t="s">
        <v>7084</v>
      </c>
      <c r="M6530" t="s">
        <v>7084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si="404"/>
        <v>61-72 Months</v>
      </c>
      <c r="W6530">
        <f t="shared" si="405"/>
        <v>0</v>
      </c>
      <c r="X6530">
        <f t="shared" si="406"/>
        <v>0</v>
      </c>
      <c r="Y6530" t="str">
        <f t="shared" si="407"/>
        <v>Non-Senior</v>
      </c>
    </row>
    <row r="6531" spans="1:25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ref="V6531:V6594" si="408">IF(F6531&lt;=12,"0-12 Months",IF(F6531&lt;=24,"13-24 Months",IF(F6531&lt;=36,"25-36 Months",IF(F6531&lt;=48,"37-48 Months",IF(F6531&lt;=60,"49-60 Months","61-72 Months")))))</f>
        <v>0-12 Months</v>
      </c>
      <c r="W6531">
        <f t="shared" ref="W6531:W6594" si="409">IF(U6531="Yes",1,0)</f>
        <v>1</v>
      </c>
      <c r="X6531">
        <f t="shared" ref="X6531:X6594" si="410">IF(U6531="Yes",S6531,0)</f>
        <v>74.849999999999994</v>
      </c>
      <c r="Y6531" t="str">
        <f t="shared" ref="Y6531:Y6594" si="411">IF(C6531=1,"Senior Citizen","Non-Senior")</f>
        <v>Senior Citizen</v>
      </c>
    </row>
    <row r="6532" spans="1:25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408"/>
        <v>61-72 Months</v>
      </c>
      <c r="W6532">
        <f t="shared" si="409"/>
        <v>0</v>
      </c>
      <c r="X6532">
        <f t="shared" si="410"/>
        <v>0</v>
      </c>
      <c r="Y6532" t="str">
        <f t="shared" si="411"/>
        <v>Senior Citizen</v>
      </c>
    </row>
    <row r="6533" spans="1:25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408"/>
        <v>25-36 Months</v>
      </c>
      <c r="W6533">
        <f t="shared" si="409"/>
        <v>0</v>
      </c>
      <c r="X6533">
        <f t="shared" si="410"/>
        <v>0</v>
      </c>
      <c r="Y6533" t="str">
        <f t="shared" si="411"/>
        <v>Non-Senior</v>
      </c>
    </row>
    <row r="6534" spans="1:25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7082</v>
      </c>
      <c r="J6534" t="s">
        <v>7084</v>
      </c>
      <c r="K6534" t="s">
        <v>46</v>
      </c>
      <c r="L6534" t="s">
        <v>7084</v>
      </c>
      <c r="M6534" t="s">
        <v>7084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408"/>
        <v>13-24 Months</v>
      </c>
      <c r="W6534">
        <f t="shared" si="409"/>
        <v>0</v>
      </c>
      <c r="X6534">
        <f t="shared" si="410"/>
        <v>0</v>
      </c>
      <c r="Y6534" t="str">
        <f t="shared" si="411"/>
        <v>Senior Citizen</v>
      </c>
    </row>
    <row r="6535" spans="1:25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408"/>
        <v>25-36 Months</v>
      </c>
      <c r="W6535">
        <f t="shared" si="409"/>
        <v>0</v>
      </c>
      <c r="X6535">
        <f t="shared" si="410"/>
        <v>0</v>
      </c>
      <c r="Y6535" t="str">
        <f t="shared" si="411"/>
        <v>Senior Citizen</v>
      </c>
    </row>
    <row r="6536" spans="1:25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408"/>
        <v>49-60 Months</v>
      </c>
      <c r="W6536">
        <f t="shared" si="409"/>
        <v>0</v>
      </c>
      <c r="X6536">
        <f t="shared" si="410"/>
        <v>0</v>
      </c>
      <c r="Y6536" t="str">
        <f t="shared" si="411"/>
        <v>Senior Citizen</v>
      </c>
    </row>
    <row r="6537" spans="1:25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408"/>
        <v>25-36 Months</v>
      </c>
      <c r="W6537">
        <f t="shared" si="409"/>
        <v>1</v>
      </c>
      <c r="X6537">
        <f t="shared" si="410"/>
        <v>102.35</v>
      </c>
      <c r="Y6537" t="str">
        <f t="shared" si="411"/>
        <v>Non-Senior</v>
      </c>
    </row>
    <row r="6538" spans="1:25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408"/>
        <v>0-12 Months</v>
      </c>
      <c r="W6538">
        <f t="shared" si="409"/>
        <v>0</v>
      </c>
      <c r="X6538">
        <f t="shared" si="410"/>
        <v>0</v>
      </c>
      <c r="Y6538" t="str">
        <f t="shared" si="411"/>
        <v>Non-Senior</v>
      </c>
    </row>
    <row r="6539" spans="1:25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408"/>
        <v>61-72 Months</v>
      </c>
      <c r="W6539">
        <f t="shared" si="409"/>
        <v>1</v>
      </c>
      <c r="X6539">
        <f t="shared" si="410"/>
        <v>115.65</v>
      </c>
      <c r="Y6539" t="str">
        <f t="shared" si="411"/>
        <v>Non-Senior</v>
      </c>
    </row>
    <row r="6540" spans="1:25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408"/>
        <v>0-12 Months</v>
      </c>
      <c r="W6540">
        <f t="shared" si="409"/>
        <v>1</v>
      </c>
      <c r="X6540">
        <f t="shared" si="410"/>
        <v>79.849999999999994</v>
      </c>
      <c r="Y6540" t="str">
        <f t="shared" si="411"/>
        <v>Non-Senior</v>
      </c>
    </row>
    <row r="6541" spans="1:25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408"/>
        <v>25-36 Months</v>
      </c>
      <c r="W6541">
        <f t="shared" si="409"/>
        <v>0</v>
      </c>
      <c r="X6541">
        <f t="shared" si="410"/>
        <v>0</v>
      </c>
      <c r="Y6541" t="str">
        <f t="shared" si="411"/>
        <v>Non-Senior</v>
      </c>
    </row>
    <row r="6542" spans="1:25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408"/>
        <v>25-36 Months</v>
      </c>
      <c r="W6542">
        <f t="shared" si="409"/>
        <v>0</v>
      </c>
      <c r="X6542">
        <f t="shared" si="410"/>
        <v>0</v>
      </c>
      <c r="Y6542" t="str">
        <f t="shared" si="411"/>
        <v>Non-Senior</v>
      </c>
    </row>
    <row r="6543" spans="1:25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7082</v>
      </c>
      <c r="J6543" t="s">
        <v>7084</v>
      </c>
      <c r="K6543" t="s">
        <v>46</v>
      </c>
      <c r="L6543" t="s">
        <v>7084</v>
      </c>
      <c r="M6543" t="s">
        <v>7084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408"/>
        <v>13-24 Months</v>
      </c>
      <c r="W6543">
        <f t="shared" si="409"/>
        <v>0</v>
      </c>
      <c r="X6543">
        <f t="shared" si="410"/>
        <v>0</v>
      </c>
      <c r="Y6543" t="str">
        <f t="shared" si="411"/>
        <v>Non-Senior</v>
      </c>
    </row>
    <row r="6544" spans="1:25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408"/>
        <v>13-24 Months</v>
      </c>
      <c r="W6544">
        <f t="shared" si="409"/>
        <v>1</v>
      </c>
      <c r="X6544">
        <f t="shared" si="410"/>
        <v>76</v>
      </c>
      <c r="Y6544" t="str">
        <f t="shared" si="411"/>
        <v>Non-Senior</v>
      </c>
    </row>
    <row r="6545" spans="1:25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408"/>
        <v>61-72 Months</v>
      </c>
      <c r="W6545">
        <f t="shared" si="409"/>
        <v>0</v>
      </c>
      <c r="X6545">
        <f t="shared" si="410"/>
        <v>0</v>
      </c>
      <c r="Y6545" t="str">
        <f t="shared" si="411"/>
        <v>Non-Senior</v>
      </c>
    </row>
    <row r="6546" spans="1:25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408"/>
        <v>37-48 Months</v>
      </c>
      <c r="W6546">
        <f t="shared" si="409"/>
        <v>1</v>
      </c>
      <c r="X6546">
        <f t="shared" si="410"/>
        <v>104.75</v>
      </c>
      <c r="Y6546" t="str">
        <f t="shared" si="411"/>
        <v>Senior Citizen</v>
      </c>
    </row>
    <row r="6547" spans="1:25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408"/>
        <v>0-12 Months</v>
      </c>
      <c r="W6547">
        <f t="shared" si="409"/>
        <v>1</v>
      </c>
      <c r="X6547">
        <f t="shared" si="410"/>
        <v>74.650000000000006</v>
      </c>
      <c r="Y6547" t="str">
        <f t="shared" si="411"/>
        <v>Non-Senior</v>
      </c>
    </row>
    <row r="6548" spans="1:25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408"/>
        <v>13-24 Months</v>
      </c>
      <c r="W6548">
        <f t="shared" si="409"/>
        <v>0</v>
      </c>
      <c r="X6548">
        <f t="shared" si="410"/>
        <v>0</v>
      </c>
      <c r="Y6548" t="str">
        <f t="shared" si="411"/>
        <v>Non-Senior</v>
      </c>
    </row>
    <row r="6549" spans="1:25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408"/>
        <v>61-72 Months</v>
      </c>
      <c r="W6549">
        <f t="shared" si="409"/>
        <v>0</v>
      </c>
      <c r="X6549">
        <f t="shared" si="410"/>
        <v>0</v>
      </c>
      <c r="Y6549" t="str">
        <f t="shared" si="411"/>
        <v>Senior Citizen</v>
      </c>
    </row>
    <row r="6550" spans="1:25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408"/>
        <v>25-36 Months</v>
      </c>
      <c r="W6550">
        <f t="shared" si="409"/>
        <v>0</v>
      </c>
      <c r="X6550">
        <f t="shared" si="410"/>
        <v>0</v>
      </c>
      <c r="Y6550" t="str">
        <f t="shared" si="411"/>
        <v>Non-Senior</v>
      </c>
    </row>
    <row r="6551" spans="1:25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408"/>
        <v>0-12 Months</v>
      </c>
      <c r="W6551">
        <f t="shared" si="409"/>
        <v>1</v>
      </c>
      <c r="X6551">
        <f t="shared" si="410"/>
        <v>56.25</v>
      </c>
      <c r="Y6551" t="str">
        <f t="shared" si="411"/>
        <v>Non-Senior</v>
      </c>
    </row>
    <row r="6552" spans="1:25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408"/>
        <v>13-24 Months</v>
      </c>
      <c r="W6552">
        <f t="shared" si="409"/>
        <v>1</v>
      </c>
      <c r="X6552">
        <f t="shared" si="410"/>
        <v>106.1</v>
      </c>
      <c r="Y6552" t="str">
        <f t="shared" si="411"/>
        <v>Non-Senior</v>
      </c>
    </row>
    <row r="6553" spans="1:25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408"/>
        <v>61-72 Months</v>
      </c>
      <c r="W6553">
        <f t="shared" si="409"/>
        <v>0</v>
      </c>
      <c r="X6553">
        <f t="shared" si="410"/>
        <v>0</v>
      </c>
      <c r="Y6553" t="str">
        <f t="shared" si="411"/>
        <v>Non-Senior</v>
      </c>
    </row>
    <row r="6554" spans="1:25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408"/>
        <v>0-12 Months</v>
      </c>
      <c r="W6554">
        <f t="shared" si="409"/>
        <v>1</v>
      </c>
      <c r="X6554">
        <f t="shared" si="410"/>
        <v>79.75</v>
      </c>
      <c r="Y6554" t="str">
        <f t="shared" si="411"/>
        <v>Senior Citizen</v>
      </c>
    </row>
    <row r="6555" spans="1:25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408"/>
        <v>61-72 Months</v>
      </c>
      <c r="W6555">
        <f t="shared" si="409"/>
        <v>0</v>
      </c>
      <c r="X6555">
        <f t="shared" si="410"/>
        <v>0</v>
      </c>
      <c r="Y6555" t="str">
        <f t="shared" si="411"/>
        <v>Non-Senior</v>
      </c>
    </row>
    <row r="6556" spans="1:25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408"/>
        <v>0-12 Months</v>
      </c>
      <c r="W6556">
        <f t="shared" si="409"/>
        <v>1</v>
      </c>
      <c r="X6556">
        <f t="shared" si="410"/>
        <v>68.650000000000006</v>
      </c>
      <c r="Y6556" t="str">
        <f t="shared" si="411"/>
        <v>Non-Senior</v>
      </c>
    </row>
    <row r="6557" spans="1:25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7082</v>
      </c>
      <c r="J6557" t="s">
        <v>7084</v>
      </c>
      <c r="K6557" t="s">
        <v>46</v>
      </c>
      <c r="L6557" t="s">
        <v>7084</v>
      </c>
      <c r="M6557" t="s">
        <v>7084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408"/>
        <v>13-24 Months</v>
      </c>
      <c r="W6557">
        <f t="shared" si="409"/>
        <v>0</v>
      </c>
      <c r="X6557">
        <f t="shared" si="410"/>
        <v>0</v>
      </c>
      <c r="Y6557" t="str">
        <f t="shared" si="411"/>
        <v>Non-Senior</v>
      </c>
    </row>
    <row r="6558" spans="1:25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7082</v>
      </c>
      <c r="J6558" t="s">
        <v>7084</v>
      </c>
      <c r="K6558" t="s">
        <v>46</v>
      </c>
      <c r="L6558" t="s">
        <v>7084</v>
      </c>
      <c r="M6558" t="s">
        <v>7084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408"/>
        <v>0-12 Months</v>
      </c>
      <c r="W6558">
        <f t="shared" si="409"/>
        <v>0</v>
      </c>
      <c r="X6558">
        <f t="shared" si="410"/>
        <v>0</v>
      </c>
      <c r="Y6558" t="str">
        <f t="shared" si="411"/>
        <v>Non-Senior</v>
      </c>
    </row>
    <row r="6559" spans="1:25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408"/>
        <v>25-36 Months</v>
      </c>
      <c r="W6559">
        <f t="shared" si="409"/>
        <v>0</v>
      </c>
      <c r="X6559">
        <f t="shared" si="410"/>
        <v>0</v>
      </c>
      <c r="Y6559" t="str">
        <f t="shared" si="411"/>
        <v>Non-Senior</v>
      </c>
    </row>
    <row r="6560" spans="1:25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7082</v>
      </c>
      <c r="J6560" t="s">
        <v>7084</v>
      </c>
      <c r="K6560" t="s">
        <v>46</v>
      </c>
      <c r="L6560" t="s">
        <v>7084</v>
      </c>
      <c r="M6560" t="s">
        <v>7084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408"/>
        <v>13-24 Months</v>
      </c>
      <c r="W6560">
        <f t="shared" si="409"/>
        <v>1</v>
      </c>
      <c r="X6560">
        <f t="shared" si="410"/>
        <v>20.25</v>
      </c>
      <c r="Y6560" t="str">
        <f t="shared" si="411"/>
        <v>Non-Senior</v>
      </c>
    </row>
    <row r="6561" spans="1:25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408"/>
        <v>49-60 Months</v>
      </c>
      <c r="W6561">
        <f t="shared" si="409"/>
        <v>0</v>
      </c>
      <c r="X6561">
        <f t="shared" si="410"/>
        <v>0</v>
      </c>
      <c r="Y6561" t="str">
        <f t="shared" si="411"/>
        <v>Non-Senior</v>
      </c>
    </row>
    <row r="6562" spans="1:25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7082</v>
      </c>
      <c r="J6562" t="s">
        <v>7084</v>
      </c>
      <c r="K6562" t="s">
        <v>46</v>
      </c>
      <c r="L6562" t="s">
        <v>7084</v>
      </c>
      <c r="M6562" t="s">
        <v>7084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408"/>
        <v>13-24 Months</v>
      </c>
      <c r="W6562">
        <f t="shared" si="409"/>
        <v>0</v>
      </c>
      <c r="X6562">
        <f t="shared" si="410"/>
        <v>0</v>
      </c>
      <c r="Y6562" t="str">
        <f t="shared" si="411"/>
        <v>Non-Senior</v>
      </c>
    </row>
    <row r="6563" spans="1:25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408"/>
        <v>0-12 Months</v>
      </c>
      <c r="W6563">
        <f t="shared" si="409"/>
        <v>0</v>
      </c>
      <c r="X6563">
        <f t="shared" si="410"/>
        <v>0</v>
      </c>
      <c r="Y6563" t="str">
        <f t="shared" si="411"/>
        <v>Non-Senior</v>
      </c>
    </row>
    <row r="6564" spans="1:25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408"/>
        <v>13-24 Months</v>
      </c>
      <c r="W6564">
        <f t="shared" si="409"/>
        <v>1</v>
      </c>
      <c r="X6564">
        <f t="shared" si="410"/>
        <v>100.2</v>
      </c>
      <c r="Y6564" t="str">
        <f t="shared" si="411"/>
        <v>Senior Citizen</v>
      </c>
    </row>
    <row r="6565" spans="1:25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408"/>
        <v>13-24 Months</v>
      </c>
      <c r="W6565">
        <f t="shared" si="409"/>
        <v>1</v>
      </c>
      <c r="X6565">
        <f t="shared" si="410"/>
        <v>74.900000000000006</v>
      </c>
      <c r="Y6565" t="str">
        <f t="shared" si="411"/>
        <v>Non-Senior</v>
      </c>
    </row>
    <row r="6566" spans="1:25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7082</v>
      </c>
      <c r="J6566" t="s">
        <v>7084</v>
      </c>
      <c r="K6566" t="s">
        <v>46</v>
      </c>
      <c r="L6566" t="s">
        <v>7084</v>
      </c>
      <c r="M6566" t="s">
        <v>7084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408"/>
        <v>0-12 Months</v>
      </c>
      <c r="W6566">
        <f t="shared" si="409"/>
        <v>0</v>
      </c>
      <c r="X6566">
        <f t="shared" si="410"/>
        <v>0</v>
      </c>
      <c r="Y6566" t="str">
        <f t="shared" si="411"/>
        <v>Non-Senior</v>
      </c>
    </row>
    <row r="6567" spans="1:25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408"/>
        <v>61-72 Months</v>
      </c>
      <c r="W6567">
        <f t="shared" si="409"/>
        <v>0</v>
      </c>
      <c r="X6567">
        <f t="shared" si="410"/>
        <v>0</v>
      </c>
      <c r="Y6567" t="str">
        <f t="shared" si="411"/>
        <v>Non-Senior</v>
      </c>
    </row>
    <row r="6568" spans="1:25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408"/>
        <v>61-72 Months</v>
      </c>
      <c r="W6568">
        <f t="shared" si="409"/>
        <v>0</v>
      </c>
      <c r="X6568">
        <f t="shared" si="410"/>
        <v>0</v>
      </c>
      <c r="Y6568" t="str">
        <f t="shared" si="411"/>
        <v>Non-Senior</v>
      </c>
    </row>
    <row r="6569" spans="1:25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408"/>
        <v>13-24 Months</v>
      </c>
      <c r="W6569">
        <f t="shared" si="409"/>
        <v>0</v>
      </c>
      <c r="X6569">
        <f t="shared" si="410"/>
        <v>0</v>
      </c>
      <c r="Y6569" t="str">
        <f t="shared" si="411"/>
        <v>Non-Senior</v>
      </c>
    </row>
    <row r="6570" spans="1:25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7082</v>
      </c>
      <c r="J6570" t="s">
        <v>7084</v>
      </c>
      <c r="K6570" t="s">
        <v>46</v>
      </c>
      <c r="L6570" t="s">
        <v>7084</v>
      </c>
      <c r="M6570" t="s">
        <v>7084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408"/>
        <v>0-12 Months</v>
      </c>
      <c r="W6570">
        <f t="shared" si="409"/>
        <v>0</v>
      </c>
      <c r="X6570">
        <f t="shared" si="410"/>
        <v>0</v>
      </c>
      <c r="Y6570" t="str">
        <f t="shared" si="411"/>
        <v>Non-Senior</v>
      </c>
    </row>
    <row r="6571" spans="1:25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7082</v>
      </c>
      <c r="J6571" t="s">
        <v>7084</v>
      </c>
      <c r="K6571" t="s">
        <v>46</v>
      </c>
      <c r="L6571" t="s">
        <v>7084</v>
      </c>
      <c r="M6571" t="s">
        <v>7084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408"/>
        <v>0-12 Months</v>
      </c>
      <c r="W6571">
        <f t="shared" si="409"/>
        <v>0</v>
      </c>
      <c r="X6571">
        <f t="shared" si="410"/>
        <v>0</v>
      </c>
      <c r="Y6571" t="str">
        <f t="shared" si="411"/>
        <v>Non-Senior</v>
      </c>
    </row>
    <row r="6572" spans="1:25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408"/>
        <v>0-12 Months</v>
      </c>
      <c r="W6572">
        <f t="shared" si="409"/>
        <v>0</v>
      </c>
      <c r="X6572">
        <f t="shared" si="410"/>
        <v>0</v>
      </c>
      <c r="Y6572" t="str">
        <f t="shared" si="411"/>
        <v>Non-Senior</v>
      </c>
    </row>
    <row r="6573" spans="1:25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408"/>
        <v>25-36 Months</v>
      </c>
      <c r="W6573">
        <f t="shared" si="409"/>
        <v>0</v>
      </c>
      <c r="X6573">
        <f t="shared" si="410"/>
        <v>0</v>
      </c>
      <c r="Y6573" t="str">
        <f t="shared" si="411"/>
        <v>Non-Senior</v>
      </c>
    </row>
    <row r="6574" spans="1:25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408"/>
        <v>61-72 Months</v>
      </c>
      <c r="W6574">
        <f t="shared" si="409"/>
        <v>0</v>
      </c>
      <c r="X6574">
        <f t="shared" si="410"/>
        <v>0</v>
      </c>
      <c r="Y6574" t="str">
        <f t="shared" si="411"/>
        <v>Non-Senior</v>
      </c>
    </row>
    <row r="6575" spans="1:25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408"/>
        <v>37-48 Months</v>
      </c>
      <c r="W6575">
        <f t="shared" si="409"/>
        <v>0</v>
      </c>
      <c r="X6575">
        <f t="shared" si="410"/>
        <v>0</v>
      </c>
      <c r="Y6575" t="str">
        <f t="shared" si="411"/>
        <v>Non-Senior</v>
      </c>
    </row>
    <row r="6576" spans="1:25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408"/>
        <v>0-12 Months</v>
      </c>
      <c r="W6576">
        <f t="shared" si="409"/>
        <v>0</v>
      </c>
      <c r="X6576">
        <f t="shared" si="410"/>
        <v>0</v>
      </c>
      <c r="Y6576" t="str">
        <f t="shared" si="411"/>
        <v>Senior Citizen</v>
      </c>
    </row>
    <row r="6577" spans="1:25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408"/>
        <v>13-24 Months</v>
      </c>
      <c r="W6577">
        <f t="shared" si="409"/>
        <v>0</v>
      </c>
      <c r="X6577">
        <f t="shared" si="410"/>
        <v>0</v>
      </c>
      <c r="Y6577" t="str">
        <f t="shared" si="411"/>
        <v>Non-Senior</v>
      </c>
    </row>
    <row r="6578" spans="1:25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7082</v>
      </c>
      <c r="J6578" t="s">
        <v>7084</v>
      </c>
      <c r="K6578" t="s">
        <v>46</v>
      </c>
      <c r="L6578" t="s">
        <v>7084</v>
      </c>
      <c r="M6578" t="s">
        <v>7084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408"/>
        <v>0-12 Months</v>
      </c>
      <c r="W6578">
        <f t="shared" si="409"/>
        <v>0</v>
      </c>
      <c r="X6578">
        <f t="shared" si="410"/>
        <v>0</v>
      </c>
      <c r="Y6578" t="str">
        <f t="shared" si="411"/>
        <v>Non-Senior</v>
      </c>
    </row>
    <row r="6579" spans="1:25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408"/>
        <v>61-72 Months</v>
      </c>
      <c r="W6579">
        <f t="shared" si="409"/>
        <v>0</v>
      </c>
      <c r="X6579">
        <f t="shared" si="410"/>
        <v>0</v>
      </c>
      <c r="Y6579" t="str">
        <f t="shared" si="411"/>
        <v>Non-Senior</v>
      </c>
    </row>
    <row r="6580" spans="1:25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408"/>
        <v>0-12 Months</v>
      </c>
      <c r="W6580">
        <f t="shared" si="409"/>
        <v>0</v>
      </c>
      <c r="X6580">
        <f t="shared" si="410"/>
        <v>0</v>
      </c>
      <c r="Y6580" t="str">
        <f t="shared" si="411"/>
        <v>Non-Senior</v>
      </c>
    </row>
    <row r="6581" spans="1:25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408"/>
        <v>61-72 Months</v>
      </c>
      <c r="W6581">
        <f t="shared" si="409"/>
        <v>0</v>
      </c>
      <c r="X6581">
        <f t="shared" si="410"/>
        <v>0</v>
      </c>
      <c r="Y6581" t="str">
        <f t="shared" si="411"/>
        <v>Non-Senior</v>
      </c>
    </row>
    <row r="6582" spans="1:25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408"/>
        <v>49-60 Months</v>
      </c>
      <c r="W6582">
        <f t="shared" si="409"/>
        <v>0</v>
      </c>
      <c r="X6582">
        <f t="shared" si="410"/>
        <v>0</v>
      </c>
      <c r="Y6582" t="str">
        <f t="shared" si="411"/>
        <v>Non-Senior</v>
      </c>
    </row>
    <row r="6583" spans="1:25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408"/>
        <v>49-60 Months</v>
      </c>
      <c r="W6583">
        <f t="shared" si="409"/>
        <v>0</v>
      </c>
      <c r="X6583">
        <f t="shared" si="410"/>
        <v>0</v>
      </c>
      <c r="Y6583" t="str">
        <f t="shared" si="411"/>
        <v>Senior Citizen</v>
      </c>
    </row>
    <row r="6584" spans="1:25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408"/>
        <v>61-72 Months</v>
      </c>
      <c r="W6584">
        <f t="shared" si="409"/>
        <v>0</v>
      </c>
      <c r="X6584">
        <f t="shared" si="410"/>
        <v>0</v>
      </c>
      <c r="Y6584" t="str">
        <f t="shared" si="411"/>
        <v>Non-Senior</v>
      </c>
    </row>
    <row r="6585" spans="1:25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7082</v>
      </c>
      <c r="J6585" t="s">
        <v>7084</v>
      </c>
      <c r="K6585" t="s">
        <v>46</v>
      </c>
      <c r="L6585" t="s">
        <v>7084</v>
      </c>
      <c r="M6585" t="s">
        <v>7084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408"/>
        <v>13-24 Months</v>
      </c>
      <c r="W6585">
        <f t="shared" si="409"/>
        <v>0</v>
      </c>
      <c r="X6585">
        <f t="shared" si="410"/>
        <v>0</v>
      </c>
      <c r="Y6585" t="str">
        <f t="shared" si="411"/>
        <v>Non-Senior</v>
      </c>
    </row>
    <row r="6586" spans="1:25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7082</v>
      </c>
      <c r="J6586" t="s">
        <v>7084</v>
      </c>
      <c r="K6586" t="s">
        <v>46</v>
      </c>
      <c r="L6586" t="s">
        <v>7084</v>
      </c>
      <c r="M6586" t="s">
        <v>7084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408"/>
        <v>49-60 Months</v>
      </c>
      <c r="W6586">
        <f t="shared" si="409"/>
        <v>0</v>
      </c>
      <c r="X6586">
        <f t="shared" si="410"/>
        <v>0</v>
      </c>
      <c r="Y6586" t="str">
        <f t="shared" si="411"/>
        <v>Non-Senior</v>
      </c>
    </row>
    <row r="6587" spans="1:25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7082</v>
      </c>
      <c r="J6587" t="s">
        <v>7084</v>
      </c>
      <c r="K6587" t="s">
        <v>46</v>
      </c>
      <c r="L6587" t="s">
        <v>7084</v>
      </c>
      <c r="M6587" t="s">
        <v>7084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408"/>
        <v>37-48 Months</v>
      </c>
      <c r="W6587">
        <f t="shared" si="409"/>
        <v>0</v>
      </c>
      <c r="X6587">
        <f t="shared" si="410"/>
        <v>0</v>
      </c>
      <c r="Y6587" t="str">
        <f t="shared" si="411"/>
        <v>Non-Senior</v>
      </c>
    </row>
    <row r="6588" spans="1:25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7082</v>
      </c>
      <c r="J6588" t="s">
        <v>7084</v>
      </c>
      <c r="K6588" t="s">
        <v>46</v>
      </c>
      <c r="L6588" t="s">
        <v>7084</v>
      </c>
      <c r="M6588" t="s">
        <v>7084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408"/>
        <v>37-48 Months</v>
      </c>
      <c r="W6588">
        <f t="shared" si="409"/>
        <v>0</v>
      </c>
      <c r="X6588">
        <f t="shared" si="410"/>
        <v>0</v>
      </c>
      <c r="Y6588" t="str">
        <f t="shared" si="411"/>
        <v>Non-Senior</v>
      </c>
    </row>
    <row r="6589" spans="1:25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408"/>
        <v>61-72 Months</v>
      </c>
      <c r="W6589">
        <f t="shared" si="409"/>
        <v>0</v>
      </c>
      <c r="X6589">
        <f t="shared" si="410"/>
        <v>0</v>
      </c>
      <c r="Y6589" t="str">
        <f t="shared" si="411"/>
        <v>Senior Citizen</v>
      </c>
    </row>
    <row r="6590" spans="1:25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7082</v>
      </c>
      <c r="J6590" t="s">
        <v>7084</v>
      </c>
      <c r="K6590" t="s">
        <v>46</v>
      </c>
      <c r="L6590" t="s">
        <v>7084</v>
      </c>
      <c r="M6590" t="s">
        <v>7084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408"/>
        <v>13-24 Months</v>
      </c>
      <c r="W6590">
        <f t="shared" si="409"/>
        <v>0</v>
      </c>
      <c r="X6590">
        <f t="shared" si="410"/>
        <v>0</v>
      </c>
      <c r="Y6590" t="str">
        <f t="shared" si="411"/>
        <v>Non-Senior</v>
      </c>
    </row>
    <row r="6591" spans="1:25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7082</v>
      </c>
      <c r="J6591" t="s">
        <v>7084</v>
      </c>
      <c r="K6591" t="s">
        <v>46</v>
      </c>
      <c r="L6591" t="s">
        <v>7084</v>
      </c>
      <c r="M6591" t="s">
        <v>7084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408"/>
        <v>61-72 Months</v>
      </c>
      <c r="W6591">
        <f t="shared" si="409"/>
        <v>0</v>
      </c>
      <c r="X6591">
        <f t="shared" si="410"/>
        <v>0</v>
      </c>
      <c r="Y6591" t="str">
        <f t="shared" si="411"/>
        <v>Non-Senior</v>
      </c>
    </row>
    <row r="6592" spans="1:25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408"/>
        <v>0-12 Months</v>
      </c>
      <c r="W6592">
        <f t="shared" si="409"/>
        <v>1</v>
      </c>
      <c r="X6592">
        <f t="shared" si="410"/>
        <v>70.849999999999994</v>
      </c>
      <c r="Y6592" t="str">
        <f t="shared" si="411"/>
        <v>Non-Senior</v>
      </c>
    </row>
    <row r="6593" spans="1:25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408"/>
        <v>0-12 Months</v>
      </c>
      <c r="W6593">
        <f t="shared" si="409"/>
        <v>1</v>
      </c>
      <c r="X6593">
        <f t="shared" si="410"/>
        <v>69.8</v>
      </c>
      <c r="Y6593" t="str">
        <f t="shared" si="411"/>
        <v>Non-Senior</v>
      </c>
    </row>
    <row r="6594" spans="1:25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si="408"/>
        <v>25-36 Months</v>
      </c>
      <c r="W6594">
        <f t="shared" si="409"/>
        <v>0</v>
      </c>
      <c r="X6594">
        <f t="shared" si="410"/>
        <v>0</v>
      </c>
      <c r="Y6594" t="str">
        <f t="shared" si="411"/>
        <v>Non-Senior</v>
      </c>
    </row>
    <row r="6595" spans="1:25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ref="V6595:V6658" si="412">IF(F6595&lt;=12,"0-12 Months",IF(F6595&lt;=24,"13-24 Months",IF(F6595&lt;=36,"25-36 Months",IF(F6595&lt;=48,"37-48 Months",IF(F6595&lt;=60,"49-60 Months","61-72 Months")))))</f>
        <v>49-60 Months</v>
      </c>
      <c r="W6595">
        <f t="shared" ref="W6595:W6658" si="413">IF(U6595="Yes",1,0)</f>
        <v>1</v>
      </c>
      <c r="X6595">
        <f t="shared" ref="X6595:X6658" si="414">IF(U6595="Yes",S6595,0)</f>
        <v>54.55</v>
      </c>
      <c r="Y6595" t="str">
        <f t="shared" ref="Y6595:Y6658" si="415">IF(C6595=1,"Senior Citizen","Non-Senior")</f>
        <v>Non-Senior</v>
      </c>
    </row>
    <row r="6596" spans="1:25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7082</v>
      </c>
      <c r="J6596" t="s">
        <v>7084</v>
      </c>
      <c r="K6596" t="s">
        <v>46</v>
      </c>
      <c r="L6596" t="s">
        <v>7084</v>
      </c>
      <c r="M6596" t="s">
        <v>7084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412"/>
        <v>13-24 Months</v>
      </c>
      <c r="W6596">
        <f t="shared" si="413"/>
        <v>0</v>
      </c>
      <c r="X6596">
        <f t="shared" si="414"/>
        <v>0</v>
      </c>
      <c r="Y6596" t="str">
        <f t="shared" si="415"/>
        <v>Non-Senior</v>
      </c>
    </row>
    <row r="6597" spans="1:25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412"/>
        <v>61-72 Months</v>
      </c>
      <c r="W6597">
        <f t="shared" si="413"/>
        <v>0</v>
      </c>
      <c r="X6597">
        <f t="shared" si="414"/>
        <v>0</v>
      </c>
      <c r="Y6597" t="str">
        <f t="shared" si="415"/>
        <v>Non-Senior</v>
      </c>
    </row>
    <row r="6598" spans="1:25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412"/>
        <v>61-72 Months</v>
      </c>
      <c r="W6598">
        <f t="shared" si="413"/>
        <v>0</v>
      </c>
      <c r="X6598">
        <f t="shared" si="414"/>
        <v>0</v>
      </c>
      <c r="Y6598" t="str">
        <f t="shared" si="415"/>
        <v>Non-Senior</v>
      </c>
    </row>
    <row r="6599" spans="1:25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412"/>
        <v>0-12 Months</v>
      </c>
      <c r="W6599">
        <f t="shared" si="413"/>
        <v>1</v>
      </c>
      <c r="X6599">
        <f t="shared" si="414"/>
        <v>70.75</v>
      </c>
      <c r="Y6599" t="str">
        <f t="shared" si="415"/>
        <v>Non-Senior</v>
      </c>
    </row>
    <row r="6600" spans="1:25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412"/>
        <v>49-60 Months</v>
      </c>
      <c r="W6600">
        <f t="shared" si="413"/>
        <v>0</v>
      </c>
      <c r="X6600">
        <f t="shared" si="414"/>
        <v>0</v>
      </c>
      <c r="Y6600" t="str">
        <f t="shared" si="415"/>
        <v>Non-Senior</v>
      </c>
    </row>
    <row r="6601" spans="1:25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412"/>
        <v>13-24 Months</v>
      </c>
      <c r="W6601">
        <f t="shared" si="413"/>
        <v>1</v>
      </c>
      <c r="X6601">
        <f t="shared" si="414"/>
        <v>94.1</v>
      </c>
      <c r="Y6601" t="str">
        <f t="shared" si="415"/>
        <v>Non-Senior</v>
      </c>
    </row>
    <row r="6602" spans="1:25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412"/>
        <v>0-12 Months</v>
      </c>
      <c r="W6602">
        <f t="shared" si="413"/>
        <v>1</v>
      </c>
      <c r="X6602">
        <f t="shared" si="414"/>
        <v>29.7</v>
      </c>
      <c r="Y6602" t="str">
        <f t="shared" si="415"/>
        <v>Non-Senior</v>
      </c>
    </row>
    <row r="6603" spans="1:25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412"/>
        <v>61-72 Months</v>
      </c>
      <c r="W6603">
        <f t="shared" si="413"/>
        <v>0</v>
      </c>
      <c r="X6603">
        <f t="shared" si="414"/>
        <v>0</v>
      </c>
      <c r="Y6603" t="str">
        <f t="shared" si="415"/>
        <v>Senior Citizen</v>
      </c>
    </row>
    <row r="6604" spans="1:25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412"/>
        <v>37-48 Months</v>
      </c>
      <c r="W6604">
        <f t="shared" si="413"/>
        <v>0</v>
      </c>
      <c r="X6604">
        <f t="shared" si="414"/>
        <v>0</v>
      </c>
      <c r="Y6604" t="str">
        <f t="shared" si="415"/>
        <v>Non-Senior</v>
      </c>
    </row>
    <row r="6605" spans="1:25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412"/>
        <v>13-24 Months</v>
      </c>
      <c r="W6605">
        <f t="shared" si="413"/>
        <v>0</v>
      </c>
      <c r="X6605">
        <f t="shared" si="414"/>
        <v>0</v>
      </c>
      <c r="Y6605" t="str">
        <f t="shared" si="415"/>
        <v>Non-Senior</v>
      </c>
    </row>
    <row r="6606" spans="1:25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412"/>
        <v>0-12 Months</v>
      </c>
      <c r="W6606">
        <f t="shared" si="413"/>
        <v>0</v>
      </c>
      <c r="X6606">
        <f t="shared" si="414"/>
        <v>0</v>
      </c>
      <c r="Y6606" t="str">
        <f t="shared" si="415"/>
        <v>Non-Senior</v>
      </c>
    </row>
    <row r="6607" spans="1:25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412"/>
        <v>61-72 Months</v>
      </c>
      <c r="W6607">
        <f t="shared" si="413"/>
        <v>1</v>
      </c>
      <c r="X6607">
        <f t="shared" si="414"/>
        <v>110.9</v>
      </c>
      <c r="Y6607" t="str">
        <f t="shared" si="415"/>
        <v>Senior Citizen</v>
      </c>
    </row>
    <row r="6608" spans="1:25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412"/>
        <v>37-48 Months</v>
      </c>
      <c r="W6608">
        <f t="shared" si="413"/>
        <v>1</v>
      </c>
      <c r="X6608">
        <f t="shared" si="414"/>
        <v>105</v>
      </c>
      <c r="Y6608" t="str">
        <f t="shared" si="415"/>
        <v>Non-Senior</v>
      </c>
    </row>
    <row r="6609" spans="1:25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412"/>
        <v>0-12 Months</v>
      </c>
      <c r="W6609">
        <f t="shared" si="413"/>
        <v>1</v>
      </c>
      <c r="X6609">
        <f t="shared" si="414"/>
        <v>25.3</v>
      </c>
      <c r="Y6609" t="str">
        <f t="shared" si="415"/>
        <v>Non-Senior</v>
      </c>
    </row>
    <row r="6610" spans="1:25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412"/>
        <v>13-24 Months</v>
      </c>
      <c r="W6610">
        <f t="shared" si="413"/>
        <v>1</v>
      </c>
      <c r="X6610">
        <f t="shared" si="414"/>
        <v>55.15</v>
      </c>
      <c r="Y6610" t="str">
        <f t="shared" si="415"/>
        <v>Non-Senior</v>
      </c>
    </row>
    <row r="6611" spans="1:25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7082</v>
      </c>
      <c r="J6611" t="s">
        <v>7084</v>
      </c>
      <c r="K6611" t="s">
        <v>46</v>
      </c>
      <c r="L6611" t="s">
        <v>7084</v>
      </c>
      <c r="M6611" t="s">
        <v>7084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412"/>
        <v>0-12 Months</v>
      </c>
      <c r="W6611">
        <f t="shared" si="413"/>
        <v>1</v>
      </c>
      <c r="X6611">
        <f t="shared" si="414"/>
        <v>20.100000000000001</v>
      </c>
      <c r="Y6611" t="str">
        <f t="shared" si="415"/>
        <v>Non-Senior</v>
      </c>
    </row>
    <row r="6612" spans="1:25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412"/>
        <v>0-12 Months</v>
      </c>
      <c r="W6612">
        <f t="shared" si="413"/>
        <v>0</v>
      </c>
      <c r="X6612">
        <f t="shared" si="414"/>
        <v>0</v>
      </c>
      <c r="Y6612" t="str">
        <f t="shared" si="415"/>
        <v>Non-Senior</v>
      </c>
    </row>
    <row r="6613" spans="1:25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412"/>
        <v>25-36 Months</v>
      </c>
      <c r="W6613">
        <f t="shared" si="413"/>
        <v>0</v>
      </c>
      <c r="X6613">
        <f t="shared" si="414"/>
        <v>0</v>
      </c>
      <c r="Y6613" t="str">
        <f t="shared" si="415"/>
        <v>Non-Senior</v>
      </c>
    </row>
    <row r="6614" spans="1:25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412"/>
        <v>0-12 Months</v>
      </c>
      <c r="W6614">
        <f t="shared" si="413"/>
        <v>1</v>
      </c>
      <c r="X6614">
        <f t="shared" si="414"/>
        <v>69.900000000000006</v>
      </c>
      <c r="Y6614" t="str">
        <f t="shared" si="415"/>
        <v>Non-Senior</v>
      </c>
    </row>
    <row r="6615" spans="1:25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7082</v>
      </c>
      <c r="J6615" t="s">
        <v>7084</v>
      </c>
      <c r="K6615" t="s">
        <v>46</v>
      </c>
      <c r="L6615" t="s">
        <v>7084</v>
      </c>
      <c r="M6615" t="s">
        <v>7084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412"/>
        <v>0-12 Months</v>
      </c>
      <c r="W6615">
        <f t="shared" si="413"/>
        <v>0</v>
      </c>
      <c r="X6615">
        <f t="shared" si="414"/>
        <v>0</v>
      </c>
      <c r="Y6615" t="str">
        <f t="shared" si="415"/>
        <v>Non-Senior</v>
      </c>
    </row>
    <row r="6616" spans="1:25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7082</v>
      </c>
      <c r="J6616" t="s">
        <v>7084</v>
      </c>
      <c r="K6616" t="s">
        <v>46</v>
      </c>
      <c r="L6616" t="s">
        <v>7084</v>
      </c>
      <c r="M6616" t="s">
        <v>7084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412"/>
        <v>61-72 Months</v>
      </c>
      <c r="W6616">
        <f t="shared" si="413"/>
        <v>0</v>
      </c>
      <c r="X6616">
        <f t="shared" si="414"/>
        <v>0</v>
      </c>
      <c r="Y6616" t="str">
        <f t="shared" si="415"/>
        <v>Non-Senior</v>
      </c>
    </row>
    <row r="6617" spans="1:25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412"/>
        <v>0-12 Months</v>
      </c>
      <c r="W6617">
        <f t="shared" si="413"/>
        <v>0</v>
      </c>
      <c r="X6617">
        <f t="shared" si="414"/>
        <v>0</v>
      </c>
      <c r="Y6617" t="str">
        <f t="shared" si="415"/>
        <v>Non-Senior</v>
      </c>
    </row>
    <row r="6618" spans="1:25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412"/>
        <v>37-48 Months</v>
      </c>
      <c r="W6618">
        <f t="shared" si="413"/>
        <v>1</v>
      </c>
      <c r="X6618">
        <f t="shared" si="414"/>
        <v>101.4</v>
      </c>
      <c r="Y6618" t="str">
        <f t="shared" si="415"/>
        <v>Non-Senior</v>
      </c>
    </row>
    <row r="6619" spans="1:25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412"/>
        <v>37-48 Months</v>
      </c>
      <c r="W6619">
        <f t="shared" si="413"/>
        <v>0</v>
      </c>
      <c r="X6619">
        <f t="shared" si="414"/>
        <v>0</v>
      </c>
      <c r="Y6619" t="str">
        <f t="shared" si="415"/>
        <v>Non-Senior</v>
      </c>
    </row>
    <row r="6620" spans="1:25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412"/>
        <v>25-36 Months</v>
      </c>
      <c r="W6620">
        <f t="shared" si="413"/>
        <v>0</v>
      </c>
      <c r="X6620">
        <f t="shared" si="414"/>
        <v>0</v>
      </c>
      <c r="Y6620" t="str">
        <f t="shared" si="415"/>
        <v>Non-Senior</v>
      </c>
    </row>
    <row r="6621" spans="1:25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7082</v>
      </c>
      <c r="J6621" t="s">
        <v>7084</v>
      </c>
      <c r="K6621" t="s">
        <v>46</v>
      </c>
      <c r="L6621" t="s">
        <v>7084</v>
      </c>
      <c r="M6621" t="s">
        <v>7084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412"/>
        <v>0-12 Months</v>
      </c>
      <c r="W6621">
        <f t="shared" si="413"/>
        <v>0</v>
      </c>
      <c r="X6621">
        <f t="shared" si="414"/>
        <v>0</v>
      </c>
      <c r="Y6621" t="str">
        <f t="shared" si="415"/>
        <v>Non-Senior</v>
      </c>
    </row>
    <row r="6622" spans="1:25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412"/>
        <v>0-12 Months</v>
      </c>
      <c r="W6622">
        <f t="shared" si="413"/>
        <v>1</v>
      </c>
      <c r="X6622">
        <f t="shared" si="414"/>
        <v>80.8</v>
      </c>
      <c r="Y6622" t="str">
        <f t="shared" si="415"/>
        <v>Non-Senior</v>
      </c>
    </row>
    <row r="6623" spans="1:25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7082</v>
      </c>
      <c r="J6623" t="s">
        <v>7084</v>
      </c>
      <c r="K6623" t="s">
        <v>46</v>
      </c>
      <c r="L6623" t="s">
        <v>7084</v>
      </c>
      <c r="M6623" t="s">
        <v>7084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412"/>
        <v>37-48 Months</v>
      </c>
      <c r="W6623">
        <f t="shared" si="413"/>
        <v>0</v>
      </c>
      <c r="X6623">
        <f t="shared" si="414"/>
        <v>0</v>
      </c>
      <c r="Y6623" t="str">
        <f t="shared" si="415"/>
        <v>Non-Senior</v>
      </c>
    </row>
    <row r="6624" spans="1:25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412"/>
        <v>0-12 Months</v>
      </c>
      <c r="W6624">
        <f t="shared" si="413"/>
        <v>1</v>
      </c>
      <c r="X6624">
        <f t="shared" si="414"/>
        <v>62.05</v>
      </c>
      <c r="Y6624" t="str">
        <f t="shared" si="415"/>
        <v>Non-Senior</v>
      </c>
    </row>
    <row r="6625" spans="1:25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412"/>
        <v>0-12 Months</v>
      </c>
      <c r="W6625">
        <f t="shared" si="413"/>
        <v>1</v>
      </c>
      <c r="X6625">
        <f t="shared" si="414"/>
        <v>76.45</v>
      </c>
      <c r="Y6625" t="str">
        <f t="shared" si="415"/>
        <v>Senior Citizen</v>
      </c>
    </row>
    <row r="6626" spans="1:25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412"/>
        <v>61-72 Months</v>
      </c>
      <c r="W6626">
        <f t="shared" si="413"/>
        <v>0</v>
      </c>
      <c r="X6626">
        <f t="shared" si="414"/>
        <v>0</v>
      </c>
      <c r="Y6626" t="str">
        <f t="shared" si="415"/>
        <v>Non-Senior</v>
      </c>
    </row>
    <row r="6627" spans="1:25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412"/>
        <v>0-12 Months</v>
      </c>
      <c r="W6627">
        <f t="shared" si="413"/>
        <v>1</v>
      </c>
      <c r="X6627">
        <f t="shared" si="414"/>
        <v>91.3</v>
      </c>
      <c r="Y6627" t="str">
        <f t="shared" si="415"/>
        <v>Senior Citizen</v>
      </c>
    </row>
    <row r="6628" spans="1:25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412"/>
        <v>0-12 Months</v>
      </c>
      <c r="W6628">
        <f t="shared" si="413"/>
        <v>1</v>
      </c>
      <c r="X6628">
        <f t="shared" si="414"/>
        <v>95.75</v>
      </c>
      <c r="Y6628" t="str">
        <f t="shared" si="415"/>
        <v>Senior Citizen</v>
      </c>
    </row>
    <row r="6629" spans="1:25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7082</v>
      </c>
      <c r="J6629" t="s">
        <v>7084</v>
      </c>
      <c r="K6629" t="s">
        <v>46</v>
      </c>
      <c r="L6629" t="s">
        <v>7084</v>
      </c>
      <c r="M6629" t="s">
        <v>7084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412"/>
        <v>49-60 Months</v>
      </c>
      <c r="W6629">
        <f t="shared" si="413"/>
        <v>0</v>
      </c>
      <c r="X6629">
        <f t="shared" si="414"/>
        <v>0</v>
      </c>
      <c r="Y6629" t="str">
        <f t="shared" si="415"/>
        <v>Non-Senior</v>
      </c>
    </row>
    <row r="6630" spans="1:25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412"/>
        <v>0-12 Months</v>
      </c>
      <c r="W6630">
        <f t="shared" si="413"/>
        <v>0</v>
      </c>
      <c r="X6630">
        <f t="shared" si="414"/>
        <v>0</v>
      </c>
      <c r="Y6630" t="str">
        <f t="shared" si="415"/>
        <v>Non-Senior</v>
      </c>
    </row>
    <row r="6631" spans="1:25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412"/>
        <v>61-72 Months</v>
      </c>
      <c r="W6631">
        <f t="shared" si="413"/>
        <v>0</v>
      </c>
      <c r="X6631">
        <f t="shared" si="414"/>
        <v>0</v>
      </c>
      <c r="Y6631" t="str">
        <f t="shared" si="415"/>
        <v>Senior Citizen</v>
      </c>
    </row>
    <row r="6632" spans="1:25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412"/>
        <v>13-24 Months</v>
      </c>
      <c r="W6632">
        <f t="shared" si="413"/>
        <v>0</v>
      </c>
      <c r="X6632">
        <f t="shared" si="414"/>
        <v>0</v>
      </c>
      <c r="Y6632" t="str">
        <f t="shared" si="415"/>
        <v>Senior Citizen</v>
      </c>
    </row>
    <row r="6633" spans="1:25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412"/>
        <v>25-36 Months</v>
      </c>
      <c r="W6633">
        <f t="shared" si="413"/>
        <v>0</v>
      </c>
      <c r="X6633">
        <f t="shared" si="414"/>
        <v>0</v>
      </c>
      <c r="Y6633" t="str">
        <f t="shared" si="415"/>
        <v>Non-Senior</v>
      </c>
    </row>
    <row r="6634" spans="1:25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412"/>
        <v>25-36 Months</v>
      </c>
      <c r="W6634">
        <f t="shared" si="413"/>
        <v>1</v>
      </c>
      <c r="X6634">
        <f t="shared" si="414"/>
        <v>62.65</v>
      </c>
      <c r="Y6634" t="str">
        <f t="shared" si="415"/>
        <v>Non-Senior</v>
      </c>
    </row>
    <row r="6635" spans="1:25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412"/>
        <v>0-12 Months</v>
      </c>
      <c r="W6635">
        <f t="shared" si="413"/>
        <v>1</v>
      </c>
      <c r="X6635">
        <f t="shared" si="414"/>
        <v>74.5</v>
      </c>
      <c r="Y6635" t="str">
        <f t="shared" si="415"/>
        <v>Non-Senior</v>
      </c>
    </row>
    <row r="6636" spans="1:25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412"/>
        <v>0-12 Months</v>
      </c>
      <c r="W6636">
        <f t="shared" si="413"/>
        <v>1</v>
      </c>
      <c r="X6636">
        <f t="shared" si="414"/>
        <v>102.1</v>
      </c>
      <c r="Y6636" t="str">
        <f t="shared" si="415"/>
        <v>Non-Senior</v>
      </c>
    </row>
    <row r="6637" spans="1:25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7082</v>
      </c>
      <c r="J6637" t="s">
        <v>7084</v>
      </c>
      <c r="K6637" t="s">
        <v>46</v>
      </c>
      <c r="L6637" t="s">
        <v>7084</v>
      </c>
      <c r="M6637" t="s">
        <v>7084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412"/>
        <v>13-24 Months</v>
      </c>
      <c r="W6637">
        <f t="shared" si="413"/>
        <v>0</v>
      </c>
      <c r="X6637">
        <f t="shared" si="414"/>
        <v>0</v>
      </c>
      <c r="Y6637" t="str">
        <f t="shared" si="415"/>
        <v>Non-Senior</v>
      </c>
    </row>
    <row r="6638" spans="1:25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412"/>
        <v>0-12 Months</v>
      </c>
      <c r="W6638">
        <f t="shared" si="413"/>
        <v>0</v>
      </c>
      <c r="X6638">
        <f t="shared" si="414"/>
        <v>0</v>
      </c>
      <c r="Y6638" t="str">
        <f t="shared" si="415"/>
        <v>Non-Senior</v>
      </c>
    </row>
    <row r="6639" spans="1:25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412"/>
        <v>61-72 Months</v>
      </c>
      <c r="W6639">
        <f t="shared" si="413"/>
        <v>0</v>
      </c>
      <c r="X6639">
        <f t="shared" si="414"/>
        <v>0</v>
      </c>
      <c r="Y6639" t="str">
        <f t="shared" si="415"/>
        <v>Non-Senior</v>
      </c>
    </row>
    <row r="6640" spans="1:25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7082</v>
      </c>
      <c r="J6640" t="s">
        <v>7084</v>
      </c>
      <c r="K6640" t="s">
        <v>46</v>
      </c>
      <c r="L6640" t="s">
        <v>7084</v>
      </c>
      <c r="M6640" t="s">
        <v>7084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412"/>
        <v>49-60 Months</v>
      </c>
      <c r="W6640">
        <f t="shared" si="413"/>
        <v>0</v>
      </c>
      <c r="X6640">
        <f t="shared" si="414"/>
        <v>0</v>
      </c>
      <c r="Y6640" t="str">
        <f t="shared" si="415"/>
        <v>Non-Senior</v>
      </c>
    </row>
    <row r="6641" spans="1:25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412"/>
        <v>49-60 Months</v>
      </c>
      <c r="W6641">
        <f t="shared" si="413"/>
        <v>0</v>
      </c>
      <c r="X6641">
        <f t="shared" si="414"/>
        <v>0</v>
      </c>
      <c r="Y6641" t="str">
        <f t="shared" si="415"/>
        <v>Non-Senior</v>
      </c>
    </row>
    <row r="6642" spans="1:25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412"/>
        <v>25-36 Months</v>
      </c>
      <c r="W6642">
        <f t="shared" si="413"/>
        <v>0</v>
      </c>
      <c r="X6642">
        <f t="shared" si="414"/>
        <v>0</v>
      </c>
      <c r="Y6642" t="str">
        <f t="shared" si="415"/>
        <v>Non-Senior</v>
      </c>
    </row>
    <row r="6643" spans="1:25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412"/>
        <v>13-24 Months</v>
      </c>
      <c r="W6643">
        <f t="shared" si="413"/>
        <v>1</v>
      </c>
      <c r="X6643">
        <f t="shared" si="414"/>
        <v>50.15</v>
      </c>
      <c r="Y6643" t="str">
        <f t="shared" si="415"/>
        <v>Non-Senior</v>
      </c>
    </row>
    <row r="6644" spans="1:25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412"/>
        <v>25-36 Months</v>
      </c>
      <c r="W6644">
        <f t="shared" si="413"/>
        <v>0</v>
      </c>
      <c r="X6644">
        <f t="shared" si="414"/>
        <v>0</v>
      </c>
      <c r="Y6644" t="str">
        <f t="shared" si="415"/>
        <v>Non-Senior</v>
      </c>
    </row>
    <row r="6645" spans="1:25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412"/>
        <v>0-12 Months</v>
      </c>
      <c r="W6645">
        <f t="shared" si="413"/>
        <v>0</v>
      </c>
      <c r="X6645">
        <f t="shared" si="414"/>
        <v>0</v>
      </c>
      <c r="Y6645" t="str">
        <f t="shared" si="415"/>
        <v>Senior Citizen</v>
      </c>
    </row>
    <row r="6646" spans="1:25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412"/>
        <v>61-72 Months</v>
      </c>
      <c r="W6646">
        <f t="shared" si="413"/>
        <v>0</v>
      </c>
      <c r="X6646">
        <f t="shared" si="414"/>
        <v>0</v>
      </c>
      <c r="Y6646" t="str">
        <f t="shared" si="415"/>
        <v>Non-Senior</v>
      </c>
    </row>
    <row r="6647" spans="1:25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7082</v>
      </c>
      <c r="J6647" t="s">
        <v>7084</v>
      </c>
      <c r="K6647" t="s">
        <v>46</v>
      </c>
      <c r="L6647" t="s">
        <v>7084</v>
      </c>
      <c r="M6647" t="s">
        <v>7084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412"/>
        <v>0-12 Months</v>
      </c>
      <c r="W6647">
        <f t="shared" si="413"/>
        <v>0</v>
      </c>
      <c r="X6647">
        <f t="shared" si="414"/>
        <v>0</v>
      </c>
      <c r="Y6647" t="str">
        <f t="shared" si="415"/>
        <v>Non-Senior</v>
      </c>
    </row>
    <row r="6648" spans="1:25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7082</v>
      </c>
      <c r="J6648" t="s">
        <v>7084</v>
      </c>
      <c r="K6648" t="s">
        <v>46</v>
      </c>
      <c r="L6648" t="s">
        <v>7084</v>
      </c>
      <c r="M6648" t="s">
        <v>7084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412"/>
        <v>49-60 Months</v>
      </c>
      <c r="W6648">
        <f t="shared" si="413"/>
        <v>0</v>
      </c>
      <c r="X6648">
        <f t="shared" si="414"/>
        <v>0</v>
      </c>
      <c r="Y6648" t="str">
        <f t="shared" si="415"/>
        <v>Non-Senior</v>
      </c>
    </row>
    <row r="6649" spans="1:25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412"/>
        <v>61-72 Months</v>
      </c>
      <c r="W6649">
        <f t="shared" si="413"/>
        <v>0</v>
      </c>
      <c r="X6649">
        <f t="shared" si="414"/>
        <v>0</v>
      </c>
      <c r="Y6649" t="str">
        <f t="shared" si="415"/>
        <v>Non-Senior</v>
      </c>
    </row>
    <row r="6650" spans="1:25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7082</v>
      </c>
      <c r="J6650" t="s">
        <v>7084</v>
      </c>
      <c r="K6650" t="s">
        <v>46</v>
      </c>
      <c r="L6650" t="s">
        <v>7084</v>
      </c>
      <c r="M6650" t="s">
        <v>7084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412"/>
        <v>13-24 Months</v>
      </c>
      <c r="W6650">
        <f t="shared" si="413"/>
        <v>0</v>
      </c>
      <c r="X6650">
        <f t="shared" si="414"/>
        <v>0</v>
      </c>
      <c r="Y6650" t="str">
        <f t="shared" si="415"/>
        <v>Non-Senior</v>
      </c>
    </row>
    <row r="6651" spans="1:25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7082</v>
      </c>
      <c r="J6651" t="s">
        <v>7084</v>
      </c>
      <c r="K6651" t="s">
        <v>46</v>
      </c>
      <c r="L6651" t="s">
        <v>7084</v>
      </c>
      <c r="M6651" t="s">
        <v>7084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412"/>
        <v>0-12 Months</v>
      </c>
      <c r="W6651">
        <f t="shared" si="413"/>
        <v>0</v>
      </c>
      <c r="X6651">
        <f t="shared" si="414"/>
        <v>0</v>
      </c>
      <c r="Y6651" t="str">
        <f t="shared" si="415"/>
        <v>Non-Senior</v>
      </c>
    </row>
    <row r="6652" spans="1:25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7082</v>
      </c>
      <c r="J6652" t="s">
        <v>7084</v>
      </c>
      <c r="K6652" t="s">
        <v>46</v>
      </c>
      <c r="L6652" t="s">
        <v>7084</v>
      </c>
      <c r="M6652" t="s">
        <v>7084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412"/>
        <v>0-12 Months</v>
      </c>
      <c r="W6652">
        <f t="shared" si="413"/>
        <v>0</v>
      </c>
      <c r="X6652">
        <f t="shared" si="414"/>
        <v>0</v>
      </c>
      <c r="Y6652" t="str">
        <f t="shared" si="415"/>
        <v>Non-Senior</v>
      </c>
    </row>
    <row r="6653" spans="1:25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412"/>
        <v>25-36 Months</v>
      </c>
      <c r="W6653">
        <f t="shared" si="413"/>
        <v>0</v>
      </c>
      <c r="X6653">
        <f t="shared" si="414"/>
        <v>0</v>
      </c>
      <c r="Y6653" t="str">
        <f t="shared" si="415"/>
        <v>Non-Senior</v>
      </c>
    </row>
    <row r="6654" spans="1:25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7082</v>
      </c>
      <c r="J6654" t="s">
        <v>7084</v>
      </c>
      <c r="K6654" t="s">
        <v>46</v>
      </c>
      <c r="L6654" t="s">
        <v>7084</v>
      </c>
      <c r="M6654" t="s">
        <v>7084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412"/>
        <v>25-36 Months</v>
      </c>
      <c r="W6654">
        <f t="shared" si="413"/>
        <v>0</v>
      </c>
      <c r="X6654">
        <f t="shared" si="414"/>
        <v>0</v>
      </c>
      <c r="Y6654" t="str">
        <f t="shared" si="415"/>
        <v>Non-Senior</v>
      </c>
    </row>
    <row r="6655" spans="1:25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412"/>
        <v>25-36 Months</v>
      </c>
      <c r="W6655">
        <f t="shared" si="413"/>
        <v>0</v>
      </c>
      <c r="X6655">
        <f t="shared" si="414"/>
        <v>0</v>
      </c>
      <c r="Y6655" t="str">
        <f t="shared" si="415"/>
        <v>Non-Senior</v>
      </c>
    </row>
    <row r="6656" spans="1:25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412"/>
        <v>0-12 Months</v>
      </c>
      <c r="W6656">
        <f t="shared" si="413"/>
        <v>1</v>
      </c>
      <c r="X6656">
        <f t="shared" si="414"/>
        <v>86.5</v>
      </c>
      <c r="Y6656" t="str">
        <f t="shared" si="415"/>
        <v>Non-Senior</v>
      </c>
    </row>
    <row r="6657" spans="1:25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7082</v>
      </c>
      <c r="J6657" t="s">
        <v>7084</v>
      </c>
      <c r="K6657" t="s">
        <v>46</v>
      </c>
      <c r="L6657" t="s">
        <v>7084</v>
      </c>
      <c r="M6657" t="s">
        <v>7084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412"/>
        <v>61-72 Months</v>
      </c>
      <c r="W6657">
        <f t="shared" si="413"/>
        <v>0</v>
      </c>
      <c r="X6657">
        <f t="shared" si="414"/>
        <v>0</v>
      </c>
      <c r="Y6657" t="str">
        <f t="shared" si="415"/>
        <v>Non-Senior</v>
      </c>
    </row>
    <row r="6658" spans="1:25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7082</v>
      </c>
      <c r="J6658" t="s">
        <v>7084</v>
      </c>
      <c r="K6658" t="s">
        <v>46</v>
      </c>
      <c r="L6658" t="s">
        <v>7084</v>
      </c>
      <c r="M6658" t="s">
        <v>7084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si="412"/>
        <v>37-48 Months</v>
      </c>
      <c r="W6658">
        <f t="shared" si="413"/>
        <v>0</v>
      </c>
      <c r="X6658">
        <f t="shared" si="414"/>
        <v>0</v>
      </c>
      <c r="Y6658" t="str">
        <f t="shared" si="415"/>
        <v>Non-Senior</v>
      </c>
    </row>
    <row r="6659" spans="1:25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7082</v>
      </c>
      <c r="J6659" t="s">
        <v>7084</v>
      </c>
      <c r="K6659" t="s">
        <v>46</v>
      </c>
      <c r="L6659" t="s">
        <v>7084</v>
      </c>
      <c r="M6659" t="s">
        <v>7084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ref="V6659:V6722" si="416">IF(F6659&lt;=12,"0-12 Months",IF(F6659&lt;=24,"13-24 Months",IF(F6659&lt;=36,"25-36 Months",IF(F6659&lt;=48,"37-48 Months",IF(F6659&lt;=60,"49-60 Months","61-72 Months")))))</f>
        <v>49-60 Months</v>
      </c>
      <c r="W6659">
        <f t="shared" ref="W6659:W6722" si="417">IF(U6659="Yes",1,0)</f>
        <v>0</v>
      </c>
      <c r="X6659">
        <f t="shared" ref="X6659:X6722" si="418">IF(U6659="Yes",S6659,0)</f>
        <v>0</v>
      </c>
      <c r="Y6659" t="str">
        <f t="shared" ref="Y6659:Y6722" si="419">IF(C6659=1,"Senior Citizen","Non-Senior")</f>
        <v>Non-Senior</v>
      </c>
    </row>
    <row r="6660" spans="1:25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416"/>
        <v>25-36 Months</v>
      </c>
      <c r="W6660">
        <f t="shared" si="417"/>
        <v>1</v>
      </c>
      <c r="X6660">
        <f t="shared" si="418"/>
        <v>81.45</v>
      </c>
      <c r="Y6660" t="str">
        <f t="shared" si="419"/>
        <v>Senior Citizen</v>
      </c>
    </row>
    <row r="6661" spans="1:25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416"/>
        <v>61-72 Months</v>
      </c>
      <c r="W6661">
        <f t="shared" si="417"/>
        <v>0</v>
      </c>
      <c r="X6661">
        <f t="shared" si="418"/>
        <v>0</v>
      </c>
      <c r="Y6661" t="str">
        <f t="shared" si="419"/>
        <v>Non-Senior</v>
      </c>
    </row>
    <row r="6662" spans="1:25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416"/>
        <v>0-12 Months</v>
      </c>
      <c r="W6662">
        <f t="shared" si="417"/>
        <v>1</v>
      </c>
      <c r="X6662">
        <f t="shared" si="418"/>
        <v>69.150000000000006</v>
      </c>
      <c r="Y6662" t="str">
        <f t="shared" si="419"/>
        <v>Non-Senior</v>
      </c>
    </row>
    <row r="6663" spans="1:25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416"/>
        <v>61-72 Months</v>
      </c>
      <c r="W6663">
        <f t="shared" si="417"/>
        <v>0</v>
      </c>
      <c r="X6663">
        <f t="shared" si="418"/>
        <v>0</v>
      </c>
      <c r="Y6663" t="str">
        <f t="shared" si="419"/>
        <v>Non-Senior</v>
      </c>
    </row>
    <row r="6664" spans="1:25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416"/>
        <v>37-48 Months</v>
      </c>
      <c r="W6664">
        <f t="shared" si="417"/>
        <v>0</v>
      </c>
      <c r="X6664">
        <f t="shared" si="418"/>
        <v>0</v>
      </c>
      <c r="Y6664" t="str">
        <f t="shared" si="419"/>
        <v>Non-Senior</v>
      </c>
    </row>
    <row r="6665" spans="1:25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416"/>
        <v>0-12 Months</v>
      </c>
      <c r="W6665">
        <f t="shared" si="417"/>
        <v>0</v>
      </c>
      <c r="X6665">
        <f t="shared" si="418"/>
        <v>0</v>
      </c>
      <c r="Y6665" t="str">
        <f t="shared" si="419"/>
        <v>Non-Senior</v>
      </c>
    </row>
    <row r="6666" spans="1:25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416"/>
        <v>25-36 Months</v>
      </c>
      <c r="W6666">
        <f t="shared" si="417"/>
        <v>0</v>
      </c>
      <c r="X6666">
        <f t="shared" si="418"/>
        <v>0</v>
      </c>
      <c r="Y6666" t="str">
        <f t="shared" si="419"/>
        <v>Non-Senior</v>
      </c>
    </row>
    <row r="6667" spans="1:25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416"/>
        <v>37-48 Months</v>
      </c>
      <c r="W6667">
        <f t="shared" si="417"/>
        <v>0</v>
      </c>
      <c r="X6667">
        <f t="shared" si="418"/>
        <v>0</v>
      </c>
      <c r="Y6667" t="str">
        <f t="shared" si="419"/>
        <v>Non-Senior</v>
      </c>
    </row>
    <row r="6668" spans="1:25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416"/>
        <v>25-36 Months</v>
      </c>
      <c r="W6668">
        <f t="shared" si="417"/>
        <v>0</v>
      </c>
      <c r="X6668">
        <f t="shared" si="418"/>
        <v>0</v>
      </c>
      <c r="Y6668" t="str">
        <f t="shared" si="419"/>
        <v>Senior Citizen</v>
      </c>
    </row>
    <row r="6669" spans="1:25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416"/>
        <v>0-12 Months</v>
      </c>
      <c r="W6669">
        <f t="shared" si="417"/>
        <v>1</v>
      </c>
      <c r="X6669">
        <f t="shared" si="418"/>
        <v>79.55</v>
      </c>
      <c r="Y6669" t="str">
        <f t="shared" si="419"/>
        <v>Non-Senior</v>
      </c>
    </row>
    <row r="6670" spans="1:25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416"/>
        <v>37-48 Months</v>
      </c>
      <c r="W6670">
        <f t="shared" si="417"/>
        <v>0</v>
      </c>
      <c r="X6670">
        <f t="shared" si="418"/>
        <v>0</v>
      </c>
      <c r="Y6670" t="str">
        <f t="shared" si="419"/>
        <v>Non-Senior</v>
      </c>
    </row>
    <row r="6671" spans="1:25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416"/>
        <v>25-36 Months</v>
      </c>
      <c r="W6671">
        <f t="shared" si="417"/>
        <v>0</v>
      </c>
      <c r="X6671">
        <f t="shared" si="418"/>
        <v>0</v>
      </c>
      <c r="Y6671" t="str">
        <f t="shared" si="419"/>
        <v>Senior Citizen</v>
      </c>
    </row>
    <row r="6672" spans="1:25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 t="str">
        <f t="shared" si="416"/>
        <v>0-12 Months</v>
      </c>
      <c r="W6672">
        <f t="shared" si="417"/>
        <v>0</v>
      </c>
      <c r="X6672">
        <f t="shared" si="418"/>
        <v>0</v>
      </c>
      <c r="Y6672" t="str">
        <f t="shared" si="419"/>
        <v>Non-Senior</v>
      </c>
    </row>
    <row r="6673" spans="1:25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416"/>
        <v>49-60 Months</v>
      </c>
      <c r="W6673">
        <f t="shared" si="417"/>
        <v>0</v>
      </c>
      <c r="X6673">
        <f t="shared" si="418"/>
        <v>0</v>
      </c>
      <c r="Y6673" t="str">
        <f t="shared" si="419"/>
        <v>Non-Senior</v>
      </c>
    </row>
    <row r="6674" spans="1:25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7082</v>
      </c>
      <c r="J6674" t="s">
        <v>7084</v>
      </c>
      <c r="K6674" t="s">
        <v>46</v>
      </c>
      <c r="L6674" t="s">
        <v>7084</v>
      </c>
      <c r="M6674" t="s">
        <v>7084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416"/>
        <v>25-36 Months</v>
      </c>
      <c r="W6674">
        <f t="shared" si="417"/>
        <v>0</v>
      </c>
      <c r="X6674">
        <f t="shared" si="418"/>
        <v>0</v>
      </c>
      <c r="Y6674" t="str">
        <f t="shared" si="419"/>
        <v>Non-Senior</v>
      </c>
    </row>
    <row r="6675" spans="1:25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416"/>
        <v>0-12 Months</v>
      </c>
      <c r="W6675">
        <f t="shared" si="417"/>
        <v>0</v>
      </c>
      <c r="X6675">
        <f t="shared" si="418"/>
        <v>0</v>
      </c>
      <c r="Y6675" t="str">
        <f t="shared" si="419"/>
        <v>Senior Citizen</v>
      </c>
    </row>
    <row r="6676" spans="1:25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7082</v>
      </c>
      <c r="J6676" t="s">
        <v>7084</v>
      </c>
      <c r="K6676" t="s">
        <v>46</v>
      </c>
      <c r="L6676" t="s">
        <v>7084</v>
      </c>
      <c r="M6676" t="s">
        <v>7084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416"/>
        <v>0-12 Months</v>
      </c>
      <c r="W6676">
        <f t="shared" si="417"/>
        <v>0</v>
      </c>
      <c r="X6676">
        <f t="shared" si="418"/>
        <v>0</v>
      </c>
      <c r="Y6676" t="str">
        <f t="shared" si="419"/>
        <v>Non-Senior</v>
      </c>
    </row>
    <row r="6677" spans="1:25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416"/>
        <v>25-36 Months</v>
      </c>
      <c r="W6677">
        <f t="shared" si="417"/>
        <v>0</v>
      </c>
      <c r="X6677">
        <f t="shared" si="418"/>
        <v>0</v>
      </c>
      <c r="Y6677" t="str">
        <f t="shared" si="419"/>
        <v>Non-Senior</v>
      </c>
    </row>
    <row r="6678" spans="1:25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416"/>
        <v>37-48 Months</v>
      </c>
      <c r="W6678">
        <f t="shared" si="417"/>
        <v>0</v>
      </c>
      <c r="X6678">
        <f t="shared" si="418"/>
        <v>0</v>
      </c>
      <c r="Y6678" t="str">
        <f t="shared" si="419"/>
        <v>Non-Senior</v>
      </c>
    </row>
    <row r="6679" spans="1:25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416"/>
        <v>13-24 Months</v>
      </c>
      <c r="W6679">
        <f t="shared" si="417"/>
        <v>0</v>
      </c>
      <c r="X6679">
        <f t="shared" si="418"/>
        <v>0</v>
      </c>
      <c r="Y6679" t="str">
        <f t="shared" si="419"/>
        <v>Non-Senior</v>
      </c>
    </row>
    <row r="6680" spans="1:25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7082</v>
      </c>
      <c r="J6680" t="s">
        <v>7084</v>
      </c>
      <c r="K6680" t="s">
        <v>46</v>
      </c>
      <c r="L6680" t="s">
        <v>7084</v>
      </c>
      <c r="M6680" t="s">
        <v>7084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416"/>
        <v>13-24 Months</v>
      </c>
      <c r="W6680">
        <f t="shared" si="417"/>
        <v>0</v>
      </c>
      <c r="X6680">
        <f t="shared" si="418"/>
        <v>0</v>
      </c>
      <c r="Y6680" t="str">
        <f t="shared" si="419"/>
        <v>Non-Senior</v>
      </c>
    </row>
    <row r="6681" spans="1:25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416"/>
        <v>49-60 Months</v>
      </c>
      <c r="W6681">
        <f t="shared" si="417"/>
        <v>0</v>
      </c>
      <c r="X6681">
        <f t="shared" si="418"/>
        <v>0</v>
      </c>
      <c r="Y6681" t="str">
        <f t="shared" si="419"/>
        <v>Non-Senior</v>
      </c>
    </row>
    <row r="6682" spans="1:25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416"/>
        <v>37-48 Months</v>
      </c>
      <c r="W6682">
        <f t="shared" si="417"/>
        <v>1</v>
      </c>
      <c r="X6682">
        <f t="shared" si="418"/>
        <v>95.5</v>
      </c>
      <c r="Y6682" t="str">
        <f t="shared" si="419"/>
        <v>Non-Senior</v>
      </c>
    </row>
    <row r="6683" spans="1:25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416"/>
        <v>0-12 Months</v>
      </c>
      <c r="W6683">
        <f t="shared" si="417"/>
        <v>1</v>
      </c>
      <c r="X6683">
        <f t="shared" si="418"/>
        <v>91.05</v>
      </c>
      <c r="Y6683" t="str">
        <f t="shared" si="419"/>
        <v>Senior Citizen</v>
      </c>
    </row>
    <row r="6684" spans="1:25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416"/>
        <v>61-72 Months</v>
      </c>
      <c r="W6684">
        <f t="shared" si="417"/>
        <v>0</v>
      </c>
      <c r="X6684">
        <f t="shared" si="418"/>
        <v>0</v>
      </c>
      <c r="Y6684" t="str">
        <f t="shared" si="419"/>
        <v>Non-Senior</v>
      </c>
    </row>
    <row r="6685" spans="1:25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416"/>
        <v>37-48 Months</v>
      </c>
      <c r="W6685">
        <f t="shared" si="417"/>
        <v>0</v>
      </c>
      <c r="X6685">
        <f t="shared" si="418"/>
        <v>0</v>
      </c>
      <c r="Y6685" t="str">
        <f t="shared" si="419"/>
        <v>Non-Senior</v>
      </c>
    </row>
    <row r="6686" spans="1:25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416"/>
        <v>0-12 Months</v>
      </c>
      <c r="W6686">
        <f t="shared" si="417"/>
        <v>0</v>
      </c>
      <c r="X6686">
        <f t="shared" si="418"/>
        <v>0</v>
      </c>
      <c r="Y6686" t="str">
        <f t="shared" si="419"/>
        <v>Non-Senior</v>
      </c>
    </row>
    <row r="6687" spans="1:25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416"/>
        <v>37-48 Months</v>
      </c>
      <c r="W6687">
        <f t="shared" si="417"/>
        <v>0</v>
      </c>
      <c r="X6687">
        <f t="shared" si="418"/>
        <v>0</v>
      </c>
      <c r="Y6687" t="str">
        <f t="shared" si="419"/>
        <v>Non-Senior</v>
      </c>
    </row>
    <row r="6688" spans="1:25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416"/>
        <v>61-72 Months</v>
      </c>
      <c r="W6688">
        <f t="shared" si="417"/>
        <v>0</v>
      </c>
      <c r="X6688">
        <f t="shared" si="418"/>
        <v>0</v>
      </c>
      <c r="Y6688" t="str">
        <f t="shared" si="419"/>
        <v>Non-Senior</v>
      </c>
    </row>
    <row r="6689" spans="1:25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416"/>
        <v>0-12 Months</v>
      </c>
      <c r="W6689">
        <f t="shared" si="417"/>
        <v>1</v>
      </c>
      <c r="X6689">
        <f t="shared" si="418"/>
        <v>79.2</v>
      </c>
      <c r="Y6689" t="str">
        <f t="shared" si="419"/>
        <v>Senior Citizen</v>
      </c>
    </row>
    <row r="6690" spans="1:25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7082</v>
      </c>
      <c r="J6690" t="s">
        <v>7084</v>
      </c>
      <c r="K6690" t="s">
        <v>46</v>
      </c>
      <c r="L6690" t="s">
        <v>7084</v>
      </c>
      <c r="M6690" t="s">
        <v>7084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416"/>
        <v>0-12 Months</v>
      </c>
      <c r="W6690">
        <f t="shared" si="417"/>
        <v>0</v>
      </c>
      <c r="X6690">
        <f t="shared" si="418"/>
        <v>0</v>
      </c>
      <c r="Y6690" t="str">
        <f t="shared" si="419"/>
        <v>Non-Senior</v>
      </c>
    </row>
    <row r="6691" spans="1:25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416"/>
        <v>61-72 Months</v>
      </c>
      <c r="W6691">
        <f t="shared" si="417"/>
        <v>0</v>
      </c>
      <c r="X6691">
        <f t="shared" si="418"/>
        <v>0</v>
      </c>
      <c r="Y6691" t="str">
        <f t="shared" si="419"/>
        <v>Non-Senior</v>
      </c>
    </row>
    <row r="6692" spans="1:25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416"/>
        <v>37-48 Months</v>
      </c>
      <c r="W6692">
        <f t="shared" si="417"/>
        <v>0</v>
      </c>
      <c r="X6692">
        <f t="shared" si="418"/>
        <v>0</v>
      </c>
      <c r="Y6692" t="str">
        <f t="shared" si="419"/>
        <v>Non-Senior</v>
      </c>
    </row>
    <row r="6693" spans="1:25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416"/>
        <v>37-48 Months</v>
      </c>
      <c r="W6693">
        <f t="shared" si="417"/>
        <v>0</v>
      </c>
      <c r="X6693">
        <f t="shared" si="418"/>
        <v>0</v>
      </c>
      <c r="Y6693" t="str">
        <f t="shared" si="419"/>
        <v>Non-Senior</v>
      </c>
    </row>
    <row r="6694" spans="1:25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416"/>
        <v>37-48 Months</v>
      </c>
      <c r="W6694">
        <f t="shared" si="417"/>
        <v>0</v>
      </c>
      <c r="X6694">
        <f t="shared" si="418"/>
        <v>0</v>
      </c>
      <c r="Y6694" t="str">
        <f t="shared" si="419"/>
        <v>Non-Senior</v>
      </c>
    </row>
    <row r="6695" spans="1:25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416"/>
        <v>25-36 Months</v>
      </c>
      <c r="W6695">
        <f t="shared" si="417"/>
        <v>0</v>
      </c>
      <c r="X6695">
        <f t="shared" si="418"/>
        <v>0</v>
      </c>
      <c r="Y6695" t="str">
        <f t="shared" si="419"/>
        <v>Non-Senior</v>
      </c>
    </row>
    <row r="6696" spans="1:25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416"/>
        <v>0-12 Months</v>
      </c>
      <c r="W6696">
        <f t="shared" si="417"/>
        <v>0</v>
      </c>
      <c r="X6696">
        <f t="shared" si="418"/>
        <v>0</v>
      </c>
      <c r="Y6696" t="str">
        <f t="shared" si="419"/>
        <v>Non-Senior</v>
      </c>
    </row>
    <row r="6697" spans="1:25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416"/>
        <v>61-72 Months</v>
      </c>
      <c r="W6697">
        <f t="shared" si="417"/>
        <v>0</v>
      </c>
      <c r="X6697">
        <f t="shared" si="418"/>
        <v>0</v>
      </c>
      <c r="Y6697" t="str">
        <f t="shared" si="419"/>
        <v>Non-Senior</v>
      </c>
    </row>
    <row r="6698" spans="1:25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416"/>
        <v>0-12 Months</v>
      </c>
      <c r="W6698">
        <f t="shared" si="417"/>
        <v>0</v>
      </c>
      <c r="X6698">
        <f t="shared" si="418"/>
        <v>0</v>
      </c>
      <c r="Y6698" t="str">
        <f t="shared" si="419"/>
        <v>Non-Senior</v>
      </c>
    </row>
    <row r="6699" spans="1:25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416"/>
        <v>25-36 Months</v>
      </c>
      <c r="W6699">
        <f t="shared" si="417"/>
        <v>0</v>
      </c>
      <c r="X6699">
        <f t="shared" si="418"/>
        <v>0</v>
      </c>
      <c r="Y6699" t="str">
        <f t="shared" si="419"/>
        <v>Non-Senior</v>
      </c>
    </row>
    <row r="6700" spans="1:25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416"/>
        <v>37-48 Months</v>
      </c>
      <c r="W6700">
        <f t="shared" si="417"/>
        <v>0</v>
      </c>
      <c r="X6700">
        <f t="shared" si="418"/>
        <v>0</v>
      </c>
      <c r="Y6700" t="str">
        <f t="shared" si="419"/>
        <v>Non-Senior</v>
      </c>
    </row>
    <row r="6701" spans="1:25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7082</v>
      </c>
      <c r="J6701" t="s">
        <v>7084</v>
      </c>
      <c r="K6701" t="s">
        <v>46</v>
      </c>
      <c r="L6701" t="s">
        <v>7084</v>
      </c>
      <c r="M6701" t="s">
        <v>7084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416"/>
        <v>49-60 Months</v>
      </c>
      <c r="W6701">
        <f t="shared" si="417"/>
        <v>0</v>
      </c>
      <c r="X6701">
        <f t="shared" si="418"/>
        <v>0</v>
      </c>
      <c r="Y6701" t="str">
        <f t="shared" si="419"/>
        <v>Non-Senior</v>
      </c>
    </row>
    <row r="6702" spans="1:25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416"/>
        <v>61-72 Months</v>
      </c>
      <c r="W6702">
        <f t="shared" si="417"/>
        <v>0</v>
      </c>
      <c r="X6702">
        <f t="shared" si="418"/>
        <v>0</v>
      </c>
      <c r="Y6702" t="str">
        <f t="shared" si="419"/>
        <v>Non-Senior</v>
      </c>
    </row>
    <row r="6703" spans="1:25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416"/>
        <v>25-36 Months</v>
      </c>
      <c r="W6703">
        <f t="shared" si="417"/>
        <v>0</v>
      </c>
      <c r="X6703">
        <f t="shared" si="418"/>
        <v>0</v>
      </c>
      <c r="Y6703" t="str">
        <f t="shared" si="419"/>
        <v>Non-Senior</v>
      </c>
    </row>
    <row r="6704" spans="1:25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416"/>
        <v>13-24 Months</v>
      </c>
      <c r="W6704">
        <f t="shared" si="417"/>
        <v>0</v>
      </c>
      <c r="X6704">
        <f t="shared" si="418"/>
        <v>0</v>
      </c>
      <c r="Y6704" t="str">
        <f t="shared" si="419"/>
        <v>Non-Senior</v>
      </c>
    </row>
    <row r="6705" spans="1:25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416"/>
        <v>0-12 Months</v>
      </c>
      <c r="W6705">
        <f t="shared" si="417"/>
        <v>1</v>
      </c>
      <c r="X6705">
        <f t="shared" si="418"/>
        <v>45.25</v>
      </c>
      <c r="Y6705" t="str">
        <f t="shared" si="419"/>
        <v>Non-Senior</v>
      </c>
    </row>
    <row r="6706" spans="1:25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416"/>
        <v>49-60 Months</v>
      </c>
      <c r="W6706">
        <f t="shared" si="417"/>
        <v>0</v>
      </c>
      <c r="X6706">
        <f t="shared" si="418"/>
        <v>0</v>
      </c>
      <c r="Y6706" t="str">
        <f t="shared" si="419"/>
        <v>Non-Senior</v>
      </c>
    </row>
    <row r="6707" spans="1:25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416"/>
        <v>13-24 Months</v>
      </c>
      <c r="W6707">
        <f t="shared" si="417"/>
        <v>0</v>
      </c>
      <c r="X6707">
        <f t="shared" si="418"/>
        <v>0</v>
      </c>
      <c r="Y6707" t="str">
        <f t="shared" si="419"/>
        <v>Non-Senior</v>
      </c>
    </row>
    <row r="6708" spans="1:25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7082</v>
      </c>
      <c r="J6708" t="s">
        <v>7084</v>
      </c>
      <c r="K6708" t="s">
        <v>46</v>
      </c>
      <c r="L6708" t="s">
        <v>7084</v>
      </c>
      <c r="M6708" t="s">
        <v>7084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416"/>
        <v>0-12 Months</v>
      </c>
      <c r="W6708">
        <f t="shared" si="417"/>
        <v>0</v>
      </c>
      <c r="X6708">
        <f t="shared" si="418"/>
        <v>0</v>
      </c>
      <c r="Y6708" t="str">
        <f t="shared" si="419"/>
        <v>Non-Senior</v>
      </c>
    </row>
    <row r="6709" spans="1:25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7082</v>
      </c>
      <c r="J6709" t="s">
        <v>7084</v>
      </c>
      <c r="K6709" t="s">
        <v>46</v>
      </c>
      <c r="L6709" t="s">
        <v>7084</v>
      </c>
      <c r="M6709" t="s">
        <v>7084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416"/>
        <v>61-72 Months</v>
      </c>
      <c r="W6709">
        <f t="shared" si="417"/>
        <v>0</v>
      </c>
      <c r="X6709">
        <f t="shared" si="418"/>
        <v>0</v>
      </c>
      <c r="Y6709" t="str">
        <f t="shared" si="419"/>
        <v>Senior Citizen</v>
      </c>
    </row>
    <row r="6710" spans="1:25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416"/>
        <v>13-24 Months</v>
      </c>
      <c r="W6710">
        <f t="shared" si="417"/>
        <v>1</v>
      </c>
      <c r="X6710">
        <f t="shared" si="418"/>
        <v>74.3</v>
      </c>
      <c r="Y6710" t="str">
        <f t="shared" si="419"/>
        <v>Senior Citizen</v>
      </c>
    </row>
    <row r="6711" spans="1:25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416"/>
        <v>49-60 Months</v>
      </c>
      <c r="W6711">
        <f t="shared" si="417"/>
        <v>0</v>
      </c>
      <c r="X6711">
        <f t="shared" si="418"/>
        <v>0</v>
      </c>
      <c r="Y6711" t="str">
        <f t="shared" si="419"/>
        <v>Non-Senior</v>
      </c>
    </row>
    <row r="6712" spans="1:25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416"/>
        <v>37-48 Months</v>
      </c>
      <c r="W6712">
        <f t="shared" si="417"/>
        <v>0</v>
      </c>
      <c r="X6712">
        <f t="shared" si="418"/>
        <v>0</v>
      </c>
      <c r="Y6712" t="str">
        <f t="shared" si="419"/>
        <v>Non-Senior</v>
      </c>
    </row>
    <row r="6713" spans="1:25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416"/>
        <v>49-60 Months</v>
      </c>
      <c r="W6713">
        <f t="shared" si="417"/>
        <v>0</v>
      </c>
      <c r="X6713">
        <f t="shared" si="418"/>
        <v>0</v>
      </c>
      <c r="Y6713" t="str">
        <f t="shared" si="419"/>
        <v>Non-Senior</v>
      </c>
    </row>
    <row r="6714" spans="1:25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416"/>
        <v>25-36 Months</v>
      </c>
      <c r="W6714">
        <f t="shared" si="417"/>
        <v>0</v>
      </c>
      <c r="X6714">
        <f t="shared" si="418"/>
        <v>0</v>
      </c>
      <c r="Y6714" t="str">
        <f t="shared" si="419"/>
        <v>Non-Senior</v>
      </c>
    </row>
    <row r="6715" spans="1:25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416"/>
        <v>61-72 Months</v>
      </c>
      <c r="W6715">
        <f t="shared" si="417"/>
        <v>0</v>
      </c>
      <c r="X6715">
        <f t="shared" si="418"/>
        <v>0</v>
      </c>
      <c r="Y6715" t="str">
        <f t="shared" si="419"/>
        <v>Senior Citizen</v>
      </c>
    </row>
    <row r="6716" spans="1:25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416"/>
        <v>13-24 Months</v>
      </c>
      <c r="W6716">
        <f t="shared" si="417"/>
        <v>0</v>
      </c>
      <c r="X6716">
        <f t="shared" si="418"/>
        <v>0</v>
      </c>
      <c r="Y6716" t="str">
        <f t="shared" si="419"/>
        <v>Non-Senior</v>
      </c>
    </row>
    <row r="6717" spans="1:25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416"/>
        <v>0-12 Months</v>
      </c>
      <c r="W6717">
        <f t="shared" si="417"/>
        <v>0</v>
      </c>
      <c r="X6717">
        <f t="shared" si="418"/>
        <v>0</v>
      </c>
      <c r="Y6717" t="str">
        <f t="shared" si="419"/>
        <v>Non-Senior</v>
      </c>
    </row>
    <row r="6718" spans="1:25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416"/>
        <v>0-12 Months</v>
      </c>
      <c r="W6718">
        <f t="shared" si="417"/>
        <v>1</v>
      </c>
      <c r="X6718">
        <f t="shared" si="418"/>
        <v>74.099999999999994</v>
      </c>
      <c r="Y6718" t="str">
        <f t="shared" si="419"/>
        <v>Non-Senior</v>
      </c>
    </row>
    <row r="6719" spans="1:25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416"/>
        <v>49-60 Months</v>
      </c>
      <c r="W6719">
        <f t="shared" si="417"/>
        <v>1</v>
      </c>
      <c r="X6719">
        <f t="shared" si="418"/>
        <v>100.6</v>
      </c>
      <c r="Y6719" t="str">
        <f t="shared" si="419"/>
        <v>Senior Citizen</v>
      </c>
    </row>
    <row r="6720" spans="1:25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416"/>
        <v>0-12 Months</v>
      </c>
      <c r="W6720">
        <f t="shared" si="417"/>
        <v>1</v>
      </c>
      <c r="X6720">
        <f t="shared" si="418"/>
        <v>75</v>
      </c>
      <c r="Y6720" t="str">
        <f t="shared" si="419"/>
        <v>Non-Senior</v>
      </c>
    </row>
    <row r="6721" spans="1:25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7082</v>
      </c>
      <c r="J6721" t="s">
        <v>7084</v>
      </c>
      <c r="K6721" t="s">
        <v>46</v>
      </c>
      <c r="L6721" t="s">
        <v>7084</v>
      </c>
      <c r="M6721" t="s">
        <v>7084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416"/>
        <v>61-72 Months</v>
      </c>
      <c r="W6721">
        <f t="shared" si="417"/>
        <v>0</v>
      </c>
      <c r="X6721">
        <f t="shared" si="418"/>
        <v>0</v>
      </c>
      <c r="Y6721" t="str">
        <f t="shared" si="419"/>
        <v>Non-Senior</v>
      </c>
    </row>
    <row r="6722" spans="1:25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si="416"/>
        <v>61-72 Months</v>
      </c>
      <c r="W6722">
        <f t="shared" si="417"/>
        <v>0</v>
      </c>
      <c r="X6722">
        <f t="shared" si="418"/>
        <v>0</v>
      </c>
      <c r="Y6722" t="str">
        <f t="shared" si="419"/>
        <v>Non-Senior</v>
      </c>
    </row>
    <row r="6723" spans="1:25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ref="V6723:V6786" si="420">IF(F6723&lt;=12,"0-12 Months",IF(F6723&lt;=24,"13-24 Months",IF(F6723&lt;=36,"25-36 Months",IF(F6723&lt;=48,"37-48 Months",IF(F6723&lt;=60,"49-60 Months","61-72 Months")))))</f>
        <v>49-60 Months</v>
      </c>
      <c r="W6723">
        <f t="shared" ref="W6723:W6786" si="421">IF(U6723="Yes",1,0)</f>
        <v>0</v>
      </c>
      <c r="X6723">
        <f t="shared" ref="X6723:X6786" si="422">IF(U6723="Yes",S6723,0)</f>
        <v>0</v>
      </c>
      <c r="Y6723" t="str">
        <f t="shared" ref="Y6723:Y6786" si="423">IF(C6723=1,"Senior Citizen","Non-Senior")</f>
        <v>Non-Senior</v>
      </c>
    </row>
    <row r="6724" spans="1:25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420"/>
        <v>61-72 Months</v>
      </c>
      <c r="W6724">
        <f t="shared" si="421"/>
        <v>0</v>
      </c>
      <c r="X6724">
        <f t="shared" si="422"/>
        <v>0</v>
      </c>
      <c r="Y6724" t="str">
        <f t="shared" si="423"/>
        <v>Senior Citizen</v>
      </c>
    </row>
    <row r="6725" spans="1:25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7082</v>
      </c>
      <c r="J6725" t="s">
        <v>7084</v>
      </c>
      <c r="K6725" t="s">
        <v>46</v>
      </c>
      <c r="L6725" t="s">
        <v>7084</v>
      </c>
      <c r="M6725" t="s">
        <v>7084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420"/>
        <v>37-48 Months</v>
      </c>
      <c r="W6725">
        <f t="shared" si="421"/>
        <v>0</v>
      </c>
      <c r="X6725">
        <f t="shared" si="422"/>
        <v>0</v>
      </c>
      <c r="Y6725" t="str">
        <f t="shared" si="423"/>
        <v>Non-Senior</v>
      </c>
    </row>
    <row r="6726" spans="1:25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420"/>
        <v>61-72 Months</v>
      </c>
      <c r="W6726">
        <f t="shared" si="421"/>
        <v>1</v>
      </c>
      <c r="X6726">
        <f t="shared" si="422"/>
        <v>70.2</v>
      </c>
      <c r="Y6726" t="str">
        <f t="shared" si="423"/>
        <v>Senior Citizen</v>
      </c>
    </row>
    <row r="6727" spans="1:25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7082</v>
      </c>
      <c r="J6727" t="s">
        <v>7084</v>
      </c>
      <c r="K6727" t="s">
        <v>46</v>
      </c>
      <c r="L6727" t="s">
        <v>7084</v>
      </c>
      <c r="M6727" t="s">
        <v>7084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420"/>
        <v>37-48 Months</v>
      </c>
      <c r="W6727">
        <f t="shared" si="421"/>
        <v>0</v>
      </c>
      <c r="X6727">
        <f t="shared" si="422"/>
        <v>0</v>
      </c>
      <c r="Y6727" t="str">
        <f t="shared" si="423"/>
        <v>Non-Senior</v>
      </c>
    </row>
    <row r="6728" spans="1:25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420"/>
        <v>0-12 Months</v>
      </c>
      <c r="W6728">
        <f t="shared" si="421"/>
        <v>1</v>
      </c>
      <c r="X6728">
        <f t="shared" si="422"/>
        <v>70.75</v>
      </c>
      <c r="Y6728" t="str">
        <f t="shared" si="423"/>
        <v>Senior Citizen</v>
      </c>
    </row>
    <row r="6729" spans="1:25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420"/>
        <v>13-24 Months</v>
      </c>
      <c r="W6729">
        <f t="shared" si="421"/>
        <v>0</v>
      </c>
      <c r="X6729">
        <f t="shared" si="422"/>
        <v>0</v>
      </c>
      <c r="Y6729" t="str">
        <f t="shared" si="423"/>
        <v>Senior Citizen</v>
      </c>
    </row>
    <row r="6730" spans="1:25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420"/>
        <v>61-72 Months</v>
      </c>
      <c r="W6730">
        <f t="shared" si="421"/>
        <v>0</v>
      </c>
      <c r="X6730">
        <f t="shared" si="422"/>
        <v>0</v>
      </c>
      <c r="Y6730" t="str">
        <f t="shared" si="423"/>
        <v>Non-Senior</v>
      </c>
    </row>
    <row r="6731" spans="1:25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420"/>
        <v>61-72 Months</v>
      </c>
      <c r="W6731">
        <f t="shared" si="421"/>
        <v>0</v>
      </c>
      <c r="X6731">
        <f t="shared" si="422"/>
        <v>0</v>
      </c>
      <c r="Y6731" t="str">
        <f t="shared" si="423"/>
        <v>Non-Senior</v>
      </c>
    </row>
    <row r="6732" spans="1:25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7082</v>
      </c>
      <c r="J6732" t="s">
        <v>7084</v>
      </c>
      <c r="K6732" t="s">
        <v>46</v>
      </c>
      <c r="L6732" t="s">
        <v>7084</v>
      </c>
      <c r="M6732" t="s">
        <v>7084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420"/>
        <v>13-24 Months</v>
      </c>
      <c r="W6732">
        <f t="shared" si="421"/>
        <v>0</v>
      </c>
      <c r="X6732">
        <f t="shared" si="422"/>
        <v>0</v>
      </c>
      <c r="Y6732" t="str">
        <f t="shared" si="423"/>
        <v>Non-Senior</v>
      </c>
    </row>
    <row r="6733" spans="1:25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7082</v>
      </c>
      <c r="J6733" t="s">
        <v>7084</v>
      </c>
      <c r="K6733" t="s">
        <v>46</v>
      </c>
      <c r="L6733" t="s">
        <v>7084</v>
      </c>
      <c r="M6733" t="s">
        <v>7084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420"/>
        <v>13-24 Months</v>
      </c>
      <c r="W6733">
        <f t="shared" si="421"/>
        <v>0</v>
      </c>
      <c r="X6733">
        <f t="shared" si="422"/>
        <v>0</v>
      </c>
      <c r="Y6733" t="str">
        <f t="shared" si="423"/>
        <v>Non-Senior</v>
      </c>
    </row>
    <row r="6734" spans="1:25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420"/>
        <v>13-24 Months</v>
      </c>
      <c r="W6734">
        <f t="shared" si="421"/>
        <v>0</v>
      </c>
      <c r="X6734">
        <f t="shared" si="422"/>
        <v>0</v>
      </c>
      <c r="Y6734" t="str">
        <f t="shared" si="423"/>
        <v>Non-Senior</v>
      </c>
    </row>
    <row r="6735" spans="1:25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420"/>
        <v>25-36 Months</v>
      </c>
      <c r="W6735">
        <f t="shared" si="421"/>
        <v>0</v>
      </c>
      <c r="X6735">
        <f t="shared" si="422"/>
        <v>0</v>
      </c>
      <c r="Y6735" t="str">
        <f t="shared" si="423"/>
        <v>Non-Senior</v>
      </c>
    </row>
    <row r="6736" spans="1:25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420"/>
        <v>0-12 Months</v>
      </c>
      <c r="W6736">
        <f t="shared" si="421"/>
        <v>1</v>
      </c>
      <c r="X6736">
        <f t="shared" si="422"/>
        <v>50.25</v>
      </c>
      <c r="Y6736" t="str">
        <f t="shared" si="423"/>
        <v>Non-Senior</v>
      </c>
    </row>
    <row r="6737" spans="1:25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420"/>
        <v>61-72 Months</v>
      </c>
      <c r="W6737">
        <f t="shared" si="421"/>
        <v>0</v>
      </c>
      <c r="X6737">
        <f t="shared" si="422"/>
        <v>0</v>
      </c>
      <c r="Y6737" t="str">
        <f t="shared" si="423"/>
        <v>Non-Senior</v>
      </c>
    </row>
    <row r="6738" spans="1:25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7082</v>
      </c>
      <c r="J6738" t="s">
        <v>7084</v>
      </c>
      <c r="K6738" t="s">
        <v>46</v>
      </c>
      <c r="L6738" t="s">
        <v>7084</v>
      </c>
      <c r="M6738" t="s">
        <v>7084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420"/>
        <v>61-72 Months</v>
      </c>
      <c r="W6738">
        <f t="shared" si="421"/>
        <v>0</v>
      </c>
      <c r="X6738">
        <f t="shared" si="422"/>
        <v>0</v>
      </c>
      <c r="Y6738" t="str">
        <f t="shared" si="423"/>
        <v>Non-Senior</v>
      </c>
    </row>
    <row r="6739" spans="1:25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420"/>
        <v>61-72 Months</v>
      </c>
      <c r="W6739">
        <f t="shared" si="421"/>
        <v>0</v>
      </c>
      <c r="X6739">
        <f t="shared" si="422"/>
        <v>0</v>
      </c>
      <c r="Y6739" t="str">
        <f t="shared" si="423"/>
        <v>Non-Senior</v>
      </c>
    </row>
    <row r="6740" spans="1:25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7082</v>
      </c>
      <c r="J6740" t="s">
        <v>7084</v>
      </c>
      <c r="K6740" t="s">
        <v>46</v>
      </c>
      <c r="L6740" t="s">
        <v>7084</v>
      </c>
      <c r="M6740" t="s">
        <v>7084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420"/>
        <v>0-12 Months</v>
      </c>
      <c r="W6740">
        <f t="shared" si="421"/>
        <v>0</v>
      </c>
      <c r="X6740">
        <f t="shared" si="422"/>
        <v>0</v>
      </c>
      <c r="Y6740" t="str">
        <f t="shared" si="423"/>
        <v>Non-Senior</v>
      </c>
    </row>
    <row r="6741" spans="1:25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420"/>
        <v>0-12 Months</v>
      </c>
      <c r="W6741">
        <f t="shared" si="421"/>
        <v>0</v>
      </c>
      <c r="X6741">
        <f t="shared" si="422"/>
        <v>0</v>
      </c>
      <c r="Y6741" t="str">
        <f t="shared" si="423"/>
        <v>Non-Senior</v>
      </c>
    </row>
    <row r="6742" spans="1:25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420"/>
        <v>37-48 Months</v>
      </c>
      <c r="W6742">
        <f t="shared" si="421"/>
        <v>1</v>
      </c>
      <c r="X6742">
        <f t="shared" si="422"/>
        <v>79.2</v>
      </c>
      <c r="Y6742" t="str">
        <f t="shared" si="423"/>
        <v>Senior Citizen</v>
      </c>
    </row>
    <row r="6743" spans="1:25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420"/>
        <v>0-12 Months</v>
      </c>
      <c r="W6743">
        <f t="shared" si="421"/>
        <v>1</v>
      </c>
      <c r="X6743">
        <f t="shared" si="422"/>
        <v>96</v>
      </c>
      <c r="Y6743" t="str">
        <f t="shared" si="423"/>
        <v>Non-Senior</v>
      </c>
    </row>
    <row r="6744" spans="1:25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420"/>
        <v>49-60 Months</v>
      </c>
      <c r="W6744">
        <f t="shared" si="421"/>
        <v>0</v>
      </c>
      <c r="X6744">
        <f t="shared" si="422"/>
        <v>0</v>
      </c>
      <c r="Y6744" t="str">
        <f t="shared" si="423"/>
        <v>Non-Senior</v>
      </c>
    </row>
    <row r="6745" spans="1:25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7082</v>
      </c>
      <c r="J6745" t="s">
        <v>7084</v>
      </c>
      <c r="K6745" t="s">
        <v>46</v>
      </c>
      <c r="L6745" t="s">
        <v>7084</v>
      </c>
      <c r="M6745" t="s">
        <v>7084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420"/>
        <v>0-12 Months</v>
      </c>
      <c r="W6745">
        <f t="shared" si="421"/>
        <v>0</v>
      </c>
      <c r="X6745">
        <f t="shared" si="422"/>
        <v>0</v>
      </c>
      <c r="Y6745" t="str">
        <f t="shared" si="423"/>
        <v>Non-Senior</v>
      </c>
    </row>
    <row r="6746" spans="1:25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420"/>
        <v>61-72 Months</v>
      </c>
      <c r="W6746">
        <f t="shared" si="421"/>
        <v>0</v>
      </c>
      <c r="X6746">
        <f t="shared" si="422"/>
        <v>0</v>
      </c>
      <c r="Y6746" t="str">
        <f t="shared" si="423"/>
        <v>Non-Senior</v>
      </c>
    </row>
    <row r="6747" spans="1:25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420"/>
        <v>49-60 Months</v>
      </c>
      <c r="W6747">
        <f t="shared" si="421"/>
        <v>1</v>
      </c>
      <c r="X6747">
        <f t="shared" si="422"/>
        <v>100.1</v>
      </c>
      <c r="Y6747" t="str">
        <f t="shared" si="423"/>
        <v>Non-Senior</v>
      </c>
    </row>
    <row r="6748" spans="1:25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420"/>
        <v>0-12 Months</v>
      </c>
      <c r="W6748">
        <f t="shared" si="421"/>
        <v>1</v>
      </c>
      <c r="X6748">
        <f t="shared" si="422"/>
        <v>56.5</v>
      </c>
      <c r="Y6748" t="str">
        <f t="shared" si="423"/>
        <v>Non-Senior</v>
      </c>
    </row>
    <row r="6749" spans="1:25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420"/>
        <v>49-60 Months</v>
      </c>
      <c r="W6749">
        <f t="shared" si="421"/>
        <v>0</v>
      </c>
      <c r="X6749">
        <f t="shared" si="422"/>
        <v>0</v>
      </c>
      <c r="Y6749" t="str">
        <f t="shared" si="423"/>
        <v>Non-Senior</v>
      </c>
    </row>
    <row r="6750" spans="1:25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420"/>
        <v>0-12 Months</v>
      </c>
      <c r="W6750">
        <f t="shared" si="421"/>
        <v>1</v>
      </c>
      <c r="X6750">
        <f t="shared" si="422"/>
        <v>85</v>
      </c>
      <c r="Y6750" t="str">
        <f t="shared" si="423"/>
        <v>Senior Citizen</v>
      </c>
    </row>
    <row r="6751" spans="1:25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420"/>
        <v>61-72 Months</v>
      </c>
      <c r="W6751">
        <f t="shared" si="421"/>
        <v>0</v>
      </c>
      <c r="X6751">
        <f t="shared" si="422"/>
        <v>0</v>
      </c>
      <c r="Y6751" t="str">
        <f t="shared" si="423"/>
        <v>Non-Senior</v>
      </c>
    </row>
    <row r="6752" spans="1:25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420"/>
        <v>37-48 Months</v>
      </c>
      <c r="W6752">
        <f t="shared" si="421"/>
        <v>0</v>
      </c>
      <c r="X6752">
        <f t="shared" si="422"/>
        <v>0</v>
      </c>
      <c r="Y6752" t="str">
        <f t="shared" si="423"/>
        <v>Non-Senior</v>
      </c>
    </row>
    <row r="6753" spans="1:25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7082</v>
      </c>
      <c r="J6753" t="s">
        <v>7084</v>
      </c>
      <c r="K6753" t="s">
        <v>46</v>
      </c>
      <c r="L6753" t="s">
        <v>7084</v>
      </c>
      <c r="M6753" t="s">
        <v>7084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420"/>
        <v>49-60 Months</v>
      </c>
      <c r="W6753">
        <f t="shared" si="421"/>
        <v>0</v>
      </c>
      <c r="X6753">
        <f t="shared" si="422"/>
        <v>0</v>
      </c>
      <c r="Y6753" t="str">
        <f t="shared" si="423"/>
        <v>Non-Senior</v>
      </c>
    </row>
    <row r="6754" spans="1:25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420"/>
        <v>0-12 Months</v>
      </c>
      <c r="W6754">
        <f t="shared" si="421"/>
        <v>0</v>
      </c>
      <c r="X6754">
        <f t="shared" si="422"/>
        <v>0</v>
      </c>
      <c r="Y6754" t="str">
        <f t="shared" si="423"/>
        <v>Non-Senior</v>
      </c>
    </row>
    <row r="6755" spans="1:25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420"/>
        <v>49-60 Months</v>
      </c>
      <c r="W6755">
        <f t="shared" si="421"/>
        <v>0</v>
      </c>
      <c r="X6755">
        <f t="shared" si="422"/>
        <v>0</v>
      </c>
      <c r="Y6755" t="str">
        <f t="shared" si="423"/>
        <v>Non-Senior</v>
      </c>
    </row>
    <row r="6756" spans="1:25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 t="str">
        <f t="shared" si="420"/>
        <v>0-12 Months</v>
      </c>
      <c r="W6756">
        <f t="shared" si="421"/>
        <v>0</v>
      </c>
      <c r="X6756">
        <f t="shared" si="422"/>
        <v>0</v>
      </c>
      <c r="Y6756" t="str">
        <f t="shared" si="423"/>
        <v>Non-Senior</v>
      </c>
    </row>
    <row r="6757" spans="1:25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420"/>
        <v>37-48 Months</v>
      </c>
      <c r="W6757">
        <f t="shared" si="421"/>
        <v>0</v>
      </c>
      <c r="X6757">
        <f t="shared" si="422"/>
        <v>0</v>
      </c>
      <c r="Y6757" t="str">
        <f t="shared" si="423"/>
        <v>Non-Senior</v>
      </c>
    </row>
    <row r="6758" spans="1:25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420"/>
        <v>13-24 Months</v>
      </c>
      <c r="W6758">
        <f t="shared" si="421"/>
        <v>0</v>
      </c>
      <c r="X6758">
        <f t="shared" si="422"/>
        <v>0</v>
      </c>
      <c r="Y6758" t="str">
        <f t="shared" si="423"/>
        <v>Senior Citizen</v>
      </c>
    </row>
    <row r="6759" spans="1:25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420"/>
        <v>49-60 Months</v>
      </c>
      <c r="W6759">
        <f t="shared" si="421"/>
        <v>1</v>
      </c>
      <c r="X6759">
        <f t="shared" si="422"/>
        <v>59.3</v>
      </c>
      <c r="Y6759" t="str">
        <f t="shared" si="423"/>
        <v>Non-Senior</v>
      </c>
    </row>
    <row r="6760" spans="1:25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7082</v>
      </c>
      <c r="J6760" t="s">
        <v>7084</v>
      </c>
      <c r="K6760" t="s">
        <v>46</v>
      </c>
      <c r="L6760" t="s">
        <v>7084</v>
      </c>
      <c r="M6760" t="s">
        <v>7084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420"/>
        <v>25-36 Months</v>
      </c>
      <c r="W6760">
        <f t="shared" si="421"/>
        <v>0</v>
      </c>
      <c r="X6760">
        <f t="shared" si="422"/>
        <v>0</v>
      </c>
      <c r="Y6760" t="str">
        <f t="shared" si="423"/>
        <v>Non-Senior</v>
      </c>
    </row>
    <row r="6761" spans="1:25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420"/>
        <v>49-60 Months</v>
      </c>
      <c r="W6761">
        <f t="shared" si="421"/>
        <v>0</v>
      </c>
      <c r="X6761">
        <f t="shared" si="422"/>
        <v>0</v>
      </c>
      <c r="Y6761" t="str">
        <f t="shared" si="423"/>
        <v>Senior Citizen</v>
      </c>
    </row>
    <row r="6762" spans="1:25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420"/>
        <v>0-12 Months</v>
      </c>
      <c r="W6762">
        <f t="shared" si="421"/>
        <v>1</v>
      </c>
      <c r="X6762">
        <f t="shared" si="422"/>
        <v>49.4</v>
      </c>
      <c r="Y6762" t="str">
        <f t="shared" si="423"/>
        <v>Non-Senior</v>
      </c>
    </row>
    <row r="6763" spans="1:25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7082</v>
      </c>
      <c r="J6763" t="s">
        <v>7084</v>
      </c>
      <c r="K6763" t="s">
        <v>46</v>
      </c>
      <c r="L6763" t="s">
        <v>7084</v>
      </c>
      <c r="M6763" t="s">
        <v>7084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420"/>
        <v>0-12 Months</v>
      </c>
      <c r="W6763">
        <f t="shared" si="421"/>
        <v>0</v>
      </c>
      <c r="X6763">
        <f t="shared" si="422"/>
        <v>0</v>
      </c>
      <c r="Y6763" t="str">
        <f t="shared" si="423"/>
        <v>Non-Senior</v>
      </c>
    </row>
    <row r="6764" spans="1:25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420"/>
        <v>25-36 Months</v>
      </c>
      <c r="W6764">
        <f t="shared" si="421"/>
        <v>1</v>
      </c>
      <c r="X6764">
        <f t="shared" si="422"/>
        <v>55</v>
      </c>
      <c r="Y6764" t="str">
        <f t="shared" si="423"/>
        <v>Non-Senior</v>
      </c>
    </row>
    <row r="6765" spans="1:25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420"/>
        <v>61-72 Months</v>
      </c>
      <c r="W6765">
        <f t="shared" si="421"/>
        <v>0</v>
      </c>
      <c r="X6765">
        <f t="shared" si="422"/>
        <v>0</v>
      </c>
      <c r="Y6765" t="str">
        <f t="shared" si="423"/>
        <v>Senior Citizen</v>
      </c>
    </row>
    <row r="6766" spans="1:25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420"/>
        <v>0-12 Months</v>
      </c>
      <c r="W6766">
        <f t="shared" si="421"/>
        <v>1</v>
      </c>
      <c r="X6766">
        <f t="shared" si="422"/>
        <v>69.2</v>
      </c>
      <c r="Y6766" t="str">
        <f t="shared" si="423"/>
        <v>Non-Senior</v>
      </c>
    </row>
    <row r="6767" spans="1:25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7082</v>
      </c>
      <c r="J6767" t="s">
        <v>7084</v>
      </c>
      <c r="K6767" t="s">
        <v>46</v>
      </c>
      <c r="L6767" t="s">
        <v>7084</v>
      </c>
      <c r="M6767" t="s">
        <v>7084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420"/>
        <v>61-72 Months</v>
      </c>
      <c r="W6767">
        <f t="shared" si="421"/>
        <v>0</v>
      </c>
      <c r="X6767">
        <f t="shared" si="422"/>
        <v>0</v>
      </c>
      <c r="Y6767" t="str">
        <f t="shared" si="423"/>
        <v>Non-Senior</v>
      </c>
    </row>
    <row r="6768" spans="1:25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7082</v>
      </c>
      <c r="J6768" t="s">
        <v>7084</v>
      </c>
      <c r="K6768" t="s">
        <v>46</v>
      </c>
      <c r="L6768" t="s">
        <v>7084</v>
      </c>
      <c r="M6768" t="s">
        <v>7084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420"/>
        <v>13-24 Months</v>
      </c>
      <c r="W6768">
        <f t="shared" si="421"/>
        <v>0</v>
      </c>
      <c r="X6768">
        <f t="shared" si="422"/>
        <v>0</v>
      </c>
      <c r="Y6768" t="str">
        <f t="shared" si="423"/>
        <v>Non-Senior</v>
      </c>
    </row>
    <row r="6769" spans="1:25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420"/>
        <v>49-60 Months</v>
      </c>
      <c r="W6769">
        <f t="shared" si="421"/>
        <v>0</v>
      </c>
      <c r="X6769">
        <f t="shared" si="422"/>
        <v>0</v>
      </c>
      <c r="Y6769" t="str">
        <f t="shared" si="423"/>
        <v>Non-Senior</v>
      </c>
    </row>
    <row r="6770" spans="1:25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420"/>
        <v>61-72 Months</v>
      </c>
      <c r="W6770">
        <f t="shared" si="421"/>
        <v>0</v>
      </c>
      <c r="X6770">
        <f t="shared" si="422"/>
        <v>0</v>
      </c>
      <c r="Y6770" t="str">
        <f t="shared" si="423"/>
        <v>Non-Senior</v>
      </c>
    </row>
    <row r="6771" spans="1:25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7082</v>
      </c>
      <c r="J6771" t="s">
        <v>7084</v>
      </c>
      <c r="K6771" t="s">
        <v>46</v>
      </c>
      <c r="L6771" t="s">
        <v>7084</v>
      </c>
      <c r="M6771" t="s">
        <v>7084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420"/>
        <v>37-48 Months</v>
      </c>
      <c r="W6771">
        <f t="shared" si="421"/>
        <v>0</v>
      </c>
      <c r="X6771">
        <f t="shared" si="422"/>
        <v>0</v>
      </c>
      <c r="Y6771" t="str">
        <f t="shared" si="423"/>
        <v>Non-Senior</v>
      </c>
    </row>
    <row r="6772" spans="1:25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420"/>
        <v>0-12 Months</v>
      </c>
      <c r="W6772">
        <f t="shared" si="421"/>
        <v>0</v>
      </c>
      <c r="X6772">
        <f t="shared" si="422"/>
        <v>0</v>
      </c>
      <c r="Y6772" t="str">
        <f t="shared" si="423"/>
        <v>Non-Senior</v>
      </c>
    </row>
    <row r="6773" spans="1:25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7082</v>
      </c>
      <c r="J6773" t="s">
        <v>7084</v>
      </c>
      <c r="K6773" t="s">
        <v>46</v>
      </c>
      <c r="L6773" t="s">
        <v>7084</v>
      </c>
      <c r="M6773" t="s">
        <v>7084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420"/>
        <v>25-36 Months</v>
      </c>
      <c r="W6773">
        <f t="shared" si="421"/>
        <v>0</v>
      </c>
      <c r="X6773">
        <f t="shared" si="422"/>
        <v>0</v>
      </c>
      <c r="Y6773" t="str">
        <f t="shared" si="423"/>
        <v>Non-Senior</v>
      </c>
    </row>
    <row r="6774" spans="1:25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420"/>
        <v>37-48 Months</v>
      </c>
      <c r="W6774">
        <f t="shared" si="421"/>
        <v>1</v>
      </c>
      <c r="X6774">
        <f t="shared" si="422"/>
        <v>62.3</v>
      </c>
      <c r="Y6774" t="str">
        <f t="shared" si="423"/>
        <v>Non-Senior</v>
      </c>
    </row>
    <row r="6775" spans="1:25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420"/>
        <v>37-48 Months</v>
      </c>
      <c r="W6775">
        <f t="shared" si="421"/>
        <v>1</v>
      </c>
      <c r="X6775">
        <f t="shared" si="422"/>
        <v>92.5</v>
      </c>
      <c r="Y6775" t="str">
        <f t="shared" si="423"/>
        <v>Senior Citizen</v>
      </c>
    </row>
    <row r="6776" spans="1:25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7082</v>
      </c>
      <c r="J6776" t="s">
        <v>7084</v>
      </c>
      <c r="K6776" t="s">
        <v>46</v>
      </c>
      <c r="L6776" t="s">
        <v>7084</v>
      </c>
      <c r="M6776" t="s">
        <v>7084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420"/>
        <v>0-12 Months</v>
      </c>
      <c r="W6776">
        <f t="shared" si="421"/>
        <v>0</v>
      </c>
      <c r="X6776">
        <f t="shared" si="422"/>
        <v>0</v>
      </c>
      <c r="Y6776" t="str">
        <f t="shared" si="423"/>
        <v>Non-Senior</v>
      </c>
    </row>
    <row r="6777" spans="1:25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420"/>
        <v>49-60 Months</v>
      </c>
      <c r="W6777">
        <f t="shared" si="421"/>
        <v>0</v>
      </c>
      <c r="X6777">
        <f t="shared" si="422"/>
        <v>0</v>
      </c>
      <c r="Y6777" t="str">
        <f t="shared" si="423"/>
        <v>Senior Citizen</v>
      </c>
    </row>
    <row r="6778" spans="1:25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420"/>
        <v>61-72 Months</v>
      </c>
      <c r="W6778">
        <f t="shared" si="421"/>
        <v>0</v>
      </c>
      <c r="X6778">
        <f t="shared" si="422"/>
        <v>0</v>
      </c>
      <c r="Y6778" t="str">
        <f t="shared" si="423"/>
        <v>Senior Citizen</v>
      </c>
    </row>
    <row r="6779" spans="1:25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420"/>
        <v>0-12 Months</v>
      </c>
      <c r="W6779">
        <f t="shared" si="421"/>
        <v>0</v>
      </c>
      <c r="X6779">
        <f t="shared" si="422"/>
        <v>0</v>
      </c>
      <c r="Y6779" t="str">
        <f t="shared" si="423"/>
        <v>Non-Senior</v>
      </c>
    </row>
    <row r="6780" spans="1:25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7082</v>
      </c>
      <c r="J6780" t="s">
        <v>7084</v>
      </c>
      <c r="K6780" t="s">
        <v>46</v>
      </c>
      <c r="L6780" t="s">
        <v>7084</v>
      </c>
      <c r="M6780" t="s">
        <v>7084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420"/>
        <v>61-72 Months</v>
      </c>
      <c r="W6780">
        <f t="shared" si="421"/>
        <v>0</v>
      </c>
      <c r="X6780">
        <f t="shared" si="422"/>
        <v>0</v>
      </c>
      <c r="Y6780" t="str">
        <f t="shared" si="423"/>
        <v>Non-Senior</v>
      </c>
    </row>
    <row r="6781" spans="1:25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420"/>
        <v>25-36 Months</v>
      </c>
      <c r="W6781">
        <f t="shared" si="421"/>
        <v>0</v>
      </c>
      <c r="X6781">
        <f t="shared" si="422"/>
        <v>0</v>
      </c>
      <c r="Y6781" t="str">
        <f t="shared" si="423"/>
        <v>Non-Senior</v>
      </c>
    </row>
    <row r="6782" spans="1:25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420"/>
        <v>13-24 Months</v>
      </c>
      <c r="W6782">
        <f t="shared" si="421"/>
        <v>0</v>
      </c>
      <c r="X6782">
        <f t="shared" si="422"/>
        <v>0</v>
      </c>
      <c r="Y6782" t="str">
        <f t="shared" si="423"/>
        <v>Non-Senior</v>
      </c>
    </row>
    <row r="6783" spans="1:25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420"/>
        <v>0-12 Months</v>
      </c>
      <c r="W6783">
        <f t="shared" si="421"/>
        <v>1</v>
      </c>
      <c r="X6783">
        <f t="shared" si="422"/>
        <v>69.650000000000006</v>
      </c>
      <c r="Y6783" t="str">
        <f t="shared" si="423"/>
        <v>Non-Senior</v>
      </c>
    </row>
    <row r="6784" spans="1:25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420"/>
        <v>0-12 Months</v>
      </c>
      <c r="W6784">
        <f t="shared" si="421"/>
        <v>0</v>
      </c>
      <c r="X6784">
        <f t="shared" si="422"/>
        <v>0</v>
      </c>
      <c r="Y6784" t="str">
        <f t="shared" si="423"/>
        <v>Non-Senior</v>
      </c>
    </row>
    <row r="6785" spans="1:25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420"/>
        <v>13-24 Months</v>
      </c>
      <c r="W6785">
        <f t="shared" si="421"/>
        <v>0</v>
      </c>
      <c r="X6785">
        <f t="shared" si="422"/>
        <v>0</v>
      </c>
      <c r="Y6785" t="str">
        <f t="shared" si="423"/>
        <v>Non-Senior</v>
      </c>
    </row>
    <row r="6786" spans="1:25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7082</v>
      </c>
      <c r="J6786" t="s">
        <v>7084</v>
      </c>
      <c r="K6786" t="s">
        <v>46</v>
      </c>
      <c r="L6786" t="s">
        <v>7084</v>
      </c>
      <c r="M6786" t="s">
        <v>7084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si="420"/>
        <v>13-24 Months</v>
      </c>
      <c r="W6786">
        <f t="shared" si="421"/>
        <v>0</v>
      </c>
      <c r="X6786">
        <f t="shared" si="422"/>
        <v>0</v>
      </c>
      <c r="Y6786" t="str">
        <f t="shared" si="423"/>
        <v>Non-Senior</v>
      </c>
    </row>
    <row r="6787" spans="1:25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ref="V6787:V6850" si="424">IF(F6787&lt;=12,"0-12 Months",IF(F6787&lt;=24,"13-24 Months",IF(F6787&lt;=36,"25-36 Months",IF(F6787&lt;=48,"37-48 Months",IF(F6787&lt;=60,"49-60 Months","61-72 Months")))))</f>
        <v>61-72 Months</v>
      </c>
      <c r="W6787">
        <f t="shared" ref="W6787:W6850" si="425">IF(U6787="Yes",1,0)</f>
        <v>1</v>
      </c>
      <c r="X6787">
        <f t="shared" ref="X6787:X6850" si="426">IF(U6787="Yes",S6787,0)</f>
        <v>111.6</v>
      </c>
      <c r="Y6787" t="str">
        <f t="shared" ref="Y6787:Y6850" si="427">IF(C6787=1,"Senior Citizen","Non-Senior")</f>
        <v>Non-Senior</v>
      </c>
    </row>
    <row r="6788" spans="1:25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424"/>
        <v>0-12 Months</v>
      </c>
      <c r="W6788">
        <f t="shared" si="425"/>
        <v>1</v>
      </c>
      <c r="X6788">
        <f t="shared" si="426"/>
        <v>48.55</v>
      </c>
      <c r="Y6788" t="str">
        <f t="shared" si="427"/>
        <v>Non-Senior</v>
      </c>
    </row>
    <row r="6789" spans="1:25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424"/>
        <v>25-36 Months</v>
      </c>
      <c r="W6789">
        <f t="shared" si="425"/>
        <v>0</v>
      </c>
      <c r="X6789">
        <f t="shared" si="426"/>
        <v>0</v>
      </c>
      <c r="Y6789" t="str">
        <f t="shared" si="427"/>
        <v>Non-Senior</v>
      </c>
    </row>
    <row r="6790" spans="1:25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7082</v>
      </c>
      <c r="J6790" t="s">
        <v>7084</v>
      </c>
      <c r="K6790" t="s">
        <v>46</v>
      </c>
      <c r="L6790" t="s">
        <v>7084</v>
      </c>
      <c r="M6790" t="s">
        <v>7084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424"/>
        <v>25-36 Months</v>
      </c>
      <c r="W6790">
        <f t="shared" si="425"/>
        <v>0</v>
      </c>
      <c r="X6790">
        <f t="shared" si="426"/>
        <v>0</v>
      </c>
      <c r="Y6790" t="str">
        <f t="shared" si="427"/>
        <v>Non-Senior</v>
      </c>
    </row>
    <row r="6791" spans="1:25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7082</v>
      </c>
      <c r="J6791" t="s">
        <v>7084</v>
      </c>
      <c r="K6791" t="s">
        <v>46</v>
      </c>
      <c r="L6791" t="s">
        <v>7084</v>
      </c>
      <c r="M6791" t="s">
        <v>7084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424"/>
        <v>0-12 Months</v>
      </c>
      <c r="W6791">
        <f t="shared" si="425"/>
        <v>1</v>
      </c>
      <c r="X6791">
        <f t="shared" si="426"/>
        <v>20.2</v>
      </c>
      <c r="Y6791" t="str">
        <f t="shared" si="427"/>
        <v>Non-Senior</v>
      </c>
    </row>
    <row r="6792" spans="1:25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7082</v>
      </c>
      <c r="J6792" t="s">
        <v>7084</v>
      </c>
      <c r="K6792" t="s">
        <v>46</v>
      </c>
      <c r="L6792" t="s">
        <v>7084</v>
      </c>
      <c r="M6792" t="s">
        <v>7084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424"/>
        <v>61-72 Months</v>
      </c>
      <c r="W6792">
        <f t="shared" si="425"/>
        <v>0</v>
      </c>
      <c r="X6792">
        <f t="shared" si="426"/>
        <v>0</v>
      </c>
      <c r="Y6792" t="str">
        <f t="shared" si="427"/>
        <v>Non-Senior</v>
      </c>
    </row>
    <row r="6793" spans="1:25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424"/>
        <v>13-24 Months</v>
      </c>
      <c r="W6793">
        <f t="shared" si="425"/>
        <v>1</v>
      </c>
      <c r="X6793">
        <f t="shared" si="426"/>
        <v>39.65</v>
      </c>
      <c r="Y6793" t="str">
        <f t="shared" si="427"/>
        <v>Non-Senior</v>
      </c>
    </row>
    <row r="6794" spans="1:25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7082</v>
      </c>
      <c r="J6794" t="s">
        <v>7084</v>
      </c>
      <c r="K6794" t="s">
        <v>46</v>
      </c>
      <c r="L6794" t="s">
        <v>7084</v>
      </c>
      <c r="M6794" t="s">
        <v>7084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424"/>
        <v>49-60 Months</v>
      </c>
      <c r="W6794">
        <f t="shared" si="425"/>
        <v>1</v>
      </c>
      <c r="X6794">
        <f t="shared" si="426"/>
        <v>24.9</v>
      </c>
      <c r="Y6794" t="str">
        <f t="shared" si="427"/>
        <v>Non-Senior</v>
      </c>
    </row>
    <row r="6795" spans="1:25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424"/>
        <v>61-72 Months</v>
      </c>
      <c r="W6795">
        <f t="shared" si="425"/>
        <v>0</v>
      </c>
      <c r="X6795">
        <f t="shared" si="426"/>
        <v>0</v>
      </c>
      <c r="Y6795" t="str">
        <f t="shared" si="427"/>
        <v>Non-Senior</v>
      </c>
    </row>
    <row r="6796" spans="1:25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7082</v>
      </c>
      <c r="J6796" t="s">
        <v>7084</v>
      </c>
      <c r="K6796" t="s">
        <v>46</v>
      </c>
      <c r="L6796" t="s">
        <v>7084</v>
      </c>
      <c r="M6796" t="s">
        <v>7084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424"/>
        <v>37-48 Months</v>
      </c>
      <c r="W6796">
        <f t="shared" si="425"/>
        <v>0</v>
      </c>
      <c r="X6796">
        <f t="shared" si="426"/>
        <v>0</v>
      </c>
      <c r="Y6796" t="str">
        <f t="shared" si="427"/>
        <v>Non-Senior</v>
      </c>
    </row>
    <row r="6797" spans="1:25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424"/>
        <v>49-60 Months</v>
      </c>
      <c r="W6797">
        <f t="shared" si="425"/>
        <v>0</v>
      </c>
      <c r="X6797">
        <f t="shared" si="426"/>
        <v>0</v>
      </c>
      <c r="Y6797" t="str">
        <f t="shared" si="427"/>
        <v>Non-Senior</v>
      </c>
    </row>
    <row r="6798" spans="1:25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424"/>
        <v>0-12 Months</v>
      </c>
      <c r="W6798">
        <f t="shared" si="425"/>
        <v>1</v>
      </c>
      <c r="X6798">
        <f t="shared" si="426"/>
        <v>56.7</v>
      </c>
      <c r="Y6798" t="str">
        <f t="shared" si="427"/>
        <v>Non-Senior</v>
      </c>
    </row>
    <row r="6799" spans="1:25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424"/>
        <v>25-36 Months</v>
      </c>
      <c r="W6799">
        <f t="shared" si="425"/>
        <v>0</v>
      </c>
      <c r="X6799">
        <f t="shared" si="426"/>
        <v>0</v>
      </c>
      <c r="Y6799" t="str">
        <f t="shared" si="427"/>
        <v>Non-Senior</v>
      </c>
    </row>
    <row r="6800" spans="1:25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424"/>
        <v>13-24 Months</v>
      </c>
      <c r="W6800">
        <f t="shared" si="425"/>
        <v>0</v>
      </c>
      <c r="X6800">
        <f t="shared" si="426"/>
        <v>0</v>
      </c>
      <c r="Y6800" t="str">
        <f t="shared" si="427"/>
        <v>Non-Senior</v>
      </c>
    </row>
    <row r="6801" spans="1:25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424"/>
        <v>61-72 Months</v>
      </c>
      <c r="W6801">
        <f t="shared" si="425"/>
        <v>0</v>
      </c>
      <c r="X6801">
        <f t="shared" si="426"/>
        <v>0</v>
      </c>
      <c r="Y6801" t="str">
        <f t="shared" si="427"/>
        <v>Non-Senior</v>
      </c>
    </row>
    <row r="6802" spans="1:25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424"/>
        <v>13-24 Months</v>
      </c>
      <c r="W6802">
        <f t="shared" si="425"/>
        <v>1</v>
      </c>
      <c r="X6802">
        <f t="shared" si="426"/>
        <v>105.95</v>
      </c>
      <c r="Y6802" t="str">
        <f t="shared" si="427"/>
        <v>Non-Senior</v>
      </c>
    </row>
    <row r="6803" spans="1:25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424"/>
        <v>13-24 Months</v>
      </c>
      <c r="W6803">
        <f t="shared" si="425"/>
        <v>0</v>
      </c>
      <c r="X6803">
        <f t="shared" si="426"/>
        <v>0</v>
      </c>
      <c r="Y6803" t="str">
        <f t="shared" si="427"/>
        <v>Non-Senior</v>
      </c>
    </row>
    <row r="6804" spans="1:25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424"/>
        <v>13-24 Months</v>
      </c>
      <c r="W6804">
        <f t="shared" si="425"/>
        <v>0</v>
      </c>
      <c r="X6804">
        <f t="shared" si="426"/>
        <v>0</v>
      </c>
      <c r="Y6804" t="str">
        <f t="shared" si="427"/>
        <v>Non-Senior</v>
      </c>
    </row>
    <row r="6805" spans="1:25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424"/>
        <v>37-48 Months</v>
      </c>
      <c r="W6805">
        <f t="shared" si="425"/>
        <v>0</v>
      </c>
      <c r="X6805">
        <f t="shared" si="426"/>
        <v>0</v>
      </c>
      <c r="Y6805" t="str">
        <f t="shared" si="427"/>
        <v>Non-Senior</v>
      </c>
    </row>
    <row r="6806" spans="1:25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424"/>
        <v>0-12 Months</v>
      </c>
      <c r="W6806">
        <f t="shared" si="425"/>
        <v>0</v>
      </c>
      <c r="X6806">
        <f t="shared" si="426"/>
        <v>0</v>
      </c>
      <c r="Y6806" t="str">
        <f t="shared" si="427"/>
        <v>Non-Senior</v>
      </c>
    </row>
    <row r="6807" spans="1:25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424"/>
        <v>61-72 Months</v>
      </c>
      <c r="W6807">
        <f t="shared" si="425"/>
        <v>0</v>
      </c>
      <c r="X6807">
        <f t="shared" si="426"/>
        <v>0</v>
      </c>
      <c r="Y6807" t="str">
        <f t="shared" si="427"/>
        <v>Senior Citizen</v>
      </c>
    </row>
    <row r="6808" spans="1:25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7082</v>
      </c>
      <c r="J6808" t="s">
        <v>7084</v>
      </c>
      <c r="K6808" t="s">
        <v>46</v>
      </c>
      <c r="L6808" t="s">
        <v>7084</v>
      </c>
      <c r="M6808" t="s">
        <v>7084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424"/>
        <v>37-48 Months</v>
      </c>
      <c r="W6808">
        <f t="shared" si="425"/>
        <v>0</v>
      </c>
      <c r="X6808">
        <f t="shared" si="426"/>
        <v>0</v>
      </c>
      <c r="Y6808" t="str">
        <f t="shared" si="427"/>
        <v>Non-Senior</v>
      </c>
    </row>
    <row r="6809" spans="1:25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7082</v>
      </c>
      <c r="J6809" t="s">
        <v>7084</v>
      </c>
      <c r="K6809" t="s">
        <v>46</v>
      </c>
      <c r="L6809" t="s">
        <v>7084</v>
      </c>
      <c r="M6809" t="s">
        <v>7084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424"/>
        <v>0-12 Months</v>
      </c>
      <c r="W6809">
        <f t="shared" si="425"/>
        <v>0</v>
      </c>
      <c r="X6809">
        <f t="shared" si="426"/>
        <v>0</v>
      </c>
      <c r="Y6809" t="str">
        <f t="shared" si="427"/>
        <v>Non-Senior</v>
      </c>
    </row>
    <row r="6810" spans="1:25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424"/>
        <v>37-48 Months</v>
      </c>
      <c r="W6810">
        <f t="shared" si="425"/>
        <v>0</v>
      </c>
      <c r="X6810">
        <f t="shared" si="426"/>
        <v>0</v>
      </c>
      <c r="Y6810" t="str">
        <f t="shared" si="427"/>
        <v>Non-Senior</v>
      </c>
    </row>
    <row r="6811" spans="1:25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424"/>
        <v>0-12 Months</v>
      </c>
      <c r="W6811">
        <f t="shared" si="425"/>
        <v>1</v>
      </c>
      <c r="X6811">
        <f t="shared" si="426"/>
        <v>74.95</v>
      </c>
      <c r="Y6811" t="str">
        <f t="shared" si="427"/>
        <v>Senior Citizen</v>
      </c>
    </row>
    <row r="6812" spans="1:25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424"/>
        <v>13-24 Months</v>
      </c>
      <c r="W6812">
        <f t="shared" si="425"/>
        <v>1</v>
      </c>
      <c r="X6812">
        <f t="shared" si="426"/>
        <v>29.7</v>
      </c>
      <c r="Y6812" t="str">
        <f t="shared" si="427"/>
        <v>Non-Senior</v>
      </c>
    </row>
    <row r="6813" spans="1:25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424"/>
        <v>0-12 Months</v>
      </c>
      <c r="W6813">
        <f t="shared" si="425"/>
        <v>1</v>
      </c>
      <c r="X6813">
        <f t="shared" si="426"/>
        <v>50.35</v>
      </c>
      <c r="Y6813" t="str">
        <f t="shared" si="427"/>
        <v>Non-Senior</v>
      </c>
    </row>
    <row r="6814" spans="1:25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424"/>
        <v>37-48 Months</v>
      </c>
      <c r="W6814">
        <f t="shared" si="425"/>
        <v>0</v>
      </c>
      <c r="X6814">
        <f t="shared" si="426"/>
        <v>0</v>
      </c>
      <c r="Y6814" t="str">
        <f t="shared" si="427"/>
        <v>Senior Citizen</v>
      </c>
    </row>
    <row r="6815" spans="1:25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424"/>
        <v>61-72 Months</v>
      </c>
      <c r="W6815">
        <f t="shared" si="425"/>
        <v>1</v>
      </c>
      <c r="X6815">
        <f t="shared" si="426"/>
        <v>47.85</v>
      </c>
      <c r="Y6815" t="str">
        <f t="shared" si="427"/>
        <v>Non-Senior</v>
      </c>
    </row>
    <row r="6816" spans="1:25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424"/>
        <v>49-60 Months</v>
      </c>
      <c r="W6816">
        <f t="shared" si="425"/>
        <v>0</v>
      </c>
      <c r="X6816">
        <f t="shared" si="426"/>
        <v>0</v>
      </c>
      <c r="Y6816" t="str">
        <f t="shared" si="427"/>
        <v>Senior Citizen</v>
      </c>
    </row>
    <row r="6817" spans="1:25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424"/>
        <v>61-72 Months</v>
      </c>
      <c r="W6817">
        <f t="shared" si="425"/>
        <v>0</v>
      </c>
      <c r="X6817">
        <f t="shared" si="426"/>
        <v>0</v>
      </c>
      <c r="Y6817" t="str">
        <f t="shared" si="427"/>
        <v>Non-Senior</v>
      </c>
    </row>
    <row r="6818" spans="1:25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424"/>
        <v>0-12 Months</v>
      </c>
      <c r="W6818">
        <f t="shared" si="425"/>
        <v>1</v>
      </c>
      <c r="X6818">
        <f t="shared" si="426"/>
        <v>70.3</v>
      </c>
      <c r="Y6818" t="str">
        <f t="shared" si="427"/>
        <v>Non-Senior</v>
      </c>
    </row>
    <row r="6819" spans="1:25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7082</v>
      </c>
      <c r="J6819" t="s">
        <v>7084</v>
      </c>
      <c r="K6819" t="s">
        <v>46</v>
      </c>
      <c r="L6819" t="s">
        <v>7084</v>
      </c>
      <c r="M6819" t="s">
        <v>7084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424"/>
        <v>61-72 Months</v>
      </c>
      <c r="W6819">
        <f t="shared" si="425"/>
        <v>0</v>
      </c>
      <c r="X6819">
        <f t="shared" si="426"/>
        <v>0</v>
      </c>
      <c r="Y6819" t="str">
        <f t="shared" si="427"/>
        <v>Non-Senior</v>
      </c>
    </row>
    <row r="6820" spans="1:25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424"/>
        <v>0-12 Months</v>
      </c>
      <c r="W6820">
        <f t="shared" si="425"/>
        <v>0</v>
      </c>
      <c r="X6820">
        <f t="shared" si="426"/>
        <v>0</v>
      </c>
      <c r="Y6820" t="str">
        <f t="shared" si="427"/>
        <v>Non-Senior</v>
      </c>
    </row>
    <row r="6821" spans="1:25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424"/>
        <v>49-60 Months</v>
      </c>
      <c r="W6821">
        <f t="shared" si="425"/>
        <v>1</v>
      </c>
      <c r="X6821">
        <f t="shared" si="426"/>
        <v>98.8</v>
      </c>
      <c r="Y6821" t="str">
        <f t="shared" si="427"/>
        <v>Senior Citizen</v>
      </c>
    </row>
    <row r="6822" spans="1:25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424"/>
        <v>49-60 Months</v>
      </c>
      <c r="W6822">
        <f t="shared" si="425"/>
        <v>0</v>
      </c>
      <c r="X6822">
        <f t="shared" si="426"/>
        <v>0</v>
      </c>
      <c r="Y6822" t="str">
        <f t="shared" si="427"/>
        <v>Non-Senior</v>
      </c>
    </row>
    <row r="6823" spans="1:25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424"/>
        <v>13-24 Months</v>
      </c>
      <c r="W6823">
        <f t="shared" si="425"/>
        <v>1</v>
      </c>
      <c r="X6823">
        <f t="shared" si="426"/>
        <v>99.85</v>
      </c>
      <c r="Y6823" t="str">
        <f t="shared" si="427"/>
        <v>Non-Senior</v>
      </c>
    </row>
    <row r="6824" spans="1:25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424"/>
        <v>25-36 Months</v>
      </c>
      <c r="W6824">
        <f t="shared" si="425"/>
        <v>1</v>
      </c>
      <c r="X6824">
        <f t="shared" si="426"/>
        <v>80.3</v>
      </c>
      <c r="Y6824" t="str">
        <f t="shared" si="427"/>
        <v>Senior Citizen</v>
      </c>
    </row>
    <row r="6825" spans="1:25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424"/>
        <v>0-12 Months</v>
      </c>
      <c r="W6825">
        <f t="shared" si="425"/>
        <v>0</v>
      </c>
      <c r="X6825">
        <f t="shared" si="426"/>
        <v>0</v>
      </c>
      <c r="Y6825" t="str">
        <f t="shared" si="427"/>
        <v>Non-Senior</v>
      </c>
    </row>
    <row r="6826" spans="1:25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424"/>
        <v>61-72 Months</v>
      </c>
      <c r="W6826">
        <f t="shared" si="425"/>
        <v>1</v>
      </c>
      <c r="X6826">
        <f t="shared" si="426"/>
        <v>80.45</v>
      </c>
      <c r="Y6826" t="str">
        <f t="shared" si="427"/>
        <v>Senior Citizen</v>
      </c>
    </row>
    <row r="6827" spans="1:25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424"/>
        <v>25-36 Months</v>
      </c>
      <c r="W6827">
        <f t="shared" si="425"/>
        <v>0</v>
      </c>
      <c r="X6827">
        <f t="shared" si="426"/>
        <v>0</v>
      </c>
      <c r="Y6827" t="str">
        <f t="shared" si="427"/>
        <v>Non-Senior</v>
      </c>
    </row>
    <row r="6828" spans="1:25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7082</v>
      </c>
      <c r="J6828" t="s">
        <v>7084</v>
      </c>
      <c r="K6828" t="s">
        <v>46</v>
      </c>
      <c r="L6828" t="s">
        <v>7084</v>
      </c>
      <c r="M6828" t="s">
        <v>7084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424"/>
        <v>0-12 Months</v>
      </c>
      <c r="W6828">
        <f t="shared" si="425"/>
        <v>0</v>
      </c>
      <c r="X6828">
        <f t="shared" si="426"/>
        <v>0</v>
      </c>
      <c r="Y6828" t="str">
        <f t="shared" si="427"/>
        <v>Non-Senior</v>
      </c>
    </row>
    <row r="6829" spans="1:25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424"/>
        <v>49-60 Months</v>
      </c>
      <c r="W6829">
        <f t="shared" si="425"/>
        <v>0</v>
      </c>
      <c r="X6829">
        <f t="shared" si="426"/>
        <v>0</v>
      </c>
      <c r="Y6829" t="str">
        <f t="shared" si="427"/>
        <v>Non-Senior</v>
      </c>
    </row>
    <row r="6830" spans="1:25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7082</v>
      </c>
      <c r="J6830" t="s">
        <v>7084</v>
      </c>
      <c r="K6830" t="s">
        <v>46</v>
      </c>
      <c r="L6830" t="s">
        <v>7084</v>
      </c>
      <c r="M6830" t="s">
        <v>7084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424"/>
        <v>0-12 Months</v>
      </c>
      <c r="W6830">
        <f t="shared" si="425"/>
        <v>0</v>
      </c>
      <c r="X6830">
        <f t="shared" si="426"/>
        <v>0</v>
      </c>
      <c r="Y6830" t="str">
        <f t="shared" si="427"/>
        <v>Non-Senior</v>
      </c>
    </row>
    <row r="6831" spans="1:25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7082</v>
      </c>
      <c r="J6831" t="s">
        <v>7084</v>
      </c>
      <c r="K6831" t="s">
        <v>46</v>
      </c>
      <c r="L6831" t="s">
        <v>7084</v>
      </c>
      <c r="M6831" t="s">
        <v>7084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424"/>
        <v>0-12 Months</v>
      </c>
      <c r="W6831">
        <f t="shared" si="425"/>
        <v>0</v>
      </c>
      <c r="X6831">
        <f t="shared" si="426"/>
        <v>0</v>
      </c>
      <c r="Y6831" t="str">
        <f t="shared" si="427"/>
        <v>Non-Senior</v>
      </c>
    </row>
    <row r="6832" spans="1:25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7082</v>
      </c>
      <c r="J6832" t="s">
        <v>7084</v>
      </c>
      <c r="K6832" t="s">
        <v>46</v>
      </c>
      <c r="L6832" t="s">
        <v>7084</v>
      </c>
      <c r="M6832" t="s">
        <v>7084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424"/>
        <v>25-36 Months</v>
      </c>
      <c r="W6832">
        <f t="shared" si="425"/>
        <v>0</v>
      </c>
      <c r="X6832">
        <f t="shared" si="426"/>
        <v>0</v>
      </c>
      <c r="Y6832" t="str">
        <f t="shared" si="427"/>
        <v>Non-Senior</v>
      </c>
    </row>
    <row r="6833" spans="1:25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424"/>
        <v>0-12 Months</v>
      </c>
      <c r="W6833">
        <f t="shared" si="425"/>
        <v>1</v>
      </c>
      <c r="X6833">
        <f t="shared" si="426"/>
        <v>86.8</v>
      </c>
      <c r="Y6833" t="str">
        <f t="shared" si="427"/>
        <v>Non-Senior</v>
      </c>
    </row>
    <row r="6834" spans="1:25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7082</v>
      </c>
      <c r="J6834" t="s">
        <v>7084</v>
      </c>
      <c r="K6834" t="s">
        <v>46</v>
      </c>
      <c r="L6834" t="s">
        <v>7084</v>
      </c>
      <c r="M6834" t="s">
        <v>7084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424"/>
        <v>49-60 Months</v>
      </c>
      <c r="W6834">
        <f t="shared" si="425"/>
        <v>0</v>
      </c>
      <c r="X6834">
        <f t="shared" si="426"/>
        <v>0</v>
      </c>
      <c r="Y6834" t="str">
        <f t="shared" si="427"/>
        <v>Non-Senior</v>
      </c>
    </row>
    <row r="6835" spans="1:25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424"/>
        <v>13-24 Months</v>
      </c>
      <c r="W6835">
        <f t="shared" si="425"/>
        <v>0</v>
      </c>
      <c r="X6835">
        <f t="shared" si="426"/>
        <v>0</v>
      </c>
      <c r="Y6835" t="str">
        <f t="shared" si="427"/>
        <v>Senior Citizen</v>
      </c>
    </row>
    <row r="6836" spans="1:25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424"/>
        <v>13-24 Months</v>
      </c>
      <c r="W6836">
        <f t="shared" si="425"/>
        <v>0</v>
      </c>
      <c r="X6836">
        <f t="shared" si="426"/>
        <v>0</v>
      </c>
      <c r="Y6836" t="str">
        <f t="shared" si="427"/>
        <v>Non-Senior</v>
      </c>
    </row>
    <row r="6837" spans="1:25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424"/>
        <v>61-72 Months</v>
      </c>
      <c r="W6837">
        <f t="shared" si="425"/>
        <v>0</v>
      </c>
      <c r="X6837">
        <f t="shared" si="426"/>
        <v>0</v>
      </c>
      <c r="Y6837" t="str">
        <f t="shared" si="427"/>
        <v>Non-Senior</v>
      </c>
    </row>
    <row r="6838" spans="1:25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424"/>
        <v>0-12 Months</v>
      </c>
      <c r="W6838">
        <f t="shared" si="425"/>
        <v>1</v>
      </c>
      <c r="X6838">
        <f t="shared" si="426"/>
        <v>84.2</v>
      </c>
      <c r="Y6838" t="str">
        <f t="shared" si="427"/>
        <v>Senior Citizen</v>
      </c>
    </row>
    <row r="6839" spans="1:25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424"/>
        <v>0-12 Months</v>
      </c>
      <c r="W6839">
        <f t="shared" si="425"/>
        <v>0</v>
      </c>
      <c r="X6839">
        <f t="shared" si="426"/>
        <v>0</v>
      </c>
      <c r="Y6839" t="str">
        <f t="shared" si="427"/>
        <v>Senior Citizen</v>
      </c>
    </row>
    <row r="6840" spans="1:25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424"/>
        <v>13-24 Months</v>
      </c>
      <c r="W6840">
        <f t="shared" si="425"/>
        <v>1</v>
      </c>
      <c r="X6840">
        <f t="shared" si="426"/>
        <v>99</v>
      </c>
      <c r="Y6840" t="str">
        <f t="shared" si="427"/>
        <v>Non-Senior</v>
      </c>
    </row>
    <row r="6841" spans="1:25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424"/>
        <v>0-12 Months</v>
      </c>
      <c r="W6841">
        <f t="shared" si="425"/>
        <v>1</v>
      </c>
      <c r="X6841">
        <f t="shared" si="426"/>
        <v>100.75</v>
      </c>
      <c r="Y6841" t="str">
        <f t="shared" si="427"/>
        <v>Non-Senior</v>
      </c>
    </row>
    <row r="6842" spans="1:25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7082</v>
      </c>
      <c r="J6842" t="s">
        <v>7084</v>
      </c>
      <c r="K6842" t="s">
        <v>46</v>
      </c>
      <c r="L6842" t="s">
        <v>7084</v>
      </c>
      <c r="M6842" t="s">
        <v>7084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424"/>
        <v>0-12 Months</v>
      </c>
      <c r="W6842">
        <f t="shared" si="425"/>
        <v>0</v>
      </c>
      <c r="X6842">
        <f t="shared" si="426"/>
        <v>0</v>
      </c>
      <c r="Y6842" t="str">
        <f t="shared" si="427"/>
        <v>Non-Senior</v>
      </c>
    </row>
    <row r="6843" spans="1:25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424"/>
        <v>0-12 Months</v>
      </c>
      <c r="W6843">
        <f t="shared" si="425"/>
        <v>0</v>
      </c>
      <c r="X6843">
        <f t="shared" si="426"/>
        <v>0</v>
      </c>
      <c r="Y6843" t="str">
        <f t="shared" si="427"/>
        <v>Non-Senior</v>
      </c>
    </row>
    <row r="6844" spans="1:25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7082</v>
      </c>
      <c r="J6844" t="s">
        <v>7084</v>
      </c>
      <c r="K6844" t="s">
        <v>46</v>
      </c>
      <c r="L6844" t="s">
        <v>7084</v>
      </c>
      <c r="M6844" t="s">
        <v>7084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424"/>
        <v>13-24 Months</v>
      </c>
      <c r="W6844">
        <f t="shared" si="425"/>
        <v>0</v>
      </c>
      <c r="X6844">
        <f t="shared" si="426"/>
        <v>0</v>
      </c>
      <c r="Y6844" t="str">
        <f t="shared" si="427"/>
        <v>Non-Senior</v>
      </c>
    </row>
    <row r="6845" spans="1:25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424"/>
        <v>0-12 Months</v>
      </c>
      <c r="W6845">
        <f t="shared" si="425"/>
        <v>1</v>
      </c>
      <c r="X6845">
        <f t="shared" si="426"/>
        <v>91.75</v>
      </c>
      <c r="Y6845" t="str">
        <f t="shared" si="427"/>
        <v>Non-Senior</v>
      </c>
    </row>
    <row r="6846" spans="1:25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424"/>
        <v>25-36 Months</v>
      </c>
      <c r="W6846">
        <f t="shared" si="425"/>
        <v>0</v>
      </c>
      <c r="X6846">
        <f t="shared" si="426"/>
        <v>0</v>
      </c>
      <c r="Y6846" t="str">
        <f t="shared" si="427"/>
        <v>Non-Senior</v>
      </c>
    </row>
    <row r="6847" spans="1:25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424"/>
        <v>0-12 Months</v>
      </c>
      <c r="W6847">
        <f t="shared" si="425"/>
        <v>0</v>
      </c>
      <c r="X6847">
        <f t="shared" si="426"/>
        <v>0</v>
      </c>
      <c r="Y6847" t="str">
        <f t="shared" si="427"/>
        <v>Senior Citizen</v>
      </c>
    </row>
    <row r="6848" spans="1:25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424"/>
        <v>0-12 Months</v>
      </c>
      <c r="W6848">
        <f t="shared" si="425"/>
        <v>1</v>
      </c>
      <c r="X6848">
        <f t="shared" si="426"/>
        <v>79.55</v>
      </c>
      <c r="Y6848" t="str">
        <f t="shared" si="427"/>
        <v>Non-Senior</v>
      </c>
    </row>
    <row r="6849" spans="1:25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424"/>
        <v>13-24 Months</v>
      </c>
      <c r="W6849">
        <f t="shared" si="425"/>
        <v>0</v>
      </c>
      <c r="X6849">
        <f t="shared" si="426"/>
        <v>0</v>
      </c>
      <c r="Y6849" t="str">
        <f t="shared" si="427"/>
        <v>Non-Senior</v>
      </c>
    </row>
    <row r="6850" spans="1:25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si="424"/>
        <v>0-12 Months</v>
      </c>
      <c r="W6850">
        <f t="shared" si="425"/>
        <v>0</v>
      </c>
      <c r="X6850">
        <f t="shared" si="426"/>
        <v>0</v>
      </c>
      <c r="Y6850" t="str">
        <f t="shared" si="427"/>
        <v>Non-Senior</v>
      </c>
    </row>
    <row r="6851" spans="1:25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ref="V6851:V6914" si="428">IF(F6851&lt;=12,"0-12 Months",IF(F6851&lt;=24,"13-24 Months",IF(F6851&lt;=36,"25-36 Months",IF(F6851&lt;=48,"37-48 Months",IF(F6851&lt;=60,"49-60 Months","61-72 Months")))))</f>
        <v>25-36 Months</v>
      </c>
      <c r="W6851">
        <f t="shared" ref="W6851:W6914" si="429">IF(U6851="Yes",1,0)</f>
        <v>0</v>
      </c>
      <c r="X6851">
        <f t="shared" ref="X6851:X6914" si="430">IF(U6851="Yes",S6851,0)</f>
        <v>0</v>
      </c>
      <c r="Y6851" t="str">
        <f t="shared" ref="Y6851:Y6914" si="431">IF(C6851=1,"Senior Citizen","Non-Senior")</f>
        <v>Non-Senior</v>
      </c>
    </row>
    <row r="6852" spans="1:25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428"/>
        <v>61-72 Months</v>
      </c>
      <c r="W6852">
        <f t="shared" si="429"/>
        <v>0</v>
      </c>
      <c r="X6852">
        <f t="shared" si="430"/>
        <v>0</v>
      </c>
      <c r="Y6852" t="str">
        <f t="shared" si="431"/>
        <v>Non-Senior</v>
      </c>
    </row>
    <row r="6853" spans="1:25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428"/>
        <v>37-48 Months</v>
      </c>
      <c r="W6853">
        <f t="shared" si="429"/>
        <v>0</v>
      </c>
      <c r="X6853">
        <f t="shared" si="430"/>
        <v>0</v>
      </c>
      <c r="Y6853" t="str">
        <f t="shared" si="431"/>
        <v>Non-Senior</v>
      </c>
    </row>
    <row r="6854" spans="1:25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428"/>
        <v>37-48 Months</v>
      </c>
      <c r="W6854">
        <f t="shared" si="429"/>
        <v>0</v>
      </c>
      <c r="X6854">
        <f t="shared" si="430"/>
        <v>0</v>
      </c>
      <c r="Y6854" t="str">
        <f t="shared" si="431"/>
        <v>Non-Senior</v>
      </c>
    </row>
    <row r="6855" spans="1:25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428"/>
        <v>49-60 Months</v>
      </c>
      <c r="W6855">
        <f t="shared" si="429"/>
        <v>1</v>
      </c>
      <c r="X6855">
        <f t="shared" si="430"/>
        <v>111.1</v>
      </c>
      <c r="Y6855" t="str">
        <f t="shared" si="431"/>
        <v>Non-Senior</v>
      </c>
    </row>
    <row r="6856" spans="1:25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7082</v>
      </c>
      <c r="J6856" t="s">
        <v>7084</v>
      </c>
      <c r="K6856" t="s">
        <v>46</v>
      </c>
      <c r="L6856" t="s">
        <v>7084</v>
      </c>
      <c r="M6856" t="s">
        <v>7084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428"/>
        <v>0-12 Months</v>
      </c>
      <c r="W6856">
        <f t="shared" si="429"/>
        <v>0</v>
      </c>
      <c r="X6856">
        <f t="shared" si="430"/>
        <v>0</v>
      </c>
      <c r="Y6856" t="str">
        <f t="shared" si="431"/>
        <v>Non-Senior</v>
      </c>
    </row>
    <row r="6857" spans="1:25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428"/>
        <v>37-48 Months</v>
      </c>
      <c r="W6857">
        <f t="shared" si="429"/>
        <v>0</v>
      </c>
      <c r="X6857">
        <f t="shared" si="430"/>
        <v>0</v>
      </c>
      <c r="Y6857" t="str">
        <f t="shared" si="431"/>
        <v>Non-Senior</v>
      </c>
    </row>
    <row r="6858" spans="1:25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7082</v>
      </c>
      <c r="J6858" t="s">
        <v>7084</v>
      </c>
      <c r="K6858" t="s">
        <v>46</v>
      </c>
      <c r="L6858" t="s">
        <v>7084</v>
      </c>
      <c r="M6858" t="s">
        <v>7084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428"/>
        <v>49-60 Months</v>
      </c>
      <c r="W6858">
        <f t="shared" si="429"/>
        <v>0</v>
      </c>
      <c r="X6858">
        <f t="shared" si="430"/>
        <v>0</v>
      </c>
      <c r="Y6858" t="str">
        <f t="shared" si="431"/>
        <v>Non-Senior</v>
      </c>
    </row>
    <row r="6859" spans="1:25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428"/>
        <v>49-60 Months</v>
      </c>
      <c r="W6859">
        <f t="shared" si="429"/>
        <v>0</v>
      </c>
      <c r="X6859">
        <f t="shared" si="430"/>
        <v>0</v>
      </c>
      <c r="Y6859" t="str">
        <f t="shared" si="431"/>
        <v>Non-Senior</v>
      </c>
    </row>
    <row r="6860" spans="1:25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428"/>
        <v>25-36 Months</v>
      </c>
      <c r="W6860">
        <f t="shared" si="429"/>
        <v>1</v>
      </c>
      <c r="X6860">
        <f t="shared" si="430"/>
        <v>89.1</v>
      </c>
      <c r="Y6860" t="str">
        <f t="shared" si="431"/>
        <v>Non-Senior</v>
      </c>
    </row>
    <row r="6861" spans="1:25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428"/>
        <v>61-72 Months</v>
      </c>
      <c r="W6861">
        <f t="shared" si="429"/>
        <v>0</v>
      </c>
      <c r="X6861">
        <f t="shared" si="430"/>
        <v>0</v>
      </c>
      <c r="Y6861" t="str">
        <f t="shared" si="431"/>
        <v>Non-Senior</v>
      </c>
    </row>
    <row r="6862" spans="1:25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428"/>
        <v>37-48 Months</v>
      </c>
      <c r="W6862">
        <f t="shared" si="429"/>
        <v>1</v>
      </c>
      <c r="X6862">
        <f t="shared" si="430"/>
        <v>101.9</v>
      </c>
      <c r="Y6862" t="str">
        <f t="shared" si="431"/>
        <v>Non-Senior</v>
      </c>
    </row>
    <row r="6863" spans="1:25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428"/>
        <v>13-24 Months</v>
      </c>
      <c r="W6863">
        <f t="shared" si="429"/>
        <v>1</v>
      </c>
      <c r="X6863">
        <f t="shared" si="430"/>
        <v>91.65</v>
      </c>
      <c r="Y6863" t="str">
        <f t="shared" si="431"/>
        <v>Non-Senior</v>
      </c>
    </row>
    <row r="6864" spans="1:25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428"/>
        <v>0-12 Months</v>
      </c>
      <c r="W6864">
        <f t="shared" si="429"/>
        <v>1</v>
      </c>
      <c r="X6864">
        <f t="shared" si="430"/>
        <v>88.85</v>
      </c>
      <c r="Y6864" t="str">
        <f t="shared" si="431"/>
        <v>Senior Citizen</v>
      </c>
    </row>
    <row r="6865" spans="1:25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428"/>
        <v>37-48 Months</v>
      </c>
      <c r="W6865">
        <f t="shared" si="429"/>
        <v>0</v>
      </c>
      <c r="X6865">
        <f t="shared" si="430"/>
        <v>0</v>
      </c>
      <c r="Y6865" t="str">
        <f t="shared" si="431"/>
        <v>Non-Senior</v>
      </c>
    </row>
    <row r="6866" spans="1:25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428"/>
        <v>0-12 Months</v>
      </c>
      <c r="W6866">
        <f t="shared" si="429"/>
        <v>1</v>
      </c>
      <c r="X6866">
        <f t="shared" si="430"/>
        <v>25.3</v>
      </c>
      <c r="Y6866" t="str">
        <f t="shared" si="431"/>
        <v>Senior Citizen</v>
      </c>
    </row>
    <row r="6867" spans="1:25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428"/>
        <v>0-12 Months</v>
      </c>
      <c r="W6867">
        <f t="shared" si="429"/>
        <v>0</v>
      </c>
      <c r="X6867">
        <f t="shared" si="430"/>
        <v>0</v>
      </c>
      <c r="Y6867" t="str">
        <f t="shared" si="431"/>
        <v>Non-Senior</v>
      </c>
    </row>
    <row r="6868" spans="1:25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428"/>
        <v>0-12 Months</v>
      </c>
      <c r="W6868">
        <f t="shared" si="429"/>
        <v>1</v>
      </c>
      <c r="X6868">
        <f t="shared" si="430"/>
        <v>95.45</v>
      </c>
      <c r="Y6868" t="str">
        <f t="shared" si="431"/>
        <v>Non-Senior</v>
      </c>
    </row>
    <row r="6869" spans="1:25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7082</v>
      </c>
      <c r="J6869" t="s">
        <v>7084</v>
      </c>
      <c r="K6869" t="s">
        <v>46</v>
      </c>
      <c r="L6869" t="s">
        <v>7084</v>
      </c>
      <c r="M6869" t="s">
        <v>7084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428"/>
        <v>61-72 Months</v>
      </c>
      <c r="W6869">
        <f t="shared" si="429"/>
        <v>0</v>
      </c>
      <c r="X6869">
        <f t="shared" si="430"/>
        <v>0</v>
      </c>
      <c r="Y6869" t="str">
        <f t="shared" si="431"/>
        <v>Non-Senior</v>
      </c>
    </row>
    <row r="6870" spans="1:25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428"/>
        <v>13-24 Months</v>
      </c>
      <c r="W6870">
        <f t="shared" si="429"/>
        <v>1</v>
      </c>
      <c r="X6870">
        <f t="shared" si="430"/>
        <v>91.1</v>
      </c>
      <c r="Y6870" t="str">
        <f t="shared" si="431"/>
        <v>Non-Senior</v>
      </c>
    </row>
    <row r="6871" spans="1:25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428"/>
        <v>37-48 Months</v>
      </c>
      <c r="W6871">
        <f t="shared" si="429"/>
        <v>1</v>
      </c>
      <c r="X6871">
        <f t="shared" si="430"/>
        <v>54.15</v>
      </c>
      <c r="Y6871" t="str">
        <f t="shared" si="431"/>
        <v>Non-Senior</v>
      </c>
    </row>
    <row r="6872" spans="1:25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428"/>
        <v>49-60 Months</v>
      </c>
      <c r="W6872">
        <f t="shared" si="429"/>
        <v>0</v>
      </c>
      <c r="X6872">
        <f t="shared" si="430"/>
        <v>0</v>
      </c>
      <c r="Y6872" t="str">
        <f t="shared" si="431"/>
        <v>Non-Senior</v>
      </c>
    </row>
    <row r="6873" spans="1:25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428"/>
        <v>49-60 Months</v>
      </c>
      <c r="W6873">
        <f t="shared" si="429"/>
        <v>0</v>
      </c>
      <c r="X6873">
        <f t="shared" si="430"/>
        <v>0</v>
      </c>
      <c r="Y6873" t="str">
        <f t="shared" si="431"/>
        <v>Non-Senior</v>
      </c>
    </row>
    <row r="6874" spans="1:25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428"/>
        <v>61-72 Months</v>
      </c>
      <c r="W6874">
        <f t="shared" si="429"/>
        <v>0</v>
      </c>
      <c r="X6874">
        <f t="shared" si="430"/>
        <v>0</v>
      </c>
      <c r="Y6874" t="str">
        <f t="shared" si="431"/>
        <v>Non-Senior</v>
      </c>
    </row>
    <row r="6875" spans="1:25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428"/>
        <v>61-72 Months</v>
      </c>
      <c r="W6875">
        <f t="shared" si="429"/>
        <v>0</v>
      </c>
      <c r="X6875">
        <f t="shared" si="430"/>
        <v>0</v>
      </c>
      <c r="Y6875" t="str">
        <f t="shared" si="431"/>
        <v>Non-Senior</v>
      </c>
    </row>
    <row r="6876" spans="1:25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428"/>
        <v>25-36 Months</v>
      </c>
      <c r="W6876">
        <f t="shared" si="429"/>
        <v>0</v>
      </c>
      <c r="X6876">
        <f t="shared" si="430"/>
        <v>0</v>
      </c>
      <c r="Y6876" t="str">
        <f t="shared" si="431"/>
        <v>Non-Senior</v>
      </c>
    </row>
    <row r="6877" spans="1:25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7082</v>
      </c>
      <c r="J6877" t="s">
        <v>7084</v>
      </c>
      <c r="K6877" t="s">
        <v>46</v>
      </c>
      <c r="L6877" t="s">
        <v>7084</v>
      </c>
      <c r="M6877" t="s">
        <v>7084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428"/>
        <v>61-72 Months</v>
      </c>
      <c r="W6877">
        <f t="shared" si="429"/>
        <v>0</v>
      </c>
      <c r="X6877">
        <f t="shared" si="430"/>
        <v>0</v>
      </c>
      <c r="Y6877" t="str">
        <f t="shared" si="431"/>
        <v>Non-Senior</v>
      </c>
    </row>
    <row r="6878" spans="1:25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428"/>
        <v>61-72 Months</v>
      </c>
      <c r="W6878">
        <f t="shared" si="429"/>
        <v>0</v>
      </c>
      <c r="X6878">
        <f t="shared" si="430"/>
        <v>0</v>
      </c>
      <c r="Y6878" t="str">
        <f t="shared" si="431"/>
        <v>Non-Senior</v>
      </c>
    </row>
    <row r="6879" spans="1:25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428"/>
        <v>0-12 Months</v>
      </c>
      <c r="W6879">
        <f t="shared" si="429"/>
        <v>1</v>
      </c>
      <c r="X6879">
        <f t="shared" si="430"/>
        <v>69.7</v>
      </c>
      <c r="Y6879" t="str">
        <f t="shared" si="431"/>
        <v>Non-Senior</v>
      </c>
    </row>
    <row r="6880" spans="1:25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428"/>
        <v>0-12 Months</v>
      </c>
      <c r="W6880">
        <f t="shared" si="429"/>
        <v>1</v>
      </c>
      <c r="X6880">
        <f t="shared" si="430"/>
        <v>89.5</v>
      </c>
      <c r="Y6880" t="str">
        <f t="shared" si="431"/>
        <v>Non-Senior</v>
      </c>
    </row>
    <row r="6881" spans="1:25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428"/>
        <v>13-24 Months</v>
      </c>
      <c r="W6881">
        <f t="shared" si="429"/>
        <v>0</v>
      </c>
      <c r="X6881">
        <f t="shared" si="430"/>
        <v>0</v>
      </c>
      <c r="Y6881" t="str">
        <f t="shared" si="431"/>
        <v>Non-Senior</v>
      </c>
    </row>
    <row r="6882" spans="1:25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7082</v>
      </c>
      <c r="J6882" t="s">
        <v>7084</v>
      </c>
      <c r="K6882" t="s">
        <v>46</v>
      </c>
      <c r="L6882" t="s">
        <v>7084</v>
      </c>
      <c r="M6882" t="s">
        <v>7084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428"/>
        <v>61-72 Months</v>
      </c>
      <c r="W6882">
        <f t="shared" si="429"/>
        <v>0</v>
      </c>
      <c r="X6882">
        <f t="shared" si="430"/>
        <v>0</v>
      </c>
      <c r="Y6882" t="str">
        <f t="shared" si="431"/>
        <v>Non-Senior</v>
      </c>
    </row>
    <row r="6883" spans="1:25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428"/>
        <v>25-36 Months</v>
      </c>
      <c r="W6883">
        <f t="shared" si="429"/>
        <v>0</v>
      </c>
      <c r="X6883">
        <f t="shared" si="430"/>
        <v>0</v>
      </c>
      <c r="Y6883" t="str">
        <f t="shared" si="431"/>
        <v>Non-Senior</v>
      </c>
    </row>
    <row r="6884" spans="1:25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428"/>
        <v>61-72 Months</v>
      </c>
      <c r="W6884">
        <f t="shared" si="429"/>
        <v>0</v>
      </c>
      <c r="X6884">
        <f t="shared" si="430"/>
        <v>0</v>
      </c>
      <c r="Y6884" t="str">
        <f t="shared" si="431"/>
        <v>Senior Citizen</v>
      </c>
    </row>
    <row r="6885" spans="1:25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428"/>
        <v>25-36 Months</v>
      </c>
      <c r="W6885">
        <f t="shared" si="429"/>
        <v>0</v>
      </c>
      <c r="X6885">
        <f t="shared" si="430"/>
        <v>0</v>
      </c>
      <c r="Y6885" t="str">
        <f t="shared" si="431"/>
        <v>Non-Senior</v>
      </c>
    </row>
    <row r="6886" spans="1:25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428"/>
        <v>0-12 Months</v>
      </c>
      <c r="W6886">
        <f t="shared" si="429"/>
        <v>1</v>
      </c>
      <c r="X6886">
        <f t="shared" si="430"/>
        <v>35.15</v>
      </c>
      <c r="Y6886" t="str">
        <f t="shared" si="431"/>
        <v>Non-Senior</v>
      </c>
    </row>
    <row r="6887" spans="1:25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428"/>
        <v>0-12 Months</v>
      </c>
      <c r="W6887">
        <f t="shared" si="429"/>
        <v>1</v>
      </c>
      <c r="X6887">
        <f t="shared" si="430"/>
        <v>73.75</v>
      </c>
      <c r="Y6887" t="str">
        <f t="shared" si="431"/>
        <v>Non-Senior</v>
      </c>
    </row>
    <row r="6888" spans="1:25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428"/>
        <v>0-12 Months</v>
      </c>
      <c r="W6888">
        <f t="shared" si="429"/>
        <v>1</v>
      </c>
      <c r="X6888">
        <f t="shared" si="430"/>
        <v>101.35</v>
      </c>
      <c r="Y6888" t="str">
        <f t="shared" si="431"/>
        <v>Senior Citizen</v>
      </c>
    </row>
    <row r="6889" spans="1:25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7082</v>
      </c>
      <c r="J6889" t="s">
        <v>7084</v>
      </c>
      <c r="K6889" t="s">
        <v>46</v>
      </c>
      <c r="L6889" t="s">
        <v>7084</v>
      </c>
      <c r="M6889" t="s">
        <v>7084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428"/>
        <v>25-36 Months</v>
      </c>
      <c r="W6889">
        <f t="shared" si="429"/>
        <v>0</v>
      </c>
      <c r="X6889">
        <f t="shared" si="430"/>
        <v>0</v>
      </c>
      <c r="Y6889" t="str">
        <f t="shared" si="431"/>
        <v>Non-Senior</v>
      </c>
    </row>
    <row r="6890" spans="1:25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428"/>
        <v>0-12 Months</v>
      </c>
      <c r="W6890">
        <f t="shared" si="429"/>
        <v>0</v>
      </c>
      <c r="X6890">
        <f t="shared" si="430"/>
        <v>0</v>
      </c>
      <c r="Y6890" t="str">
        <f t="shared" si="431"/>
        <v>Non-Senior</v>
      </c>
    </row>
    <row r="6891" spans="1:25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428"/>
        <v>0-12 Months</v>
      </c>
      <c r="W6891">
        <f t="shared" si="429"/>
        <v>0</v>
      </c>
      <c r="X6891">
        <f t="shared" si="430"/>
        <v>0</v>
      </c>
      <c r="Y6891" t="str">
        <f t="shared" si="431"/>
        <v>Non-Senior</v>
      </c>
    </row>
    <row r="6892" spans="1:25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428"/>
        <v>49-60 Months</v>
      </c>
      <c r="W6892">
        <f t="shared" si="429"/>
        <v>0</v>
      </c>
      <c r="X6892">
        <f t="shared" si="430"/>
        <v>0</v>
      </c>
      <c r="Y6892" t="str">
        <f t="shared" si="431"/>
        <v>Non-Senior</v>
      </c>
    </row>
    <row r="6893" spans="1:25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428"/>
        <v>0-12 Months</v>
      </c>
      <c r="W6893">
        <f t="shared" si="429"/>
        <v>0</v>
      </c>
      <c r="X6893">
        <f t="shared" si="430"/>
        <v>0</v>
      </c>
      <c r="Y6893" t="str">
        <f t="shared" si="431"/>
        <v>Non-Senior</v>
      </c>
    </row>
    <row r="6894" spans="1:25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428"/>
        <v>37-48 Months</v>
      </c>
      <c r="W6894">
        <f t="shared" si="429"/>
        <v>0</v>
      </c>
      <c r="X6894">
        <f t="shared" si="430"/>
        <v>0</v>
      </c>
      <c r="Y6894" t="str">
        <f t="shared" si="431"/>
        <v>Non-Senior</v>
      </c>
    </row>
    <row r="6895" spans="1:25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428"/>
        <v>0-12 Months</v>
      </c>
      <c r="W6895">
        <f t="shared" si="429"/>
        <v>1</v>
      </c>
      <c r="X6895">
        <f t="shared" si="430"/>
        <v>55.9</v>
      </c>
      <c r="Y6895" t="str">
        <f t="shared" si="431"/>
        <v>Non-Senior</v>
      </c>
    </row>
    <row r="6896" spans="1:25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428"/>
        <v>0-12 Months</v>
      </c>
      <c r="W6896">
        <f t="shared" si="429"/>
        <v>1</v>
      </c>
      <c r="X6896">
        <f t="shared" si="430"/>
        <v>105.9</v>
      </c>
      <c r="Y6896" t="str">
        <f t="shared" si="431"/>
        <v>Senior Citizen</v>
      </c>
    </row>
    <row r="6897" spans="1:25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428"/>
        <v>49-60 Months</v>
      </c>
      <c r="W6897">
        <f t="shared" si="429"/>
        <v>0</v>
      </c>
      <c r="X6897">
        <f t="shared" si="430"/>
        <v>0</v>
      </c>
      <c r="Y6897" t="str">
        <f t="shared" si="431"/>
        <v>Non-Senior</v>
      </c>
    </row>
    <row r="6898" spans="1:25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428"/>
        <v>0-12 Months</v>
      </c>
      <c r="W6898">
        <f t="shared" si="429"/>
        <v>1</v>
      </c>
      <c r="X6898">
        <f t="shared" si="430"/>
        <v>43.95</v>
      </c>
      <c r="Y6898" t="str">
        <f t="shared" si="431"/>
        <v>Non-Senior</v>
      </c>
    </row>
    <row r="6899" spans="1:25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428"/>
        <v>61-72 Months</v>
      </c>
      <c r="W6899">
        <f t="shared" si="429"/>
        <v>0</v>
      </c>
      <c r="X6899">
        <f t="shared" si="430"/>
        <v>0</v>
      </c>
      <c r="Y6899" t="str">
        <f t="shared" si="431"/>
        <v>Non-Senior</v>
      </c>
    </row>
    <row r="6900" spans="1:25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428"/>
        <v>13-24 Months</v>
      </c>
      <c r="W6900">
        <f t="shared" si="429"/>
        <v>0</v>
      </c>
      <c r="X6900">
        <f t="shared" si="430"/>
        <v>0</v>
      </c>
      <c r="Y6900" t="str">
        <f t="shared" si="431"/>
        <v>Non-Senior</v>
      </c>
    </row>
    <row r="6901" spans="1:25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428"/>
        <v>0-12 Months</v>
      </c>
      <c r="W6901">
        <f t="shared" si="429"/>
        <v>1</v>
      </c>
      <c r="X6901">
        <f t="shared" si="430"/>
        <v>45.1</v>
      </c>
      <c r="Y6901" t="str">
        <f t="shared" si="431"/>
        <v>Non-Senior</v>
      </c>
    </row>
    <row r="6902" spans="1:25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428"/>
        <v>49-60 Months</v>
      </c>
      <c r="W6902">
        <f t="shared" si="429"/>
        <v>0</v>
      </c>
      <c r="X6902">
        <f t="shared" si="430"/>
        <v>0</v>
      </c>
      <c r="Y6902" t="str">
        <f t="shared" si="431"/>
        <v>Senior Citizen</v>
      </c>
    </row>
    <row r="6903" spans="1:25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428"/>
        <v>25-36 Months</v>
      </c>
      <c r="W6903">
        <f t="shared" si="429"/>
        <v>0</v>
      </c>
      <c r="X6903">
        <f t="shared" si="430"/>
        <v>0</v>
      </c>
      <c r="Y6903" t="str">
        <f t="shared" si="431"/>
        <v>Non-Senior</v>
      </c>
    </row>
    <row r="6904" spans="1:25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428"/>
        <v>49-60 Months</v>
      </c>
      <c r="W6904">
        <f t="shared" si="429"/>
        <v>0</v>
      </c>
      <c r="X6904">
        <f t="shared" si="430"/>
        <v>0</v>
      </c>
      <c r="Y6904" t="str">
        <f t="shared" si="431"/>
        <v>Senior Citizen</v>
      </c>
    </row>
    <row r="6905" spans="1:25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428"/>
        <v>25-36 Months</v>
      </c>
      <c r="W6905">
        <f t="shared" si="429"/>
        <v>0</v>
      </c>
      <c r="X6905">
        <f t="shared" si="430"/>
        <v>0</v>
      </c>
      <c r="Y6905" t="str">
        <f t="shared" si="431"/>
        <v>Non-Senior</v>
      </c>
    </row>
    <row r="6906" spans="1:25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428"/>
        <v>61-72 Months</v>
      </c>
      <c r="W6906">
        <f t="shared" si="429"/>
        <v>0</v>
      </c>
      <c r="X6906">
        <f t="shared" si="430"/>
        <v>0</v>
      </c>
      <c r="Y6906" t="str">
        <f t="shared" si="431"/>
        <v>Senior Citizen</v>
      </c>
    </row>
    <row r="6907" spans="1:25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428"/>
        <v>25-36 Months</v>
      </c>
      <c r="W6907">
        <f t="shared" si="429"/>
        <v>0</v>
      </c>
      <c r="X6907">
        <f t="shared" si="430"/>
        <v>0</v>
      </c>
      <c r="Y6907" t="str">
        <f t="shared" si="431"/>
        <v>Non-Senior</v>
      </c>
    </row>
    <row r="6908" spans="1:25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7082</v>
      </c>
      <c r="J6908" t="s">
        <v>7084</v>
      </c>
      <c r="K6908" t="s">
        <v>46</v>
      </c>
      <c r="L6908" t="s">
        <v>7084</v>
      </c>
      <c r="M6908" t="s">
        <v>7084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428"/>
        <v>25-36 Months</v>
      </c>
      <c r="W6908">
        <f t="shared" si="429"/>
        <v>0</v>
      </c>
      <c r="X6908">
        <f t="shared" si="430"/>
        <v>0</v>
      </c>
      <c r="Y6908" t="str">
        <f t="shared" si="431"/>
        <v>Non-Senior</v>
      </c>
    </row>
    <row r="6909" spans="1:25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428"/>
        <v>37-48 Months</v>
      </c>
      <c r="W6909">
        <f t="shared" si="429"/>
        <v>1</v>
      </c>
      <c r="X6909">
        <f t="shared" si="430"/>
        <v>70.25</v>
      </c>
      <c r="Y6909" t="str">
        <f t="shared" si="431"/>
        <v>Non-Senior</v>
      </c>
    </row>
    <row r="6910" spans="1:25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428"/>
        <v>0-12 Months</v>
      </c>
      <c r="W6910">
        <f t="shared" si="429"/>
        <v>1</v>
      </c>
      <c r="X6910">
        <f t="shared" si="430"/>
        <v>55.35</v>
      </c>
      <c r="Y6910" t="str">
        <f t="shared" si="431"/>
        <v>Non-Senior</v>
      </c>
    </row>
    <row r="6911" spans="1:25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428"/>
        <v>0-12 Months</v>
      </c>
      <c r="W6911">
        <f t="shared" si="429"/>
        <v>0</v>
      </c>
      <c r="X6911">
        <f t="shared" si="430"/>
        <v>0</v>
      </c>
      <c r="Y6911" t="str">
        <f t="shared" si="431"/>
        <v>Non-Senior</v>
      </c>
    </row>
    <row r="6912" spans="1:25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428"/>
        <v>61-72 Months</v>
      </c>
      <c r="W6912">
        <f t="shared" si="429"/>
        <v>0</v>
      </c>
      <c r="X6912">
        <f t="shared" si="430"/>
        <v>0</v>
      </c>
      <c r="Y6912" t="str">
        <f t="shared" si="431"/>
        <v>Non-Senior</v>
      </c>
    </row>
    <row r="6913" spans="1:25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7082</v>
      </c>
      <c r="J6913" t="s">
        <v>7084</v>
      </c>
      <c r="K6913" t="s">
        <v>46</v>
      </c>
      <c r="L6913" t="s">
        <v>7084</v>
      </c>
      <c r="M6913" t="s">
        <v>7084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428"/>
        <v>49-60 Months</v>
      </c>
      <c r="W6913">
        <f t="shared" si="429"/>
        <v>0</v>
      </c>
      <c r="X6913">
        <f t="shared" si="430"/>
        <v>0</v>
      </c>
      <c r="Y6913" t="str">
        <f t="shared" si="431"/>
        <v>Non-Senior</v>
      </c>
    </row>
    <row r="6914" spans="1:25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si="428"/>
        <v>0-12 Months</v>
      </c>
      <c r="W6914">
        <f t="shared" si="429"/>
        <v>0</v>
      </c>
      <c r="X6914">
        <f t="shared" si="430"/>
        <v>0</v>
      </c>
      <c r="Y6914" t="str">
        <f t="shared" si="431"/>
        <v>Non-Senior</v>
      </c>
    </row>
    <row r="6915" spans="1:25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ref="V6915:V6978" si="432">IF(F6915&lt;=12,"0-12 Months",IF(F6915&lt;=24,"13-24 Months",IF(F6915&lt;=36,"25-36 Months",IF(F6915&lt;=48,"37-48 Months",IF(F6915&lt;=60,"49-60 Months","61-72 Months")))))</f>
        <v>61-72 Months</v>
      </c>
      <c r="W6915">
        <f t="shared" ref="W6915:W6978" si="433">IF(U6915="Yes",1,0)</f>
        <v>0</v>
      </c>
      <c r="X6915">
        <f t="shared" ref="X6915:X6978" si="434">IF(U6915="Yes",S6915,0)</f>
        <v>0</v>
      </c>
      <c r="Y6915" t="str">
        <f t="shared" ref="Y6915:Y6978" si="435">IF(C6915=1,"Senior Citizen","Non-Senior")</f>
        <v>Non-Senior</v>
      </c>
    </row>
    <row r="6916" spans="1:25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432"/>
        <v>37-48 Months</v>
      </c>
      <c r="W6916">
        <f t="shared" si="433"/>
        <v>1</v>
      </c>
      <c r="X6916">
        <f t="shared" si="434"/>
        <v>103</v>
      </c>
      <c r="Y6916" t="str">
        <f t="shared" si="435"/>
        <v>Senior Citizen</v>
      </c>
    </row>
    <row r="6917" spans="1:25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432"/>
        <v>61-72 Months</v>
      </c>
      <c r="W6917">
        <f t="shared" si="433"/>
        <v>0</v>
      </c>
      <c r="X6917">
        <f t="shared" si="434"/>
        <v>0</v>
      </c>
      <c r="Y6917" t="str">
        <f t="shared" si="435"/>
        <v>Non-Senior</v>
      </c>
    </row>
    <row r="6918" spans="1:25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7082</v>
      </c>
      <c r="J6918" t="s">
        <v>7084</v>
      </c>
      <c r="K6918" t="s">
        <v>46</v>
      </c>
      <c r="L6918" t="s">
        <v>7084</v>
      </c>
      <c r="M6918" t="s">
        <v>7084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432"/>
        <v>37-48 Months</v>
      </c>
      <c r="W6918">
        <f t="shared" si="433"/>
        <v>0</v>
      </c>
      <c r="X6918">
        <f t="shared" si="434"/>
        <v>0</v>
      </c>
      <c r="Y6918" t="str">
        <f t="shared" si="435"/>
        <v>Non-Senior</v>
      </c>
    </row>
    <row r="6919" spans="1:25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432"/>
        <v>61-72 Months</v>
      </c>
      <c r="W6919">
        <f t="shared" si="433"/>
        <v>0</v>
      </c>
      <c r="X6919">
        <f t="shared" si="434"/>
        <v>0</v>
      </c>
      <c r="Y6919" t="str">
        <f t="shared" si="435"/>
        <v>Non-Senior</v>
      </c>
    </row>
    <row r="6920" spans="1:25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432"/>
        <v>25-36 Months</v>
      </c>
      <c r="W6920">
        <f t="shared" si="433"/>
        <v>1</v>
      </c>
      <c r="X6920">
        <f t="shared" si="434"/>
        <v>103.75</v>
      </c>
      <c r="Y6920" t="str">
        <f t="shared" si="435"/>
        <v>Non-Senior</v>
      </c>
    </row>
    <row r="6921" spans="1:25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432"/>
        <v>49-60 Months</v>
      </c>
      <c r="W6921">
        <f t="shared" si="433"/>
        <v>0</v>
      </c>
      <c r="X6921">
        <f t="shared" si="434"/>
        <v>0</v>
      </c>
      <c r="Y6921" t="str">
        <f t="shared" si="435"/>
        <v>Non-Senior</v>
      </c>
    </row>
    <row r="6922" spans="1:25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7082</v>
      </c>
      <c r="J6922" t="s">
        <v>7084</v>
      </c>
      <c r="K6922" t="s">
        <v>46</v>
      </c>
      <c r="L6922" t="s">
        <v>7084</v>
      </c>
      <c r="M6922" t="s">
        <v>7084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432"/>
        <v>25-36 Months</v>
      </c>
      <c r="W6922">
        <f t="shared" si="433"/>
        <v>0</v>
      </c>
      <c r="X6922">
        <f t="shared" si="434"/>
        <v>0</v>
      </c>
      <c r="Y6922" t="str">
        <f t="shared" si="435"/>
        <v>Non-Senior</v>
      </c>
    </row>
    <row r="6923" spans="1:25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432"/>
        <v>49-60 Months</v>
      </c>
      <c r="W6923">
        <f t="shared" si="433"/>
        <v>0</v>
      </c>
      <c r="X6923">
        <f t="shared" si="434"/>
        <v>0</v>
      </c>
      <c r="Y6923" t="str">
        <f t="shared" si="435"/>
        <v>Non-Senior</v>
      </c>
    </row>
    <row r="6924" spans="1:25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432"/>
        <v>0-12 Months</v>
      </c>
      <c r="W6924">
        <f t="shared" si="433"/>
        <v>0</v>
      </c>
      <c r="X6924">
        <f t="shared" si="434"/>
        <v>0</v>
      </c>
      <c r="Y6924" t="str">
        <f t="shared" si="435"/>
        <v>Non-Senior</v>
      </c>
    </row>
    <row r="6925" spans="1:25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432"/>
        <v>49-60 Months</v>
      </c>
      <c r="W6925">
        <f t="shared" si="433"/>
        <v>0</v>
      </c>
      <c r="X6925">
        <f t="shared" si="434"/>
        <v>0</v>
      </c>
      <c r="Y6925" t="str">
        <f t="shared" si="435"/>
        <v>Non-Senior</v>
      </c>
    </row>
    <row r="6926" spans="1:25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432"/>
        <v>0-12 Months</v>
      </c>
      <c r="W6926">
        <f t="shared" si="433"/>
        <v>1</v>
      </c>
      <c r="X6926">
        <f t="shared" si="434"/>
        <v>69.349999999999994</v>
      </c>
      <c r="Y6926" t="str">
        <f t="shared" si="435"/>
        <v>Non-Senior</v>
      </c>
    </row>
    <row r="6927" spans="1:25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7082</v>
      </c>
      <c r="J6927" t="s">
        <v>7084</v>
      </c>
      <c r="K6927" t="s">
        <v>46</v>
      </c>
      <c r="L6927" t="s">
        <v>7084</v>
      </c>
      <c r="M6927" t="s">
        <v>7084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432"/>
        <v>13-24 Months</v>
      </c>
      <c r="W6927">
        <f t="shared" si="433"/>
        <v>0</v>
      </c>
      <c r="X6927">
        <f t="shared" si="434"/>
        <v>0</v>
      </c>
      <c r="Y6927" t="str">
        <f t="shared" si="435"/>
        <v>Non-Senior</v>
      </c>
    </row>
    <row r="6928" spans="1:25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432"/>
        <v>49-60 Months</v>
      </c>
      <c r="W6928">
        <f t="shared" si="433"/>
        <v>1</v>
      </c>
      <c r="X6928">
        <f t="shared" si="434"/>
        <v>73.849999999999994</v>
      </c>
      <c r="Y6928" t="str">
        <f t="shared" si="435"/>
        <v>Non-Senior</v>
      </c>
    </row>
    <row r="6929" spans="1:25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432"/>
        <v>0-12 Months</v>
      </c>
      <c r="W6929">
        <f t="shared" si="433"/>
        <v>0</v>
      </c>
      <c r="X6929">
        <f t="shared" si="434"/>
        <v>0</v>
      </c>
      <c r="Y6929" t="str">
        <f t="shared" si="435"/>
        <v>Non-Senior</v>
      </c>
    </row>
    <row r="6930" spans="1:25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432"/>
        <v>37-48 Months</v>
      </c>
      <c r="W6930">
        <f t="shared" si="433"/>
        <v>0</v>
      </c>
      <c r="X6930">
        <f t="shared" si="434"/>
        <v>0</v>
      </c>
      <c r="Y6930" t="str">
        <f t="shared" si="435"/>
        <v>Non-Senior</v>
      </c>
    </row>
    <row r="6931" spans="1:25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7082</v>
      </c>
      <c r="J6931" t="s">
        <v>7084</v>
      </c>
      <c r="K6931" t="s">
        <v>46</v>
      </c>
      <c r="L6931" t="s">
        <v>7084</v>
      </c>
      <c r="M6931" t="s">
        <v>7084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432"/>
        <v>25-36 Months</v>
      </c>
      <c r="W6931">
        <f t="shared" si="433"/>
        <v>0</v>
      </c>
      <c r="X6931">
        <f t="shared" si="434"/>
        <v>0</v>
      </c>
      <c r="Y6931" t="str">
        <f t="shared" si="435"/>
        <v>Non-Senior</v>
      </c>
    </row>
    <row r="6932" spans="1:25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432"/>
        <v>0-12 Months</v>
      </c>
      <c r="W6932">
        <f t="shared" si="433"/>
        <v>1</v>
      </c>
      <c r="X6932">
        <f t="shared" si="434"/>
        <v>75.150000000000006</v>
      </c>
      <c r="Y6932" t="str">
        <f t="shared" si="435"/>
        <v>Non-Senior</v>
      </c>
    </row>
    <row r="6933" spans="1:25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432"/>
        <v>49-60 Months</v>
      </c>
      <c r="W6933">
        <f t="shared" si="433"/>
        <v>0</v>
      </c>
      <c r="X6933">
        <f t="shared" si="434"/>
        <v>0</v>
      </c>
      <c r="Y6933" t="str">
        <f t="shared" si="435"/>
        <v>Non-Senior</v>
      </c>
    </row>
    <row r="6934" spans="1:25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432"/>
        <v>0-12 Months</v>
      </c>
      <c r="W6934">
        <f t="shared" si="433"/>
        <v>0</v>
      </c>
      <c r="X6934">
        <f t="shared" si="434"/>
        <v>0</v>
      </c>
      <c r="Y6934" t="str">
        <f t="shared" si="435"/>
        <v>Non-Senior</v>
      </c>
    </row>
    <row r="6935" spans="1:25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432"/>
        <v>0-12 Months</v>
      </c>
      <c r="W6935">
        <f t="shared" si="433"/>
        <v>1</v>
      </c>
      <c r="X6935">
        <f t="shared" si="434"/>
        <v>69.599999999999994</v>
      </c>
      <c r="Y6935" t="str">
        <f t="shared" si="435"/>
        <v>Non-Senior</v>
      </c>
    </row>
    <row r="6936" spans="1:25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432"/>
        <v>61-72 Months</v>
      </c>
      <c r="W6936">
        <f t="shared" si="433"/>
        <v>0</v>
      </c>
      <c r="X6936">
        <f t="shared" si="434"/>
        <v>0</v>
      </c>
      <c r="Y6936" t="str">
        <f t="shared" si="435"/>
        <v>Non-Senior</v>
      </c>
    </row>
    <row r="6937" spans="1:25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432"/>
        <v>61-72 Months</v>
      </c>
      <c r="W6937">
        <f t="shared" si="433"/>
        <v>0</v>
      </c>
      <c r="X6937">
        <f t="shared" si="434"/>
        <v>0</v>
      </c>
      <c r="Y6937" t="str">
        <f t="shared" si="435"/>
        <v>Non-Senior</v>
      </c>
    </row>
    <row r="6938" spans="1:25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432"/>
        <v>0-12 Months</v>
      </c>
      <c r="W6938">
        <f t="shared" si="433"/>
        <v>1</v>
      </c>
      <c r="X6938">
        <f t="shared" si="434"/>
        <v>80.150000000000006</v>
      </c>
      <c r="Y6938" t="str">
        <f t="shared" si="435"/>
        <v>Non-Senior</v>
      </c>
    </row>
    <row r="6939" spans="1:25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432"/>
        <v>25-36 Months</v>
      </c>
      <c r="W6939">
        <f t="shared" si="433"/>
        <v>0</v>
      </c>
      <c r="X6939">
        <f t="shared" si="434"/>
        <v>0</v>
      </c>
      <c r="Y6939" t="str">
        <f t="shared" si="435"/>
        <v>Non-Senior</v>
      </c>
    </row>
    <row r="6940" spans="1:25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432"/>
        <v>61-72 Months</v>
      </c>
      <c r="W6940">
        <f t="shared" si="433"/>
        <v>0</v>
      </c>
      <c r="X6940">
        <f t="shared" si="434"/>
        <v>0</v>
      </c>
      <c r="Y6940" t="str">
        <f t="shared" si="435"/>
        <v>Non-Senior</v>
      </c>
    </row>
    <row r="6941" spans="1:25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432"/>
        <v>25-36 Months</v>
      </c>
      <c r="W6941">
        <f t="shared" si="433"/>
        <v>0</v>
      </c>
      <c r="X6941">
        <f t="shared" si="434"/>
        <v>0</v>
      </c>
      <c r="Y6941" t="str">
        <f t="shared" si="435"/>
        <v>Non-Senior</v>
      </c>
    </row>
    <row r="6942" spans="1:25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432"/>
        <v>61-72 Months</v>
      </c>
      <c r="W6942">
        <f t="shared" si="433"/>
        <v>0</v>
      </c>
      <c r="X6942">
        <f t="shared" si="434"/>
        <v>0</v>
      </c>
      <c r="Y6942" t="str">
        <f t="shared" si="435"/>
        <v>Non-Senior</v>
      </c>
    </row>
    <row r="6943" spans="1:25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432"/>
        <v>61-72 Months</v>
      </c>
      <c r="W6943">
        <f t="shared" si="433"/>
        <v>0</v>
      </c>
      <c r="X6943">
        <f t="shared" si="434"/>
        <v>0</v>
      </c>
      <c r="Y6943" t="str">
        <f t="shared" si="435"/>
        <v>Non-Senior</v>
      </c>
    </row>
    <row r="6944" spans="1:25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7082</v>
      </c>
      <c r="J6944" t="s">
        <v>7084</v>
      </c>
      <c r="K6944" t="s">
        <v>46</v>
      </c>
      <c r="L6944" t="s">
        <v>7084</v>
      </c>
      <c r="M6944" t="s">
        <v>7084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432"/>
        <v>61-72 Months</v>
      </c>
      <c r="W6944">
        <f t="shared" si="433"/>
        <v>0</v>
      </c>
      <c r="X6944">
        <f t="shared" si="434"/>
        <v>0</v>
      </c>
      <c r="Y6944" t="str">
        <f t="shared" si="435"/>
        <v>Senior Citizen</v>
      </c>
    </row>
    <row r="6945" spans="1:25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432"/>
        <v>0-12 Months</v>
      </c>
      <c r="W6945">
        <f t="shared" si="433"/>
        <v>1</v>
      </c>
      <c r="X6945">
        <f t="shared" si="434"/>
        <v>30.5</v>
      </c>
      <c r="Y6945" t="str">
        <f t="shared" si="435"/>
        <v>Non-Senior</v>
      </c>
    </row>
    <row r="6946" spans="1:25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7082</v>
      </c>
      <c r="J6946" t="s">
        <v>7084</v>
      </c>
      <c r="K6946" t="s">
        <v>46</v>
      </c>
      <c r="L6946" t="s">
        <v>7084</v>
      </c>
      <c r="M6946" t="s">
        <v>7084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432"/>
        <v>0-12 Months</v>
      </c>
      <c r="W6946">
        <f t="shared" si="433"/>
        <v>0</v>
      </c>
      <c r="X6946">
        <f t="shared" si="434"/>
        <v>0</v>
      </c>
      <c r="Y6946" t="str">
        <f t="shared" si="435"/>
        <v>Non-Senior</v>
      </c>
    </row>
    <row r="6947" spans="1:25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432"/>
        <v>61-72 Months</v>
      </c>
      <c r="W6947">
        <f t="shared" si="433"/>
        <v>1</v>
      </c>
      <c r="X6947">
        <f t="shared" si="434"/>
        <v>98.3</v>
      </c>
      <c r="Y6947" t="str">
        <f t="shared" si="435"/>
        <v>Non-Senior</v>
      </c>
    </row>
    <row r="6948" spans="1:25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432"/>
        <v>37-48 Months</v>
      </c>
      <c r="W6948">
        <f t="shared" si="433"/>
        <v>0</v>
      </c>
      <c r="X6948">
        <f t="shared" si="434"/>
        <v>0</v>
      </c>
      <c r="Y6948" t="str">
        <f t="shared" si="435"/>
        <v>Non-Senior</v>
      </c>
    </row>
    <row r="6949" spans="1:25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432"/>
        <v>61-72 Months</v>
      </c>
      <c r="W6949">
        <f t="shared" si="433"/>
        <v>0</v>
      </c>
      <c r="X6949">
        <f t="shared" si="434"/>
        <v>0</v>
      </c>
      <c r="Y6949" t="str">
        <f t="shared" si="435"/>
        <v>Non-Senior</v>
      </c>
    </row>
    <row r="6950" spans="1:25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432"/>
        <v>37-48 Months</v>
      </c>
      <c r="W6950">
        <f t="shared" si="433"/>
        <v>0</v>
      </c>
      <c r="X6950">
        <f t="shared" si="434"/>
        <v>0</v>
      </c>
      <c r="Y6950" t="str">
        <f t="shared" si="435"/>
        <v>Non-Senior</v>
      </c>
    </row>
    <row r="6951" spans="1:25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432"/>
        <v>25-36 Months</v>
      </c>
      <c r="W6951">
        <f t="shared" si="433"/>
        <v>0</v>
      </c>
      <c r="X6951">
        <f t="shared" si="434"/>
        <v>0</v>
      </c>
      <c r="Y6951" t="str">
        <f t="shared" si="435"/>
        <v>Non-Senior</v>
      </c>
    </row>
    <row r="6952" spans="1:25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432"/>
        <v>0-12 Months</v>
      </c>
      <c r="W6952">
        <f t="shared" si="433"/>
        <v>0</v>
      </c>
      <c r="X6952">
        <f t="shared" si="434"/>
        <v>0</v>
      </c>
      <c r="Y6952" t="str">
        <f t="shared" si="435"/>
        <v>Non-Senior</v>
      </c>
    </row>
    <row r="6953" spans="1:25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7082</v>
      </c>
      <c r="J6953" t="s">
        <v>7084</v>
      </c>
      <c r="K6953" t="s">
        <v>46</v>
      </c>
      <c r="L6953" t="s">
        <v>7084</v>
      </c>
      <c r="M6953" t="s">
        <v>7084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432"/>
        <v>49-60 Months</v>
      </c>
      <c r="W6953">
        <f t="shared" si="433"/>
        <v>0</v>
      </c>
      <c r="X6953">
        <f t="shared" si="434"/>
        <v>0</v>
      </c>
      <c r="Y6953" t="str">
        <f t="shared" si="435"/>
        <v>Non-Senior</v>
      </c>
    </row>
    <row r="6954" spans="1:25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432"/>
        <v>37-48 Months</v>
      </c>
      <c r="W6954">
        <f t="shared" si="433"/>
        <v>1</v>
      </c>
      <c r="X6954">
        <f t="shared" si="434"/>
        <v>107.4</v>
      </c>
      <c r="Y6954" t="str">
        <f t="shared" si="435"/>
        <v>Non-Senior</v>
      </c>
    </row>
    <row r="6955" spans="1:25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432"/>
        <v>13-24 Months</v>
      </c>
      <c r="W6955">
        <f t="shared" si="433"/>
        <v>1</v>
      </c>
      <c r="X6955">
        <f t="shared" si="434"/>
        <v>82</v>
      </c>
      <c r="Y6955" t="str">
        <f t="shared" si="435"/>
        <v>Senior Citizen</v>
      </c>
    </row>
    <row r="6956" spans="1:25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7082</v>
      </c>
      <c r="J6956" t="s">
        <v>7084</v>
      </c>
      <c r="K6956" t="s">
        <v>46</v>
      </c>
      <c r="L6956" t="s">
        <v>7084</v>
      </c>
      <c r="M6956" t="s">
        <v>7084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432"/>
        <v>13-24 Months</v>
      </c>
      <c r="W6956">
        <f t="shared" si="433"/>
        <v>0</v>
      </c>
      <c r="X6956">
        <f t="shared" si="434"/>
        <v>0</v>
      </c>
      <c r="Y6956" t="str">
        <f t="shared" si="435"/>
        <v>Non-Senior</v>
      </c>
    </row>
    <row r="6957" spans="1:25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432"/>
        <v>0-12 Months</v>
      </c>
      <c r="W6957">
        <f t="shared" si="433"/>
        <v>0</v>
      </c>
      <c r="X6957">
        <f t="shared" si="434"/>
        <v>0</v>
      </c>
      <c r="Y6957" t="str">
        <f t="shared" si="435"/>
        <v>Non-Senior</v>
      </c>
    </row>
    <row r="6958" spans="1:25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432"/>
        <v>61-72 Months</v>
      </c>
      <c r="W6958">
        <f t="shared" si="433"/>
        <v>0</v>
      </c>
      <c r="X6958">
        <f t="shared" si="434"/>
        <v>0</v>
      </c>
      <c r="Y6958" t="str">
        <f t="shared" si="435"/>
        <v>Senior Citizen</v>
      </c>
    </row>
    <row r="6959" spans="1:25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432"/>
        <v>0-12 Months</v>
      </c>
      <c r="W6959">
        <f t="shared" si="433"/>
        <v>0</v>
      </c>
      <c r="X6959">
        <f t="shared" si="434"/>
        <v>0</v>
      </c>
      <c r="Y6959" t="str">
        <f t="shared" si="435"/>
        <v>Non-Senior</v>
      </c>
    </row>
    <row r="6960" spans="1:25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7082</v>
      </c>
      <c r="J6960" t="s">
        <v>7084</v>
      </c>
      <c r="K6960" t="s">
        <v>46</v>
      </c>
      <c r="L6960" t="s">
        <v>7084</v>
      </c>
      <c r="M6960" t="s">
        <v>7084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432"/>
        <v>13-24 Months</v>
      </c>
      <c r="W6960">
        <f t="shared" si="433"/>
        <v>0</v>
      </c>
      <c r="X6960">
        <f t="shared" si="434"/>
        <v>0</v>
      </c>
      <c r="Y6960" t="str">
        <f t="shared" si="435"/>
        <v>Non-Senior</v>
      </c>
    </row>
    <row r="6961" spans="1:25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432"/>
        <v>37-48 Months</v>
      </c>
      <c r="W6961">
        <f t="shared" si="433"/>
        <v>0</v>
      </c>
      <c r="X6961">
        <f t="shared" si="434"/>
        <v>0</v>
      </c>
      <c r="Y6961" t="str">
        <f t="shared" si="435"/>
        <v>Non-Senior</v>
      </c>
    </row>
    <row r="6962" spans="1:25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432"/>
        <v>37-48 Months</v>
      </c>
      <c r="W6962">
        <f t="shared" si="433"/>
        <v>0</v>
      </c>
      <c r="X6962">
        <f t="shared" si="434"/>
        <v>0</v>
      </c>
      <c r="Y6962" t="str">
        <f t="shared" si="435"/>
        <v>Senior Citizen</v>
      </c>
    </row>
    <row r="6963" spans="1:25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432"/>
        <v>13-24 Months</v>
      </c>
      <c r="W6963">
        <f t="shared" si="433"/>
        <v>1</v>
      </c>
      <c r="X6963">
        <f t="shared" si="434"/>
        <v>75.400000000000006</v>
      </c>
      <c r="Y6963" t="str">
        <f t="shared" si="435"/>
        <v>Non-Senior</v>
      </c>
    </row>
    <row r="6964" spans="1:25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432"/>
        <v>25-36 Months</v>
      </c>
      <c r="W6964">
        <f t="shared" si="433"/>
        <v>1</v>
      </c>
      <c r="X6964">
        <f t="shared" si="434"/>
        <v>101.25</v>
      </c>
      <c r="Y6964" t="str">
        <f t="shared" si="435"/>
        <v>Senior Citizen</v>
      </c>
    </row>
    <row r="6965" spans="1:25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432"/>
        <v>0-12 Months</v>
      </c>
      <c r="W6965">
        <f t="shared" si="433"/>
        <v>0</v>
      </c>
      <c r="X6965">
        <f t="shared" si="434"/>
        <v>0</v>
      </c>
      <c r="Y6965" t="str">
        <f t="shared" si="435"/>
        <v>Non-Senior</v>
      </c>
    </row>
    <row r="6966" spans="1:25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432"/>
        <v>49-60 Months</v>
      </c>
      <c r="W6966">
        <f t="shared" si="433"/>
        <v>0</v>
      </c>
      <c r="X6966">
        <f t="shared" si="434"/>
        <v>0</v>
      </c>
      <c r="Y6966" t="str">
        <f t="shared" si="435"/>
        <v>Non-Senior</v>
      </c>
    </row>
    <row r="6967" spans="1:25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432"/>
        <v>61-72 Months</v>
      </c>
      <c r="W6967">
        <f t="shared" si="433"/>
        <v>0</v>
      </c>
      <c r="X6967">
        <f t="shared" si="434"/>
        <v>0</v>
      </c>
      <c r="Y6967" t="str">
        <f t="shared" si="435"/>
        <v>Senior Citizen</v>
      </c>
    </row>
    <row r="6968" spans="1:25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432"/>
        <v>49-60 Months</v>
      </c>
      <c r="W6968">
        <f t="shared" si="433"/>
        <v>0</v>
      </c>
      <c r="X6968">
        <f t="shared" si="434"/>
        <v>0</v>
      </c>
      <c r="Y6968" t="str">
        <f t="shared" si="435"/>
        <v>Non-Senior</v>
      </c>
    </row>
    <row r="6969" spans="1:25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432"/>
        <v>25-36 Months</v>
      </c>
      <c r="W6969">
        <f t="shared" si="433"/>
        <v>1</v>
      </c>
      <c r="X6969">
        <f t="shared" si="434"/>
        <v>89.5</v>
      </c>
      <c r="Y6969" t="str">
        <f t="shared" si="435"/>
        <v>Senior Citizen</v>
      </c>
    </row>
    <row r="6970" spans="1:25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432"/>
        <v>13-24 Months</v>
      </c>
      <c r="W6970">
        <f t="shared" si="433"/>
        <v>1</v>
      </c>
      <c r="X6970">
        <f t="shared" si="434"/>
        <v>74.400000000000006</v>
      </c>
      <c r="Y6970" t="str">
        <f t="shared" si="435"/>
        <v>Senior Citizen</v>
      </c>
    </row>
    <row r="6971" spans="1:25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7082</v>
      </c>
      <c r="J6971" t="s">
        <v>7084</v>
      </c>
      <c r="K6971" t="s">
        <v>46</v>
      </c>
      <c r="L6971" t="s">
        <v>7084</v>
      </c>
      <c r="M6971" t="s">
        <v>7084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432"/>
        <v>0-12 Months</v>
      </c>
      <c r="W6971">
        <f t="shared" si="433"/>
        <v>1</v>
      </c>
      <c r="X6971">
        <f t="shared" si="434"/>
        <v>20.5</v>
      </c>
      <c r="Y6971" t="str">
        <f t="shared" si="435"/>
        <v>Non-Senior</v>
      </c>
    </row>
    <row r="6972" spans="1:25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432"/>
        <v>0-12 Months</v>
      </c>
      <c r="W6972">
        <f t="shared" si="433"/>
        <v>1</v>
      </c>
      <c r="X6972">
        <f t="shared" si="434"/>
        <v>74.349999999999994</v>
      </c>
      <c r="Y6972" t="str">
        <f t="shared" si="435"/>
        <v>Non-Senior</v>
      </c>
    </row>
    <row r="6973" spans="1:25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432"/>
        <v>13-24 Months</v>
      </c>
      <c r="W6973">
        <f t="shared" si="433"/>
        <v>1</v>
      </c>
      <c r="X6973">
        <f t="shared" si="434"/>
        <v>99.75</v>
      </c>
      <c r="Y6973" t="str">
        <f t="shared" si="435"/>
        <v>Senior Citizen</v>
      </c>
    </row>
    <row r="6974" spans="1:25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432"/>
        <v>49-60 Months</v>
      </c>
      <c r="W6974">
        <f t="shared" si="433"/>
        <v>1</v>
      </c>
      <c r="X6974">
        <f t="shared" si="434"/>
        <v>111.95</v>
      </c>
      <c r="Y6974" t="str">
        <f t="shared" si="435"/>
        <v>Senior Citizen</v>
      </c>
    </row>
    <row r="6975" spans="1:25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432"/>
        <v>49-60 Months</v>
      </c>
      <c r="W6975">
        <f t="shared" si="433"/>
        <v>0</v>
      </c>
      <c r="X6975">
        <f t="shared" si="434"/>
        <v>0</v>
      </c>
      <c r="Y6975" t="str">
        <f t="shared" si="435"/>
        <v>Senior Citizen</v>
      </c>
    </row>
    <row r="6976" spans="1:25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432"/>
        <v>49-60 Months</v>
      </c>
      <c r="W6976">
        <f t="shared" si="433"/>
        <v>0</v>
      </c>
      <c r="X6976">
        <f t="shared" si="434"/>
        <v>0</v>
      </c>
      <c r="Y6976" t="str">
        <f t="shared" si="435"/>
        <v>Non-Senior</v>
      </c>
    </row>
    <row r="6977" spans="1:25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432"/>
        <v>13-24 Months</v>
      </c>
      <c r="W6977">
        <f t="shared" si="433"/>
        <v>0</v>
      </c>
      <c r="X6977">
        <f t="shared" si="434"/>
        <v>0</v>
      </c>
      <c r="Y6977" t="str">
        <f t="shared" si="435"/>
        <v>Non-Senior</v>
      </c>
    </row>
    <row r="6978" spans="1:25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si="432"/>
        <v>61-72 Months</v>
      </c>
      <c r="W6978">
        <f t="shared" si="433"/>
        <v>0</v>
      </c>
      <c r="X6978">
        <f t="shared" si="434"/>
        <v>0</v>
      </c>
      <c r="Y6978" t="str">
        <f t="shared" si="435"/>
        <v>Non-Senior</v>
      </c>
    </row>
    <row r="6979" spans="1:25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ref="V6979:V7042" si="436">IF(F6979&lt;=12,"0-12 Months",IF(F6979&lt;=24,"13-24 Months",IF(F6979&lt;=36,"25-36 Months",IF(F6979&lt;=48,"37-48 Months",IF(F6979&lt;=60,"49-60 Months","61-72 Months")))))</f>
        <v>13-24 Months</v>
      </c>
      <c r="W6979">
        <f t="shared" ref="W6979:W7042" si="437">IF(U6979="Yes",1,0)</f>
        <v>0</v>
      </c>
      <c r="X6979">
        <f t="shared" ref="X6979:X7042" si="438">IF(U6979="Yes",S6979,0)</f>
        <v>0</v>
      </c>
      <c r="Y6979" t="str">
        <f t="shared" ref="Y6979:Y7042" si="439">IF(C6979=1,"Senior Citizen","Non-Senior")</f>
        <v>Non-Senior</v>
      </c>
    </row>
    <row r="6980" spans="1:25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436"/>
        <v>61-72 Months</v>
      </c>
      <c r="W6980">
        <f t="shared" si="437"/>
        <v>0</v>
      </c>
      <c r="X6980">
        <f t="shared" si="438"/>
        <v>0</v>
      </c>
      <c r="Y6980" t="str">
        <f t="shared" si="439"/>
        <v>Non-Senior</v>
      </c>
    </row>
    <row r="6981" spans="1:25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436"/>
        <v>0-12 Months</v>
      </c>
      <c r="W6981">
        <f t="shared" si="437"/>
        <v>0</v>
      </c>
      <c r="X6981">
        <f t="shared" si="438"/>
        <v>0</v>
      </c>
      <c r="Y6981" t="str">
        <f t="shared" si="439"/>
        <v>Non-Senior</v>
      </c>
    </row>
    <row r="6982" spans="1:25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436"/>
        <v>13-24 Months</v>
      </c>
      <c r="W6982">
        <f t="shared" si="437"/>
        <v>1</v>
      </c>
      <c r="X6982">
        <f t="shared" si="438"/>
        <v>39</v>
      </c>
      <c r="Y6982" t="str">
        <f t="shared" si="439"/>
        <v>Senior Citizen</v>
      </c>
    </row>
    <row r="6983" spans="1:25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436"/>
        <v>0-12 Months</v>
      </c>
      <c r="W6983">
        <f t="shared" si="437"/>
        <v>0</v>
      </c>
      <c r="X6983">
        <f t="shared" si="438"/>
        <v>0</v>
      </c>
      <c r="Y6983" t="str">
        <f t="shared" si="439"/>
        <v>Non-Senior</v>
      </c>
    </row>
    <row r="6984" spans="1:25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436"/>
        <v>61-72 Months</v>
      </c>
      <c r="W6984">
        <f t="shared" si="437"/>
        <v>0</v>
      </c>
      <c r="X6984">
        <f t="shared" si="438"/>
        <v>0</v>
      </c>
      <c r="Y6984" t="str">
        <f t="shared" si="439"/>
        <v>Non-Senior</v>
      </c>
    </row>
    <row r="6985" spans="1:25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436"/>
        <v>13-24 Months</v>
      </c>
      <c r="W6985">
        <f t="shared" si="437"/>
        <v>0</v>
      </c>
      <c r="X6985">
        <f t="shared" si="438"/>
        <v>0</v>
      </c>
      <c r="Y6985" t="str">
        <f t="shared" si="439"/>
        <v>Non-Senior</v>
      </c>
    </row>
    <row r="6986" spans="1:25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436"/>
        <v>25-36 Months</v>
      </c>
      <c r="W6986">
        <f t="shared" si="437"/>
        <v>0</v>
      </c>
      <c r="X6986">
        <f t="shared" si="438"/>
        <v>0</v>
      </c>
      <c r="Y6986" t="str">
        <f t="shared" si="439"/>
        <v>Non-Senior</v>
      </c>
    </row>
    <row r="6987" spans="1:25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436"/>
        <v>37-48 Months</v>
      </c>
      <c r="W6987">
        <f t="shared" si="437"/>
        <v>0</v>
      </c>
      <c r="X6987">
        <f t="shared" si="438"/>
        <v>0</v>
      </c>
      <c r="Y6987" t="str">
        <f t="shared" si="439"/>
        <v>Non-Senior</v>
      </c>
    </row>
    <row r="6988" spans="1:25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436"/>
        <v>25-36 Months</v>
      </c>
      <c r="W6988">
        <f t="shared" si="437"/>
        <v>1</v>
      </c>
      <c r="X6988">
        <f t="shared" si="438"/>
        <v>94.1</v>
      </c>
      <c r="Y6988" t="str">
        <f t="shared" si="439"/>
        <v>Non-Senior</v>
      </c>
    </row>
    <row r="6989" spans="1:25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436"/>
        <v>25-36 Months</v>
      </c>
      <c r="W6989">
        <f t="shared" si="437"/>
        <v>0</v>
      </c>
      <c r="X6989">
        <f t="shared" si="438"/>
        <v>0</v>
      </c>
      <c r="Y6989" t="str">
        <f t="shared" si="439"/>
        <v>Senior Citizen</v>
      </c>
    </row>
    <row r="6990" spans="1:25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436"/>
        <v>13-24 Months</v>
      </c>
      <c r="W6990">
        <f t="shared" si="437"/>
        <v>0</v>
      </c>
      <c r="X6990">
        <f t="shared" si="438"/>
        <v>0</v>
      </c>
      <c r="Y6990" t="str">
        <f t="shared" si="439"/>
        <v>Non-Senior</v>
      </c>
    </row>
    <row r="6991" spans="1:25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436"/>
        <v>13-24 Months</v>
      </c>
      <c r="W6991">
        <f t="shared" si="437"/>
        <v>0</v>
      </c>
      <c r="X6991">
        <f t="shared" si="438"/>
        <v>0</v>
      </c>
      <c r="Y6991" t="str">
        <f t="shared" si="439"/>
        <v>Non-Senior</v>
      </c>
    </row>
    <row r="6992" spans="1:25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436"/>
        <v>25-36 Months</v>
      </c>
      <c r="W6992">
        <f t="shared" si="437"/>
        <v>0</v>
      </c>
      <c r="X6992">
        <f t="shared" si="438"/>
        <v>0</v>
      </c>
      <c r="Y6992" t="str">
        <f t="shared" si="439"/>
        <v>Non-Senior</v>
      </c>
    </row>
    <row r="6993" spans="1:25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436"/>
        <v>0-12 Months</v>
      </c>
      <c r="W6993">
        <f t="shared" si="437"/>
        <v>1</v>
      </c>
      <c r="X6993">
        <f t="shared" si="438"/>
        <v>95.65</v>
      </c>
      <c r="Y6993" t="str">
        <f t="shared" si="439"/>
        <v>Non-Senior</v>
      </c>
    </row>
    <row r="6994" spans="1:25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436"/>
        <v>61-72 Months</v>
      </c>
      <c r="W6994">
        <f t="shared" si="437"/>
        <v>0</v>
      </c>
      <c r="X6994">
        <f t="shared" si="438"/>
        <v>0</v>
      </c>
      <c r="Y6994" t="str">
        <f t="shared" si="439"/>
        <v>Non-Senior</v>
      </c>
    </row>
    <row r="6995" spans="1:25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436"/>
        <v>49-60 Months</v>
      </c>
      <c r="W6995">
        <f t="shared" si="437"/>
        <v>1</v>
      </c>
      <c r="X6995">
        <f t="shared" si="438"/>
        <v>88.05</v>
      </c>
      <c r="Y6995" t="str">
        <f t="shared" si="439"/>
        <v>Senior Citizen</v>
      </c>
    </row>
    <row r="6996" spans="1:25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7082</v>
      </c>
      <c r="J6996" t="s">
        <v>7084</v>
      </c>
      <c r="K6996" t="s">
        <v>46</v>
      </c>
      <c r="L6996" t="s">
        <v>7084</v>
      </c>
      <c r="M6996" t="s">
        <v>7084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436"/>
        <v>37-48 Months</v>
      </c>
      <c r="W6996">
        <f t="shared" si="437"/>
        <v>0</v>
      </c>
      <c r="X6996">
        <f t="shared" si="438"/>
        <v>0</v>
      </c>
      <c r="Y6996" t="str">
        <f t="shared" si="439"/>
        <v>Non-Senior</v>
      </c>
    </row>
    <row r="6997" spans="1:25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436"/>
        <v>49-60 Months</v>
      </c>
      <c r="W6997">
        <f t="shared" si="437"/>
        <v>0</v>
      </c>
      <c r="X6997">
        <f t="shared" si="438"/>
        <v>0</v>
      </c>
      <c r="Y6997" t="str">
        <f t="shared" si="439"/>
        <v>Non-Senior</v>
      </c>
    </row>
    <row r="6998" spans="1:25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436"/>
        <v>37-48 Months</v>
      </c>
      <c r="W6998">
        <f t="shared" si="437"/>
        <v>1</v>
      </c>
      <c r="X6998">
        <f t="shared" si="438"/>
        <v>66.5</v>
      </c>
      <c r="Y6998" t="str">
        <f t="shared" si="439"/>
        <v>Non-Senior</v>
      </c>
    </row>
    <row r="6999" spans="1:25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436"/>
        <v>25-36 Months</v>
      </c>
      <c r="W6999">
        <f t="shared" si="437"/>
        <v>0</v>
      </c>
      <c r="X6999">
        <f t="shared" si="438"/>
        <v>0</v>
      </c>
      <c r="Y6999" t="str">
        <f t="shared" si="439"/>
        <v>Non-Senior</v>
      </c>
    </row>
    <row r="7000" spans="1:25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436"/>
        <v>13-24 Months</v>
      </c>
      <c r="W7000">
        <f t="shared" si="437"/>
        <v>0</v>
      </c>
      <c r="X7000">
        <f t="shared" si="438"/>
        <v>0</v>
      </c>
      <c r="Y7000" t="str">
        <f t="shared" si="439"/>
        <v>Non-Senior</v>
      </c>
    </row>
    <row r="7001" spans="1:25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436"/>
        <v>0-12 Months</v>
      </c>
      <c r="W7001">
        <f t="shared" si="437"/>
        <v>1</v>
      </c>
      <c r="X7001">
        <f t="shared" si="438"/>
        <v>35.450000000000003</v>
      </c>
      <c r="Y7001" t="str">
        <f t="shared" si="439"/>
        <v>Non-Senior</v>
      </c>
    </row>
    <row r="7002" spans="1:25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7082</v>
      </c>
      <c r="J7002" t="s">
        <v>7084</v>
      </c>
      <c r="K7002" t="s">
        <v>46</v>
      </c>
      <c r="L7002" t="s">
        <v>7084</v>
      </c>
      <c r="M7002" t="s">
        <v>7084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436"/>
        <v>61-72 Months</v>
      </c>
      <c r="W7002">
        <f t="shared" si="437"/>
        <v>0</v>
      </c>
      <c r="X7002">
        <f t="shared" si="438"/>
        <v>0</v>
      </c>
      <c r="Y7002" t="str">
        <f t="shared" si="439"/>
        <v>Non-Senior</v>
      </c>
    </row>
    <row r="7003" spans="1:25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436"/>
        <v>0-12 Months</v>
      </c>
      <c r="W7003">
        <f t="shared" si="437"/>
        <v>1</v>
      </c>
      <c r="X7003">
        <f t="shared" si="438"/>
        <v>49.9</v>
      </c>
      <c r="Y7003" t="str">
        <f t="shared" si="439"/>
        <v>Non-Senior</v>
      </c>
    </row>
    <row r="7004" spans="1:25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436"/>
        <v>61-72 Months</v>
      </c>
      <c r="W7004">
        <f t="shared" si="437"/>
        <v>0</v>
      </c>
      <c r="X7004">
        <f t="shared" si="438"/>
        <v>0</v>
      </c>
      <c r="Y7004" t="str">
        <f t="shared" si="439"/>
        <v>Non-Senior</v>
      </c>
    </row>
    <row r="7005" spans="1:25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436"/>
        <v>25-36 Months</v>
      </c>
      <c r="W7005">
        <f t="shared" si="437"/>
        <v>0</v>
      </c>
      <c r="X7005">
        <f t="shared" si="438"/>
        <v>0</v>
      </c>
      <c r="Y7005" t="str">
        <f t="shared" si="439"/>
        <v>Non-Senior</v>
      </c>
    </row>
    <row r="7006" spans="1:25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436"/>
        <v>37-48 Months</v>
      </c>
      <c r="W7006">
        <f t="shared" si="437"/>
        <v>0</v>
      </c>
      <c r="X7006">
        <f t="shared" si="438"/>
        <v>0</v>
      </c>
      <c r="Y7006" t="str">
        <f t="shared" si="439"/>
        <v>Non-Senior</v>
      </c>
    </row>
    <row r="7007" spans="1:25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7082</v>
      </c>
      <c r="J7007" t="s">
        <v>7084</v>
      </c>
      <c r="K7007" t="s">
        <v>46</v>
      </c>
      <c r="L7007" t="s">
        <v>7084</v>
      </c>
      <c r="M7007" t="s">
        <v>7084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436"/>
        <v>13-24 Months</v>
      </c>
      <c r="W7007">
        <f t="shared" si="437"/>
        <v>0</v>
      </c>
      <c r="X7007">
        <f t="shared" si="438"/>
        <v>0</v>
      </c>
      <c r="Y7007" t="str">
        <f t="shared" si="439"/>
        <v>Non-Senior</v>
      </c>
    </row>
    <row r="7008" spans="1:25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436"/>
        <v>37-48 Months</v>
      </c>
      <c r="W7008">
        <f t="shared" si="437"/>
        <v>1</v>
      </c>
      <c r="X7008">
        <f t="shared" si="438"/>
        <v>104.5</v>
      </c>
      <c r="Y7008" t="str">
        <f t="shared" si="439"/>
        <v>Non-Senior</v>
      </c>
    </row>
    <row r="7009" spans="1:25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436"/>
        <v>61-72 Months</v>
      </c>
      <c r="W7009">
        <f t="shared" si="437"/>
        <v>0</v>
      </c>
      <c r="X7009">
        <f t="shared" si="438"/>
        <v>0</v>
      </c>
      <c r="Y7009" t="str">
        <f t="shared" si="439"/>
        <v>Senior Citizen</v>
      </c>
    </row>
    <row r="7010" spans="1:25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436"/>
        <v>0-12 Months</v>
      </c>
      <c r="W7010">
        <f t="shared" si="437"/>
        <v>1</v>
      </c>
      <c r="X7010">
        <f t="shared" si="438"/>
        <v>75.05</v>
      </c>
      <c r="Y7010" t="str">
        <f t="shared" si="439"/>
        <v>Senior Citizen</v>
      </c>
    </row>
    <row r="7011" spans="1:25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436"/>
        <v>13-24 Months</v>
      </c>
      <c r="W7011">
        <f t="shared" si="437"/>
        <v>1</v>
      </c>
      <c r="X7011">
        <f t="shared" si="438"/>
        <v>81</v>
      </c>
      <c r="Y7011" t="str">
        <f t="shared" si="439"/>
        <v>Non-Senior</v>
      </c>
    </row>
    <row r="7012" spans="1:25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436"/>
        <v>0-12 Months</v>
      </c>
      <c r="W7012">
        <f t="shared" si="437"/>
        <v>1</v>
      </c>
      <c r="X7012">
        <f t="shared" si="438"/>
        <v>74.45</v>
      </c>
      <c r="Y7012" t="str">
        <f t="shared" si="439"/>
        <v>Senior Citizen</v>
      </c>
    </row>
    <row r="7013" spans="1:25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436"/>
        <v>0-12 Months</v>
      </c>
      <c r="W7013">
        <f t="shared" si="437"/>
        <v>1</v>
      </c>
      <c r="X7013">
        <f t="shared" si="438"/>
        <v>60.4</v>
      </c>
      <c r="Y7013" t="str">
        <f t="shared" si="439"/>
        <v>Non-Senior</v>
      </c>
    </row>
    <row r="7014" spans="1:25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436"/>
        <v>61-72 Months</v>
      </c>
      <c r="W7014">
        <f t="shared" si="437"/>
        <v>0</v>
      </c>
      <c r="X7014">
        <f t="shared" si="438"/>
        <v>0</v>
      </c>
      <c r="Y7014" t="str">
        <f t="shared" si="439"/>
        <v>Non-Senior</v>
      </c>
    </row>
    <row r="7015" spans="1:25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436"/>
        <v>37-48 Months</v>
      </c>
      <c r="W7015">
        <f t="shared" si="437"/>
        <v>0</v>
      </c>
      <c r="X7015">
        <f t="shared" si="438"/>
        <v>0</v>
      </c>
      <c r="Y7015" t="str">
        <f t="shared" si="439"/>
        <v>Non-Senior</v>
      </c>
    </row>
    <row r="7016" spans="1:25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436"/>
        <v>37-48 Months</v>
      </c>
      <c r="W7016">
        <f t="shared" si="437"/>
        <v>0</v>
      </c>
      <c r="X7016">
        <f t="shared" si="438"/>
        <v>0</v>
      </c>
      <c r="Y7016" t="str">
        <f t="shared" si="439"/>
        <v>Non-Senior</v>
      </c>
    </row>
    <row r="7017" spans="1:25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436"/>
        <v>25-36 Months</v>
      </c>
      <c r="W7017">
        <f t="shared" si="437"/>
        <v>0</v>
      </c>
      <c r="X7017">
        <f t="shared" si="438"/>
        <v>0</v>
      </c>
      <c r="Y7017" t="str">
        <f t="shared" si="439"/>
        <v>Senior Citizen</v>
      </c>
    </row>
    <row r="7018" spans="1:25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436"/>
        <v>0-12 Months</v>
      </c>
      <c r="W7018">
        <f t="shared" si="437"/>
        <v>0</v>
      </c>
      <c r="X7018">
        <f t="shared" si="438"/>
        <v>0</v>
      </c>
      <c r="Y7018" t="str">
        <f t="shared" si="439"/>
        <v>Non-Senior</v>
      </c>
    </row>
    <row r="7019" spans="1:25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7082</v>
      </c>
      <c r="J7019" t="s">
        <v>7084</v>
      </c>
      <c r="K7019" t="s">
        <v>46</v>
      </c>
      <c r="L7019" t="s">
        <v>7084</v>
      </c>
      <c r="M7019" t="s">
        <v>7084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436"/>
        <v>49-60 Months</v>
      </c>
      <c r="W7019">
        <f t="shared" si="437"/>
        <v>0</v>
      </c>
      <c r="X7019">
        <f t="shared" si="438"/>
        <v>0</v>
      </c>
      <c r="Y7019" t="str">
        <f t="shared" si="439"/>
        <v>Non-Senior</v>
      </c>
    </row>
    <row r="7020" spans="1:25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436"/>
        <v>0-12 Months</v>
      </c>
      <c r="W7020">
        <f t="shared" si="437"/>
        <v>1</v>
      </c>
      <c r="X7020">
        <f t="shared" si="438"/>
        <v>70.650000000000006</v>
      </c>
      <c r="Y7020" t="str">
        <f t="shared" si="439"/>
        <v>Non-Senior</v>
      </c>
    </row>
    <row r="7021" spans="1:25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7082</v>
      </c>
      <c r="J7021" t="s">
        <v>7084</v>
      </c>
      <c r="K7021" t="s">
        <v>46</v>
      </c>
      <c r="L7021" t="s">
        <v>7084</v>
      </c>
      <c r="M7021" t="s">
        <v>7084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436"/>
        <v>37-48 Months</v>
      </c>
      <c r="W7021">
        <f t="shared" si="437"/>
        <v>0</v>
      </c>
      <c r="X7021">
        <f t="shared" si="438"/>
        <v>0</v>
      </c>
      <c r="Y7021" t="str">
        <f t="shared" si="439"/>
        <v>Non-Senior</v>
      </c>
    </row>
    <row r="7022" spans="1:25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7082</v>
      </c>
      <c r="J7022" t="s">
        <v>7084</v>
      </c>
      <c r="K7022" t="s">
        <v>46</v>
      </c>
      <c r="L7022" t="s">
        <v>7084</v>
      </c>
      <c r="M7022" t="s">
        <v>7084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436"/>
        <v>0-12 Months</v>
      </c>
      <c r="W7022">
        <f t="shared" si="437"/>
        <v>0</v>
      </c>
      <c r="X7022">
        <f t="shared" si="438"/>
        <v>0</v>
      </c>
      <c r="Y7022" t="str">
        <f t="shared" si="439"/>
        <v>Non-Senior</v>
      </c>
    </row>
    <row r="7023" spans="1:25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436"/>
        <v>0-12 Months</v>
      </c>
      <c r="W7023">
        <f t="shared" si="437"/>
        <v>1</v>
      </c>
      <c r="X7023">
        <f t="shared" si="438"/>
        <v>59.8</v>
      </c>
      <c r="Y7023" t="str">
        <f t="shared" si="439"/>
        <v>Non-Senior</v>
      </c>
    </row>
    <row r="7024" spans="1:25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436"/>
        <v>61-72 Months</v>
      </c>
      <c r="W7024">
        <f t="shared" si="437"/>
        <v>0</v>
      </c>
      <c r="X7024">
        <f t="shared" si="438"/>
        <v>0</v>
      </c>
      <c r="Y7024" t="str">
        <f t="shared" si="439"/>
        <v>Non-Senior</v>
      </c>
    </row>
    <row r="7025" spans="1:25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436"/>
        <v>61-72 Months</v>
      </c>
      <c r="W7025">
        <f t="shared" si="437"/>
        <v>0</v>
      </c>
      <c r="X7025">
        <f t="shared" si="438"/>
        <v>0</v>
      </c>
      <c r="Y7025" t="str">
        <f t="shared" si="439"/>
        <v>Senior Citizen</v>
      </c>
    </row>
    <row r="7026" spans="1:25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436"/>
        <v>37-48 Months</v>
      </c>
      <c r="W7026">
        <f t="shared" si="437"/>
        <v>0</v>
      </c>
      <c r="X7026">
        <f t="shared" si="438"/>
        <v>0</v>
      </c>
      <c r="Y7026" t="str">
        <f t="shared" si="439"/>
        <v>Non-Senior</v>
      </c>
    </row>
    <row r="7027" spans="1:25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436"/>
        <v>13-24 Months</v>
      </c>
      <c r="W7027">
        <f t="shared" si="437"/>
        <v>0</v>
      </c>
      <c r="X7027">
        <f t="shared" si="438"/>
        <v>0</v>
      </c>
      <c r="Y7027" t="str">
        <f t="shared" si="439"/>
        <v>Non-Senior</v>
      </c>
    </row>
    <row r="7028" spans="1:25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436"/>
        <v>0-12 Months</v>
      </c>
      <c r="W7028">
        <f t="shared" si="437"/>
        <v>1</v>
      </c>
      <c r="X7028">
        <f t="shared" si="438"/>
        <v>44.2</v>
      </c>
      <c r="Y7028" t="str">
        <f t="shared" si="439"/>
        <v>Non-Senior</v>
      </c>
    </row>
    <row r="7029" spans="1:25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436"/>
        <v>13-24 Months</v>
      </c>
      <c r="W7029">
        <f t="shared" si="437"/>
        <v>0</v>
      </c>
      <c r="X7029">
        <f t="shared" si="438"/>
        <v>0</v>
      </c>
      <c r="Y7029" t="str">
        <f t="shared" si="439"/>
        <v>Non-Senior</v>
      </c>
    </row>
    <row r="7030" spans="1:25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436"/>
        <v>61-72 Months</v>
      </c>
      <c r="W7030">
        <f t="shared" si="437"/>
        <v>0</v>
      </c>
      <c r="X7030">
        <f t="shared" si="438"/>
        <v>0</v>
      </c>
      <c r="Y7030" t="str">
        <f t="shared" si="439"/>
        <v>Non-Senior</v>
      </c>
    </row>
    <row r="7031" spans="1:25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436"/>
        <v>0-12 Months</v>
      </c>
      <c r="W7031">
        <f t="shared" si="437"/>
        <v>0</v>
      </c>
      <c r="X7031">
        <f t="shared" si="438"/>
        <v>0</v>
      </c>
      <c r="Y7031" t="str">
        <f t="shared" si="439"/>
        <v>Senior Citizen</v>
      </c>
    </row>
    <row r="7032" spans="1:25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7082</v>
      </c>
      <c r="J7032" t="s">
        <v>7084</v>
      </c>
      <c r="K7032" t="s">
        <v>46</v>
      </c>
      <c r="L7032" t="s">
        <v>7084</v>
      </c>
      <c r="M7032" t="s">
        <v>7084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436"/>
        <v>0-12 Months</v>
      </c>
      <c r="W7032">
        <f t="shared" si="437"/>
        <v>0</v>
      </c>
      <c r="X7032">
        <f t="shared" si="438"/>
        <v>0</v>
      </c>
      <c r="Y7032" t="str">
        <f t="shared" si="439"/>
        <v>Non-Senior</v>
      </c>
    </row>
    <row r="7033" spans="1:25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436"/>
        <v>49-60 Months</v>
      </c>
      <c r="W7033">
        <f t="shared" si="437"/>
        <v>0</v>
      </c>
      <c r="X7033">
        <f t="shared" si="438"/>
        <v>0</v>
      </c>
      <c r="Y7033" t="str">
        <f t="shared" si="439"/>
        <v>Senior Citizen</v>
      </c>
    </row>
    <row r="7034" spans="1:25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436"/>
        <v>0-12 Months</v>
      </c>
      <c r="W7034">
        <f t="shared" si="437"/>
        <v>1</v>
      </c>
      <c r="X7034">
        <f t="shared" si="438"/>
        <v>75.75</v>
      </c>
      <c r="Y7034" t="str">
        <f t="shared" si="439"/>
        <v>Senior Citizen</v>
      </c>
    </row>
    <row r="7035" spans="1:25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436"/>
        <v>37-48 Months</v>
      </c>
      <c r="W7035">
        <f t="shared" si="437"/>
        <v>0</v>
      </c>
      <c r="X7035">
        <f t="shared" si="438"/>
        <v>0</v>
      </c>
      <c r="Y7035" t="str">
        <f t="shared" si="439"/>
        <v>Non-Senior</v>
      </c>
    </row>
    <row r="7036" spans="1:25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436"/>
        <v>61-72 Months</v>
      </c>
      <c r="W7036">
        <f t="shared" si="437"/>
        <v>1</v>
      </c>
      <c r="X7036">
        <f t="shared" si="438"/>
        <v>102.95</v>
      </c>
      <c r="Y7036" t="str">
        <f t="shared" si="439"/>
        <v>Non-Senior</v>
      </c>
    </row>
    <row r="7037" spans="1:25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436"/>
        <v>13-24 Months</v>
      </c>
      <c r="W7037">
        <f t="shared" si="437"/>
        <v>0</v>
      </c>
      <c r="X7037">
        <f t="shared" si="438"/>
        <v>0</v>
      </c>
      <c r="Y7037" t="str">
        <f t="shared" si="439"/>
        <v>Non-Senior</v>
      </c>
    </row>
    <row r="7038" spans="1:25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436"/>
        <v>0-12 Months</v>
      </c>
      <c r="W7038">
        <f t="shared" si="437"/>
        <v>0</v>
      </c>
      <c r="X7038">
        <f t="shared" si="438"/>
        <v>0</v>
      </c>
      <c r="Y7038" t="str">
        <f t="shared" si="439"/>
        <v>Non-Senior</v>
      </c>
    </row>
    <row r="7039" spans="1:25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7082</v>
      </c>
      <c r="J7039" t="s">
        <v>7084</v>
      </c>
      <c r="K7039" t="s">
        <v>46</v>
      </c>
      <c r="L7039" t="s">
        <v>7084</v>
      </c>
      <c r="M7039" t="s">
        <v>7084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436"/>
        <v>61-72 Months</v>
      </c>
      <c r="W7039">
        <f t="shared" si="437"/>
        <v>0</v>
      </c>
      <c r="X7039">
        <f t="shared" si="438"/>
        <v>0</v>
      </c>
      <c r="Y7039" t="str">
        <f t="shared" si="439"/>
        <v>Non-Senior</v>
      </c>
    </row>
    <row r="7040" spans="1:25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436"/>
        <v>13-24 Months</v>
      </c>
      <c r="W7040">
        <f t="shared" si="437"/>
        <v>0</v>
      </c>
      <c r="X7040">
        <f t="shared" si="438"/>
        <v>0</v>
      </c>
      <c r="Y7040" t="str">
        <f t="shared" si="439"/>
        <v>Non-Senior</v>
      </c>
    </row>
    <row r="7041" spans="1:25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436"/>
        <v>61-72 Months</v>
      </c>
      <c r="W7041">
        <f t="shared" si="437"/>
        <v>0</v>
      </c>
      <c r="X7041">
        <f t="shared" si="438"/>
        <v>0</v>
      </c>
      <c r="Y7041" t="str">
        <f t="shared" si="439"/>
        <v>Non-Senior</v>
      </c>
    </row>
    <row r="7042" spans="1:25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si="436"/>
        <v>0-12 Months</v>
      </c>
      <c r="W7042">
        <f t="shared" si="437"/>
        <v>0</v>
      </c>
      <c r="X7042">
        <f t="shared" si="438"/>
        <v>0</v>
      </c>
      <c r="Y7042" t="str">
        <f t="shared" si="439"/>
        <v>Non-Senior</v>
      </c>
    </row>
    <row r="7043" spans="1:25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ref="V7043:V7044" si="440">IF(F7043&lt;=12,"0-12 Months",IF(F7043&lt;=24,"13-24 Months",IF(F7043&lt;=36,"25-36 Months",IF(F7043&lt;=48,"37-48 Months",IF(F7043&lt;=60,"49-60 Months","61-72 Months")))))</f>
        <v>0-12 Months</v>
      </c>
      <c r="W7043">
        <f t="shared" ref="W7043:W7044" si="441">IF(U7043="Yes",1,0)</f>
        <v>1</v>
      </c>
      <c r="X7043">
        <f t="shared" ref="X7043:X7044" si="442">IF(U7043="Yes",S7043,0)</f>
        <v>74.400000000000006</v>
      </c>
      <c r="Y7043" t="str">
        <f t="shared" ref="Y7043:Y7044" si="443">IF(C7043=1,"Senior Citizen","Non-Senior")</f>
        <v>Senior Citizen</v>
      </c>
    </row>
    <row r="7044" spans="1:25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440"/>
        <v>61-72 Months</v>
      </c>
      <c r="W7044">
        <f t="shared" si="441"/>
        <v>0</v>
      </c>
      <c r="X7044">
        <f t="shared" si="442"/>
        <v>0</v>
      </c>
      <c r="Y7044" t="str">
        <f t="shared" si="443"/>
        <v>Non-Senior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Hussain</cp:lastModifiedBy>
  <dcterms:created xsi:type="dcterms:W3CDTF">2026-04-13T09:38:40Z</dcterms:created>
  <dcterms:modified xsi:type="dcterms:W3CDTF">2026-04-17T16:46:21Z</dcterms:modified>
</cp:coreProperties>
</file>